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ijmans.sharepoint.com/sites/HCCC/Gedeelde documenten/General/Algemeen/Roosters/"/>
    </mc:Choice>
  </mc:AlternateContent>
  <xr:revisionPtr revIDLastSave="3876" documentId="8_{1965F07F-E7AE-48F6-B33F-583FDD2A306E}" xr6:coauthVersionLast="47" xr6:coauthVersionMax="47" xr10:uidLastSave="{A8C66F02-F982-4ADF-9FA2-283221767CF9}"/>
  <bookViews>
    <workbookView xWindow="-28215" yWindow="-16470" windowWidth="29040" windowHeight="15720" tabRatio="599" firstSheet="10" activeTab="10" xr2:uid="{3DA217E2-F27F-4F23-8F7E-B08FFD9A0F42}"/>
  </bookViews>
  <sheets>
    <sheet name="2020 opties" sheetId="2" state="hidden" r:id="rId1"/>
    <sheet name="Corona rooster (Hans)" sheetId="5" state="hidden" r:id="rId2"/>
    <sheet name="Corona rooster" sheetId="4" state="hidden" r:id="rId3"/>
    <sheet name="Hans_test" sheetId="8" state="hidden" r:id="rId4"/>
    <sheet name="Hans " sheetId="6" state="hidden" r:id="rId5"/>
    <sheet name="Blad1" sheetId="10" state="hidden" r:id="rId6"/>
    <sheet name="2021 origineel" sheetId="12" state="hidden" r:id="rId7"/>
    <sheet name="2021 werkrooster OUD" sheetId="13" state="hidden" r:id="rId8"/>
    <sheet name="Optie week 22 tm 30" sheetId="15" state="hidden" r:id="rId9"/>
    <sheet name="optie voor wk13 14" sheetId="14" state="hidden" r:id="rId10"/>
    <sheet name="Rooster 2026" sheetId="17" r:id="rId11"/>
    <sheet name="IB roosterafspraken" sheetId="18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K21" i="17" l="1"/>
  <c r="OK20" i="17"/>
  <c r="OJ21" i="17"/>
  <c r="OJ20" i="17"/>
  <c r="OI21" i="17"/>
  <c r="OI20" i="17"/>
  <c r="OH21" i="17"/>
  <c r="OH20" i="17"/>
  <c r="OG21" i="17"/>
  <c r="OG20" i="17"/>
  <c r="OF21" i="17"/>
  <c r="OF20" i="17"/>
  <c r="OE21" i="17"/>
  <c r="OE20" i="17"/>
  <c r="OD21" i="17"/>
  <c r="OD20" i="17"/>
  <c r="OB20" i="17" s="1"/>
  <c r="EM43" i="17"/>
  <c r="EN43" i="17"/>
  <c r="EO43" i="17"/>
  <c r="EP43" i="17"/>
  <c r="EQ43" i="17"/>
  <c r="ET43" i="17"/>
  <c r="EU43" i="17"/>
  <c r="EV43" i="17"/>
  <c r="EW43" i="17"/>
  <c r="EX43" i="17"/>
  <c r="FA43" i="17"/>
  <c r="FB43" i="17"/>
  <c r="FC43" i="17"/>
  <c r="FD43" i="17"/>
  <c r="FE43" i="17"/>
  <c r="FH43" i="17"/>
  <c r="FI43" i="17"/>
  <c r="FJ43" i="17"/>
  <c r="FK43" i="17"/>
  <c r="FL43" i="17"/>
  <c r="FO43" i="17"/>
  <c r="FP43" i="17"/>
  <c r="FQ43" i="17"/>
  <c r="FR43" i="17"/>
  <c r="FS43" i="17"/>
  <c r="FV43" i="17"/>
  <c r="FW43" i="17"/>
  <c r="FX43" i="17"/>
  <c r="FY43" i="17"/>
  <c r="FZ43" i="17"/>
  <c r="GC43" i="17"/>
  <c r="GD43" i="17"/>
  <c r="GE43" i="17"/>
  <c r="GF43" i="17"/>
  <c r="GG43" i="17"/>
  <c r="GJ43" i="17"/>
  <c r="GK43" i="17"/>
  <c r="GL43" i="17"/>
  <c r="GM43" i="17"/>
  <c r="GN43" i="17"/>
  <c r="GQ43" i="17"/>
  <c r="GR43" i="17"/>
  <c r="GS43" i="17"/>
  <c r="GT43" i="17"/>
  <c r="GU43" i="17"/>
  <c r="GX43" i="17"/>
  <c r="GY43" i="17"/>
  <c r="GZ43" i="17"/>
  <c r="HA43" i="17"/>
  <c r="HB43" i="17"/>
  <c r="HE43" i="17"/>
  <c r="HF43" i="17"/>
  <c r="HG43" i="17"/>
  <c r="HH43" i="17"/>
  <c r="HI43" i="17"/>
  <c r="HL43" i="17"/>
  <c r="HM43" i="17"/>
  <c r="HN43" i="17"/>
  <c r="HO43" i="17"/>
  <c r="HP43" i="17"/>
  <c r="HS43" i="17"/>
  <c r="HT43" i="17"/>
  <c r="HU43" i="17"/>
  <c r="HV43" i="17"/>
  <c r="HW43" i="17"/>
  <c r="HZ43" i="17"/>
  <c r="IA43" i="17"/>
  <c r="IB43" i="17"/>
  <c r="IC43" i="17"/>
  <c r="ID43" i="17"/>
  <c r="IG43" i="17"/>
  <c r="IH43" i="17"/>
  <c r="II43" i="17"/>
  <c r="IJ43" i="17"/>
  <c r="IK43" i="17"/>
  <c r="IN43" i="17"/>
  <c r="IO43" i="17"/>
  <c r="IP43" i="17"/>
  <c r="IQ43" i="17"/>
  <c r="IR43" i="17"/>
  <c r="IU43" i="17"/>
  <c r="IV43" i="17"/>
  <c r="IW43" i="17"/>
  <c r="IX43" i="17"/>
  <c r="IY43" i="17"/>
  <c r="JB43" i="17"/>
  <c r="JC43" i="17"/>
  <c r="JD43" i="17"/>
  <c r="JE43" i="17"/>
  <c r="JF43" i="17"/>
  <c r="JI43" i="17"/>
  <c r="JJ43" i="17"/>
  <c r="JK43" i="17"/>
  <c r="JL43" i="17"/>
  <c r="JM43" i="17"/>
  <c r="JP43" i="17"/>
  <c r="JQ43" i="17"/>
  <c r="JR43" i="17"/>
  <c r="JS43" i="17"/>
  <c r="JT43" i="17"/>
  <c r="JW43" i="17"/>
  <c r="JX43" i="17"/>
  <c r="JY43" i="17"/>
  <c r="JZ43" i="17"/>
  <c r="KA43" i="17"/>
  <c r="KD43" i="17"/>
  <c r="KE43" i="17"/>
  <c r="KF43" i="17"/>
  <c r="KG43" i="17"/>
  <c r="KH43" i="17"/>
  <c r="KK43" i="17"/>
  <c r="KL43" i="17"/>
  <c r="KM43" i="17"/>
  <c r="KN43" i="17"/>
  <c r="KO43" i="17"/>
  <c r="KR43" i="17"/>
  <c r="KS43" i="17"/>
  <c r="KT43" i="17"/>
  <c r="KU43" i="17"/>
  <c r="KV43" i="17"/>
  <c r="KY43" i="17"/>
  <c r="KZ43" i="17"/>
  <c r="LA43" i="17"/>
  <c r="LB43" i="17"/>
  <c r="LC43" i="17"/>
  <c r="LF43" i="17"/>
  <c r="LG43" i="17"/>
  <c r="LH43" i="17"/>
  <c r="LI43" i="17"/>
  <c r="LJ43" i="17"/>
  <c r="LM43" i="17"/>
  <c r="LN43" i="17"/>
  <c r="LO43" i="17"/>
  <c r="LP43" i="17"/>
  <c r="LQ43" i="17"/>
  <c r="LT43" i="17"/>
  <c r="LU43" i="17"/>
  <c r="LV43" i="17"/>
  <c r="LW43" i="17"/>
  <c r="LX43" i="17"/>
  <c r="MA43" i="17"/>
  <c r="MB43" i="17"/>
  <c r="MC43" i="17"/>
  <c r="MD43" i="17"/>
  <c r="ME43" i="17"/>
  <c r="MH43" i="17"/>
  <c r="MI43" i="17"/>
  <c r="MJ43" i="17"/>
  <c r="MK43" i="17"/>
  <c r="ML43" i="17"/>
  <c r="MO43" i="17"/>
  <c r="MP43" i="17"/>
  <c r="MQ43" i="17"/>
  <c r="MR43" i="17"/>
  <c r="MS43" i="17"/>
  <c r="MV43" i="17"/>
  <c r="MW43" i="17"/>
  <c r="MX43" i="17"/>
  <c r="MY43" i="17"/>
  <c r="MZ43" i="17"/>
  <c r="NC43" i="17"/>
  <c r="ND43" i="17"/>
  <c r="NE43" i="17"/>
  <c r="NF43" i="17"/>
  <c r="NG43" i="17"/>
  <c r="NJ43" i="17"/>
  <c r="NK43" i="17"/>
  <c r="NL43" i="17"/>
  <c r="NM43" i="17"/>
  <c r="NN43" i="17"/>
  <c r="EF43" i="17"/>
  <c r="EG43" i="17"/>
  <c r="EH43" i="17"/>
  <c r="EI43" i="17"/>
  <c r="EJ43" i="17"/>
  <c r="DZ43" i="17"/>
  <c r="EA43" i="17"/>
  <c r="EB43" i="17"/>
  <c r="EC43" i="17"/>
  <c r="DY43" i="17"/>
  <c r="NQ9" i="17"/>
  <c r="NR9" i="17"/>
  <c r="NS9" i="17"/>
  <c r="NT9" i="17"/>
  <c r="NU9" i="17"/>
  <c r="NV9" i="17"/>
  <c r="NW9" i="17"/>
  <c r="NX9" i="17"/>
  <c r="NQ10" i="17"/>
  <c r="NR10" i="17"/>
  <c r="NS10" i="17"/>
  <c r="NT10" i="17"/>
  <c r="NU10" i="17"/>
  <c r="NV10" i="17"/>
  <c r="NW10" i="17"/>
  <c r="NX10" i="17"/>
  <c r="NQ11" i="17"/>
  <c r="NR11" i="17"/>
  <c r="NS11" i="17"/>
  <c r="NT11" i="17"/>
  <c r="NU11" i="17"/>
  <c r="NV11" i="17"/>
  <c r="NW11" i="17"/>
  <c r="NX11" i="17"/>
  <c r="NQ12" i="17"/>
  <c r="NR12" i="17"/>
  <c r="NS12" i="17"/>
  <c r="NT12" i="17"/>
  <c r="NU12" i="17"/>
  <c r="NV12" i="17"/>
  <c r="NW12" i="17"/>
  <c r="NX12" i="17"/>
  <c r="NQ13" i="17"/>
  <c r="NR13" i="17"/>
  <c r="NS13" i="17"/>
  <c r="NT13" i="17"/>
  <c r="NU13" i="17"/>
  <c r="NV13" i="17"/>
  <c r="NW13" i="17"/>
  <c r="NX13" i="17"/>
  <c r="NQ14" i="17"/>
  <c r="NR14" i="17"/>
  <c r="NS14" i="17"/>
  <c r="NT14" i="17"/>
  <c r="NU14" i="17"/>
  <c r="NV14" i="17"/>
  <c r="NW14" i="17"/>
  <c r="NX14" i="17"/>
  <c r="NQ15" i="17"/>
  <c r="NR15" i="17"/>
  <c r="NS15" i="17"/>
  <c r="NT15" i="17"/>
  <c r="NU15" i="17"/>
  <c r="NV15" i="17"/>
  <c r="NW15" i="17"/>
  <c r="NX15" i="17"/>
  <c r="NQ16" i="17"/>
  <c r="NR16" i="17"/>
  <c r="NS16" i="17"/>
  <c r="NT16" i="17"/>
  <c r="NU16" i="17"/>
  <c r="NV16" i="17"/>
  <c r="NW16" i="17"/>
  <c r="NX16" i="17"/>
  <c r="NQ17" i="17"/>
  <c r="NR17" i="17"/>
  <c r="NS17" i="17"/>
  <c r="NT17" i="17"/>
  <c r="NU17" i="17"/>
  <c r="NV17" i="17"/>
  <c r="NW17" i="17"/>
  <c r="NX17" i="17"/>
  <c r="NQ18" i="17"/>
  <c r="NR18" i="17"/>
  <c r="NS18" i="17"/>
  <c r="NT18" i="17"/>
  <c r="NU18" i="17"/>
  <c r="NV18" i="17"/>
  <c r="NW18" i="17"/>
  <c r="NX18" i="17"/>
  <c r="NQ19" i="17"/>
  <c r="NR19" i="17"/>
  <c r="NS19" i="17"/>
  <c r="NT19" i="17"/>
  <c r="NU19" i="17"/>
  <c r="NV19" i="17"/>
  <c r="NW19" i="17"/>
  <c r="NX19" i="17"/>
  <c r="NQ20" i="17"/>
  <c r="NR20" i="17"/>
  <c r="NS20" i="17"/>
  <c r="NT20" i="17"/>
  <c r="NU20" i="17"/>
  <c r="NV20" i="17"/>
  <c r="NW20" i="17"/>
  <c r="NX20" i="17"/>
  <c r="NQ21" i="17"/>
  <c r="NR21" i="17"/>
  <c r="NS21" i="17"/>
  <c r="NT21" i="17"/>
  <c r="NU21" i="17"/>
  <c r="NV21" i="17"/>
  <c r="NW21" i="17"/>
  <c r="NX21" i="17"/>
  <c r="NQ22" i="17"/>
  <c r="NR22" i="17"/>
  <c r="NS22" i="17"/>
  <c r="NT22" i="17"/>
  <c r="NU22" i="17"/>
  <c r="NV22" i="17"/>
  <c r="NW22" i="17"/>
  <c r="NX22" i="17"/>
  <c r="NQ23" i="17"/>
  <c r="NR23" i="17"/>
  <c r="NS23" i="17"/>
  <c r="NT23" i="17"/>
  <c r="NU23" i="17"/>
  <c r="NV23" i="17"/>
  <c r="NW23" i="17"/>
  <c r="NX23" i="17"/>
  <c r="NX8" i="17"/>
  <c r="NW8" i="17"/>
  <c r="NV8" i="17"/>
  <c r="NU8" i="17"/>
  <c r="NT8" i="17"/>
  <c r="NS8" i="17"/>
  <c r="NR8" i="17"/>
  <c r="NQ8" i="17"/>
  <c r="AX45" i="17"/>
  <c r="AY45" i="17"/>
  <c r="AZ45" i="17"/>
  <c r="AX46" i="17"/>
  <c r="AY46" i="17"/>
  <c r="AZ46" i="17"/>
  <c r="AX47" i="17"/>
  <c r="AY47" i="17"/>
  <c r="AZ47" i="17"/>
  <c r="AX48" i="17"/>
  <c r="AY48" i="17"/>
  <c r="AZ48" i="17"/>
  <c r="AX49" i="17"/>
  <c r="AY49" i="17"/>
  <c r="AZ49" i="17"/>
  <c r="EC47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Y49" i="17"/>
  <c r="Z49" i="17"/>
  <c r="AA49" i="17"/>
  <c r="AB49" i="17"/>
  <c r="AC49" i="17"/>
  <c r="AD49" i="17"/>
  <c r="AE49" i="17"/>
  <c r="AF49" i="17"/>
  <c r="AG49" i="17"/>
  <c r="AH49" i="17"/>
  <c r="AI49" i="17"/>
  <c r="AJ49" i="17"/>
  <c r="AK49" i="17"/>
  <c r="AL49" i="17"/>
  <c r="AM49" i="17"/>
  <c r="AN49" i="17"/>
  <c r="AO49" i="17"/>
  <c r="AP49" i="17"/>
  <c r="AQ49" i="17"/>
  <c r="AR49" i="17"/>
  <c r="AS49" i="17"/>
  <c r="AT49" i="17"/>
  <c r="AU49" i="17"/>
  <c r="AV49" i="17"/>
  <c r="AW49" i="17"/>
  <c r="BA49" i="17"/>
  <c r="BB49" i="17"/>
  <c r="BC49" i="17"/>
  <c r="BD49" i="17"/>
  <c r="BE49" i="17"/>
  <c r="BF49" i="17"/>
  <c r="BG49" i="17"/>
  <c r="BH49" i="17"/>
  <c r="BI49" i="17"/>
  <c r="BJ49" i="17"/>
  <c r="BK49" i="17"/>
  <c r="BL49" i="17"/>
  <c r="BM49" i="17"/>
  <c r="BN49" i="17"/>
  <c r="BO49" i="17"/>
  <c r="BP49" i="17"/>
  <c r="BQ49" i="17"/>
  <c r="BR49" i="17"/>
  <c r="BS49" i="17"/>
  <c r="BT49" i="17"/>
  <c r="BU49" i="17"/>
  <c r="BV49" i="17"/>
  <c r="BW49" i="17"/>
  <c r="BX49" i="17"/>
  <c r="BY49" i="17"/>
  <c r="BZ49" i="17"/>
  <c r="CA49" i="17"/>
  <c r="CB49" i="17"/>
  <c r="CC49" i="17"/>
  <c r="CD49" i="17"/>
  <c r="CE49" i="17"/>
  <c r="CF49" i="17"/>
  <c r="CG49" i="17"/>
  <c r="CH49" i="17"/>
  <c r="CI49" i="17"/>
  <c r="CJ49" i="17"/>
  <c r="CK49" i="17"/>
  <c r="CL49" i="17"/>
  <c r="CM49" i="17"/>
  <c r="CN49" i="17"/>
  <c r="CO49" i="17"/>
  <c r="CP49" i="17"/>
  <c r="CQ49" i="17"/>
  <c r="CR49" i="17"/>
  <c r="CS49" i="17"/>
  <c r="CT49" i="17"/>
  <c r="CU49" i="17"/>
  <c r="CV49" i="17"/>
  <c r="CW49" i="17"/>
  <c r="CX49" i="17"/>
  <c r="CY49" i="17"/>
  <c r="CZ49" i="17"/>
  <c r="DA49" i="17"/>
  <c r="DB49" i="17"/>
  <c r="DC49" i="17"/>
  <c r="DD49" i="17"/>
  <c r="DE49" i="17"/>
  <c r="DF49" i="17"/>
  <c r="DG49" i="17"/>
  <c r="DH49" i="17"/>
  <c r="DI49" i="17"/>
  <c r="DJ49" i="17"/>
  <c r="DK49" i="17"/>
  <c r="DL49" i="17"/>
  <c r="DM49" i="17"/>
  <c r="DN49" i="17"/>
  <c r="DO49" i="17"/>
  <c r="DP49" i="17"/>
  <c r="DQ49" i="17"/>
  <c r="DR49" i="17"/>
  <c r="DS49" i="17"/>
  <c r="DT49" i="17"/>
  <c r="DU49" i="17"/>
  <c r="DV49" i="17"/>
  <c r="DW49" i="17"/>
  <c r="DX49" i="17"/>
  <c r="DY49" i="17"/>
  <c r="DZ49" i="17"/>
  <c r="EA49" i="17"/>
  <c r="EB49" i="17"/>
  <c r="EC49" i="17"/>
  <c r="ED49" i="17"/>
  <c r="EE49" i="17"/>
  <c r="EF49" i="17"/>
  <c r="EG49" i="17"/>
  <c r="EH49" i="17"/>
  <c r="EI49" i="17"/>
  <c r="EJ49" i="17"/>
  <c r="EK49" i="17"/>
  <c r="EL49" i="17"/>
  <c r="EM49" i="17"/>
  <c r="EN49" i="17"/>
  <c r="EO49" i="17"/>
  <c r="EP49" i="17"/>
  <c r="EQ49" i="17"/>
  <c r="ER49" i="17"/>
  <c r="ES49" i="17"/>
  <c r="ET49" i="17"/>
  <c r="EU49" i="17"/>
  <c r="EV49" i="17"/>
  <c r="EW49" i="17"/>
  <c r="EX49" i="17"/>
  <c r="EY49" i="17"/>
  <c r="EZ49" i="17"/>
  <c r="FA49" i="17"/>
  <c r="FB49" i="17"/>
  <c r="FC49" i="17"/>
  <c r="FD49" i="17"/>
  <c r="FE49" i="17"/>
  <c r="FF49" i="17"/>
  <c r="FG49" i="17"/>
  <c r="FH49" i="17"/>
  <c r="FI49" i="17"/>
  <c r="FJ49" i="17"/>
  <c r="FK49" i="17"/>
  <c r="FL49" i="17"/>
  <c r="FM49" i="17"/>
  <c r="FN49" i="17"/>
  <c r="FO49" i="17"/>
  <c r="FP49" i="17"/>
  <c r="FQ49" i="17"/>
  <c r="FR49" i="17"/>
  <c r="FS49" i="17"/>
  <c r="FT49" i="17"/>
  <c r="FU49" i="17"/>
  <c r="FV49" i="17"/>
  <c r="FW49" i="17"/>
  <c r="FX49" i="17"/>
  <c r="FY49" i="17"/>
  <c r="FZ49" i="17"/>
  <c r="GA49" i="17"/>
  <c r="GB49" i="17"/>
  <c r="GC49" i="17"/>
  <c r="GD49" i="17"/>
  <c r="GE49" i="17"/>
  <c r="GF49" i="17"/>
  <c r="GG49" i="17"/>
  <c r="GH49" i="17"/>
  <c r="GI49" i="17"/>
  <c r="GJ49" i="17"/>
  <c r="GK49" i="17"/>
  <c r="GL49" i="17"/>
  <c r="GM49" i="17"/>
  <c r="GN49" i="17"/>
  <c r="GO49" i="17"/>
  <c r="GP49" i="17"/>
  <c r="GQ49" i="17"/>
  <c r="GR49" i="17"/>
  <c r="GS49" i="17"/>
  <c r="GT49" i="17"/>
  <c r="GU49" i="17"/>
  <c r="GV49" i="17"/>
  <c r="GW49" i="17"/>
  <c r="GX49" i="17"/>
  <c r="GY49" i="17"/>
  <c r="GZ49" i="17"/>
  <c r="HA49" i="17"/>
  <c r="HB49" i="17"/>
  <c r="HC49" i="17"/>
  <c r="HD49" i="17"/>
  <c r="HE49" i="17"/>
  <c r="HF49" i="17"/>
  <c r="HG49" i="17"/>
  <c r="HH49" i="17"/>
  <c r="HI49" i="17"/>
  <c r="HJ49" i="17"/>
  <c r="HK49" i="17"/>
  <c r="HL49" i="17"/>
  <c r="HM49" i="17"/>
  <c r="HN49" i="17"/>
  <c r="HO49" i="17"/>
  <c r="HP49" i="17"/>
  <c r="HQ49" i="17"/>
  <c r="HR49" i="17"/>
  <c r="HS49" i="17"/>
  <c r="HT49" i="17"/>
  <c r="HU49" i="17"/>
  <c r="HV49" i="17"/>
  <c r="HW49" i="17"/>
  <c r="HX49" i="17"/>
  <c r="HY49" i="17"/>
  <c r="HZ49" i="17"/>
  <c r="IA49" i="17"/>
  <c r="IB49" i="17"/>
  <c r="IC49" i="17"/>
  <c r="ID49" i="17"/>
  <c r="IE49" i="17"/>
  <c r="IF49" i="17"/>
  <c r="IG49" i="17"/>
  <c r="IH49" i="17"/>
  <c r="II49" i="17"/>
  <c r="IJ49" i="17"/>
  <c r="IK49" i="17"/>
  <c r="IL49" i="17"/>
  <c r="IM49" i="17"/>
  <c r="IN49" i="17"/>
  <c r="IO49" i="17"/>
  <c r="IP49" i="17"/>
  <c r="IQ49" i="17"/>
  <c r="IR49" i="17"/>
  <c r="IS49" i="17"/>
  <c r="IT49" i="17"/>
  <c r="IU49" i="17"/>
  <c r="IV49" i="17"/>
  <c r="IW49" i="17"/>
  <c r="IX49" i="17"/>
  <c r="IY49" i="17"/>
  <c r="IZ49" i="17"/>
  <c r="JA49" i="17"/>
  <c r="JB49" i="17"/>
  <c r="JC49" i="17"/>
  <c r="JD49" i="17"/>
  <c r="JE49" i="17"/>
  <c r="JF49" i="17"/>
  <c r="JG49" i="17"/>
  <c r="JH49" i="17"/>
  <c r="JI49" i="17"/>
  <c r="JJ49" i="17"/>
  <c r="JK49" i="17"/>
  <c r="JL49" i="17"/>
  <c r="JM49" i="17"/>
  <c r="JN49" i="17"/>
  <c r="JO49" i="17"/>
  <c r="JP49" i="17"/>
  <c r="JQ49" i="17"/>
  <c r="JR49" i="17"/>
  <c r="JS49" i="17"/>
  <c r="JT49" i="17"/>
  <c r="JU49" i="17"/>
  <c r="JV49" i="17"/>
  <c r="JW49" i="17"/>
  <c r="JX49" i="17"/>
  <c r="JY49" i="17"/>
  <c r="JZ49" i="17"/>
  <c r="KA49" i="17"/>
  <c r="KB49" i="17"/>
  <c r="KC49" i="17"/>
  <c r="KD49" i="17"/>
  <c r="KE49" i="17"/>
  <c r="KF49" i="17"/>
  <c r="KG49" i="17"/>
  <c r="KH49" i="17"/>
  <c r="KI49" i="17"/>
  <c r="KJ49" i="17"/>
  <c r="KK49" i="17"/>
  <c r="KL49" i="17"/>
  <c r="KM49" i="17"/>
  <c r="KN49" i="17"/>
  <c r="KO49" i="17"/>
  <c r="KP49" i="17"/>
  <c r="KQ49" i="17"/>
  <c r="KR49" i="17"/>
  <c r="KS49" i="17"/>
  <c r="KT49" i="17"/>
  <c r="KU49" i="17"/>
  <c r="KV49" i="17"/>
  <c r="KW49" i="17"/>
  <c r="KX49" i="17"/>
  <c r="KY49" i="17"/>
  <c r="KZ49" i="17"/>
  <c r="LA49" i="17"/>
  <c r="LB49" i="17"/>
  <c r="LC49" i="17"/>
  <c r="LD49" i="17"/>
  <c r="LE49" i="17"/>
  <c r="LF49" i="17"/>
  <c r="LG49" i="17"/>
  <c r="LH49" i="17"/>
  <c r="LI49" i="17"/>
  <c r="LJ49" i="17"/>
  <c r="LK49" i="17"/>
  <c r="LL49" i="17"/>
  <c r="LM49" i="17"/>
  <c r="LN49" i="17"/>
  <c r="LO49" i="17"/>
  <c r="LP49" i="17"/>
  <c r="LQ49" i="17"/>
  <c r="LR49" i="17"/>
  <c r="LS49" i="17"/>
  <c r="LT49" i="17"/>
  <c r="LU49" i="17"/>
  <c r="LV49" i="17"/>
  <c r="LW49" i="17"/>
  <c r="LX49" i="17"/>
  <c r="LY49" i="17"/>
  <c r="LZ49" i="17"/>
  <c r="MA49" i="17"/>
  <c r="MB49" i="17"/>
  <c r="MC49" i="17"/>
  <c r="MD49" i="17"/>
  <c r="ME49" i="17"/>
  <c r="MF49" i="17"/>
  <c r="MG49" i="17"/>
  <c r="MH49" i="17"/>
  <c r="MI49" i="17"/>
  <c r="MJ49" i="17"/>
  <c r="MK49" i="17"/>
  <c r="ML49" i="17"/>
  <c r="MM49" i="17"/>
  <c r="MN49" i="17"/>
  <c r="MO49" i="17"/>
  <c r="MP49" i="17"/>
  <c r="MQ49" i="17"/>
  <c r="MR49" i="17"/>
  <c r="MS49" i="17"/>
  <c r="MT49" i="17"/>
  <c r="MU49" i="17"/>
  <c r="MV49" i="17"/>
  <c r="MW49" i="17"/>
  <c r="MX49" i="17"/>
  <c r="MY49" i="17"/>
  <c r="MZ49" i="17"/>
  <c r="NA49" i="17"/>
  <c r="NB49" i="17"/>
  <c r="NC49" i="17"/>
  <c r="ND49" i="17"/>
  <c r="NE49" i="17"/>
  <c r="NF49" i="17"/>
  <c r="NG49" i="17"/>
  <c r="NH49" i="17"/>
  <c r="NI49" i="17"/>
  <c r="NJ49" i="17"/>
  <c r="NK49" i="17"/>
  <c r="NL49" i="17"/>
  <c r="NM49" i="17"/>
  <c r="NN49" i="17"/>
  <c r="NO49" i="17"/>
  <c r="NP49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Y48" i="17"/>
  <c r="Z48" i="17"/>
  <c r="AA48" i="17"/>
  <c r="AB48" i="17"/>
  <c r="AC48" i="17"/>
  <c r="AD48" i="17"/>
  <c r="AE48" i="17"/>
  <c r="AF48" i="17"/>
  <c r="AG48" i="17"/>
  <c r="AH48" i="17"/>
  <c r="AI48" i="17"/>
  <c r="AJ48" i="17"/>
  <c r="AK48" i="17"/>
  <c r="AL48" i="17"/>
  <c r="AM48" i="17"/>
  <c r="AN48" i="17"/>
  <c r="AO48" i="17"/>
  <c r="AP48" i="17"/>
  <c r="AQ48" i="17"/>
  <c r="AR48" i="17"/>
  <c r="AS48" i="17"/>
  <c r="AT48" i="17"/>
  <c r="AU48" i="17"/>
  <c r="AV48" i="17"/>
  <c r="AW48" i="17"/>
  <c r="BA48" i="17"/>
  <c r="BB48" i="17"/>
  <c r="BC48" i="17"/>
  <c r="BD48" i="17"/>
  <c r="BE48" i="17"/>
  <c r="BF48" i="17"/>
  <c r="BG48" i="17"/>
  <c r="BH48" i="17"/>
  <c r="BI48" i="17"/>
  <c r="BJ48" i="17"/>
  <c r="BK48" i="17"/>
  <c r="BL48" i="17"/>
  <c r="BM48" i="17"/>
  <c r="BN48" i="17"/>
  <c r="BO48" i="17"/>
  <c r="BP48" i="17"/>
  <c r="BQ48" i="17"/>
  <c r="BR48" i="17"/>
  <c r="BS48" i="17"/>
  <c r="BT48" i="17"/>
  <c r="BU48" i="17"/>
  <c r="BV48" i="17"/>
  <c r="BW48" i="17"/>
  <c r="BX48" i="17"/>
  <c r="BY48" i="17"/>
  <c r="BZ48" i="17"/>
  <c r="CA48" i="17"/>
  <c r="CB48" i="17"/>
  <c r="CC48" i="17"/>
  <c r="CD48" i="17"/>
  <c r="CE48" i="17"/>
  <c r="CF48" i="17"/>
  <c r="CG48" i="17"/>
  <c r="CH48" i="17"/>
  <c r="CI48" i="17"/>
  <c r="CJ48" i="17"/>
  <c r="CK48" i="17"/>
  <c r="CL48" i="17"/>
  <c r="CM48" i="17"/>
  <c r="CN48" i="17"/>
  <c r="CO48" i="17"/>
  <c r="CP48" i="17"/>
  <c r="CQ48" i="17"/>
  <c r="CR48" i="17"/>
  <c r="CS48" i="17"/>
  <c r="CT48" i="17"/>
  <c r="CU48" i="17"/>
  <c r="CV48" i="17"/>
  <c r="CW48" i="17"/>
  <c r="CX48" i="17"/>
  <c r="CY48" i="17"/>
  <c r="CZ48" i="17"/>
  <c r="DA48" i="17"/>
  <c r="DB48" i="17"/>
  <c r="DC48" i="17"/>
  <c r="DD48" i="17"/>
  <c r="DE48" i="17"/>
  <c r="DF48" i="17"/>
  <c r="DG48" i="17"/>
  <c r="DH48" i="17"/>
  <c r="DI48" i="17"/>
  <c r="DJ48" i="17"/>
  <c r="DK48" i="17"/>
  <c r="DL48" i="17"/>
  <c r="DM48" i="17"/>
  <c r="DN48" i="17"/>
  <c r="DO48" i="17"/>
  <c r="DP48" i="17"/>
  <c r="DQ48" i="17"/>
  <c r="DR48" i="17"/>
  <c r="DS48" i="17"/>
  <c r="DT48" i="17"/>
  <c r="DU48" i="17"/>
  <c r="DV48" i="17"/>
  <c r="DW48" i="17"/>
  <c r="DX48" i="17"/>
  <c r="DY48" i="17"/>
  <c r="DZ48" i="17"/>
  <c r="EA48" i="17"/>
  <c r="EB48" i="17"/>
  <c r="EC48" i="17"/>
  <c r="ED48" i="17"/>
  <c r="EE48" i="17"/>
  <c r="EF48" i="17"/>
  <c r="EG48" i="17"/>
  <c r="EH48" i="17"/>
  <c r="EI48" i="17"/>
  <c r="EJ48" i="17"/>
  <c r="EK48" i="17"/>
  <c r="EL48" i="17"/>
  <c r="EM48" i="17"/>
  <c r="EN48" i="17"/>
  <c r="EO48" i="17"/>
  <c r="EP48" i="17"/>
  <c r="EQ48" i="17"/>
  <c r="ER48" i="17"/>
  <c r="ES48" i="17"/>
  <c r="ET48" i="17"/>
  <c r="EU48" i="17"/>
  <c r="EV48" i="17"/>
  <c r="EW48" i="17"/>
  <c r="EX48" i="17"/>
  <c r="EY48" i="17"/>
  <c r="EZ48" i="17"/>
  <c r="FA48" i="17"/>
  <c r="FB48" i="17"/>
  <c r="FC48" i="17"/>
  <c r="FD48" i="17"/>
  <c r="FE48" i="17"/>
  <c r="FF48" i="17"/>
  <c r="FG48" i="17"/>
  <c r="FH48" i="17"/>
  <c r="FI48" i="17"/>
  <c r="FJ48" i="17"/>
  <c r="FK48" i="17"/>
  <c r="FL48" i="17"/>
  <c r="FM48" i="17"/>
  <c r="FN48" i="17"/>
  <c r="FO48" i="17"/>
  <c r="FP48" i="17"/>
  <c r="FQ48" i="17"/>
  <c r="FR48" i="17"/>
  <c r="FS48" i="17"/>
  <c r="FT48" i="17"/>
  <c r="FU48" i="17"/>
  <c r="FV48" i="17"/>
  <c r="FW48" i="17"/>
  <c r="FX48" i="17"/>
  <c r="FY48" i="17"/>
  <c r="FZ48" i="17"/>
  <c r="GA48" i="17"/>
  <c r="GB48" i="17"/>
  <c r="GC48" i="17"/>
  <c r="GD48" i="17"/>
  <c r="GE48" i="17"/>
  <c r="GF48" i="17"/>
  <c r="GG48" i="17"/>
  <c r="GH48" i="17"/>
  <c r="GI48" i="17"/>
  <c r="GJ48" i="17"/>
  <c r="GK48" i="17"/>
  <c r="GL48" i="17"/>
  <c r="GM48" i="17"/>
  <c r="GN48" i="17"/>
  <c r="GO48" i="17"/>
  <c r="GP48" i="17"/>
  <c r="GQ48" i="17"/>
  <c r="GR48" i="17"/>
  <c r="GS48" i="17"/>
  <c r="GT48" i="17"/>
  <c r="GU48" i="17"/>
  <c r="GV48" i="17"/>
  <c r="GW48" i="17"/>
  <c r="GX48" i="17"/>
  <c r="GY48" i="17"/>
  <c r="GZ48" i="17"/>
  <c r="HA48" i="17"/>
  <c r="HB48" i="17"/>
  <c r="HC48" i="17"/>
  <c r="HD48" i="17"/>
  <c r="HE48" i="17"/>
  <c r="HF48" i="17"/>
  <c r="HG48" i="17"/>
  <c r="HH48" i="17"/>
  <c r="HI48" i="17"/>
  <c r="HJ48" i="17"/>
  <c r="HK48" i="17"/>
  <c r="HL48" i="17"/>
  <c r="HM48" i="17"/>
  <c r="HN48" i="17"/>
  <c r="HO48" i="17"/>
  <c r="HP48" i="17"/>
  <c r="HQ48" i="17"/>
  <c r="HR48" i="17"/>
  <c r="HS48" i="17"/>
  <c r="HT48" i="17"/>
  <c r="HU48" i="17"/>
  <c r="HV48" i="17"/>
  <c r="HW48" i="17"/>
  <c r="HX48" i="17"/>
  <c r="HY48" i="17"/>
  <c r="HZ48" i="17"/>
  <c r="IA48" i="17"/>
  <c r="IB48" i="17"/>
  <c r="IC48" i="17"/>
  <c r="ID48" i="17"/>
  <c r="IE48" i="17"/>
  <c r="IF48" i="17"/>
  <c r="IG48" i="17"/>
  <c r="IH48" i="17"/>
  <c r="II48" i="17"/>
  <c r="IJ48" i="17"/>
  <c r="IK48" i="17"/>
  <c r="IL48" i="17"/>
  <c r="IM48" i="17"/>
  <c r="IN48" i="17"/>
  <c r="IO48" i="17"/>
  <c r="IP48" i="17"/>
  <c r="IQ48" i="17"/>
  <c r="IR48" i="17"/>
  <c r="IS48" i="17"/>
  <c r="IT48" i="17"/>
  <c r="IU48" i="17"/>
  <c r="IV48" i="17"/>
  <c r="IW48" i="17"/>
  <c r="IX48" i="17"/>
  <c r="IY48" i="17"/>
  <c r="IZ48" i="17"/>
  <c r="JA48" i="17"/>
  <c r="JB48" i="17"/>
  <c r="JC48" i="17"/>
  <c r="JD48" i="17"/>
  <c r="JE48" i="17"/>
  <c r="JF48" i="17"/>
  <c r="JG48" i="17"/>
  <c r="JH48" i="17"/>
  <c r="JI48" i="17"/>
  <c r="JJ48" i="17"/>
  <c r="JK48" i="17"/>
  <c r="JL48" i="17"/>
  <c r="JM48" i="17"/>
  <c r="JN48" i="17"/>
  <c r="JO48" i="17"/>
  <c r="JP48" i="17"/>
  <c r="JQ48" i="17"/>
  <c r="JR48" i="17"/>
  <c r="JS48" i="17"/>
  <c r="JT48" i="17"/>
  <c r="JU48" i="17"/>
  <c r="JV48" i="17"/>
  <c r="JW48" i="17"/>
  <c r="JX48" i="17"/>
  <c r="JY48" i="17"/>
  <c r="JZ48" i="17"/>
  <c r="KA48" i="17"/>
  <c r="KB48" i="17"/>
  <c r="KC48" i="17"/>
  <c r="KD48" i="17"/>
  <c r="KE48" i="17"/>
  <c r="KF48" i="17"/>
  <c r="KG48" i="17"/>
  <c r="KH48" i="17"/>
  <c r="KI48" i="17"/>
  <c r="KJ48" i="17"/>
  <c r="KK48" i="17"/>
  <c r="KL48" i="17"/>
  <c r="KM48" i="17"/>
  <c r="KN48" i="17"/>
  <c r="KO48" i="17"/>
  <c r="KP48" i="17"/>
  <c r="KQ48" i="17"/>
  <c r="KR48" i="17"/>
  <c r="KS48" i="17"/>
  <c r="KT48" i="17"/>
  <c r="KU48" i="17"/>
  <c r="KV48" i="17"/>
  <c r="KW48" i="17"/>
  <c r="KX48" i="17"/>
  <c r="KY48" i="17"/>
  <c r="KZ48" i="17"/>
  <c r="LA48" i="17"/>
  <c r="LB48" i="17"/>
  <c r="LC48" i="17"/>
  <c r="LD48" i="17"/>
  <c r="LE48" i="17"/>
  <c r="LF48" i="17"/>
  <c r="LG48" i="17"/>
  <c r="LH48" i="17"/>
  <c r="LI48" i="17"/>
  <c r="LJ48" i="17"/>
  <c r="LK48" i="17"/>
  <c r="LL48" i="17"/>
  <c r="LM48" i="17"/>
  <c r="LN48" i="17"/>
  <c r="LO48" i="17"/>
  <c r="LP48" i="17"/>
  <c r="LQ48" i="17"/>
  <c r="LR48" i="17"/>
  <c r="LS48" i="17"/>
  <c r="LT48" i="17"/>
  <c r="LU48" i="17"/>
  <c r="LV48" i="17"/>
  <c r="LW48" i="17"/>
  <c r="LX48" i="17"/>
  <c r="LY48" i="17"/>
  <c r="LZ48" i="17"/>
  <c r="MA48" i="17"/>
  <c r="MB48" i="17"/>
  <c r="MC48" i="17"/>
  <c r="MD48" i="17"/>
  <c r="ME48" i="17"/>
  <c r="MF48" i="17"/>
  <c r="MG48" i="17"/>
  <c r="MH48" i="17"/>
  <c r="MI48" i="17"/>
  <c r="MJ48" i="17"/>
  <c r="MK48" i="17"/>
  <c r="ML48" i="17"/>
  <c r="MM48" i="17"/>
  <c r="MN48" i="17"/>
  <c r="MO48" i="17"/>
  <c r="MP48" i="17"/>
  <c r="MQ48" i="17"/>
  <c r="MR48" i="17"/>
  <c r="MS48" i="17"/>
  <c r="MT48" i="17"/>
  <c r="MU48" i="17"/>
  <c r="MV48" i="17"/>
  <c r="MW48" i="17"/>
  <c r="MX48" i="17"/>
  <c r="MY48" i="17"/>
  <c r="MZ48" i="17"/>
  <c r="NA48" i="17"/>
  <c r="NB48" i="17"/>
  <c r="NC48" i="17"/>
  <c r="ND48" i="17"/>
  <c r="NE48" i="17"/>
  <c r="NF48" i="17"/>
  <c r="NG48" i="17"/>
  <c r="NH48" i="17"/>
  <c r="NI48" i="17"/>
  <c r="NJ48" i="17"/>
  <c r="NK48" i="17"/>
  <c r="NL48" i="17"/>
  <c r="NM48" i="17"/>
  <c r="NN48" i="17"/>
  <c r="NO48" i="17"/>
  <c r="NP48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Y47" i="17"/>
  <c r="Z47" i="17"/>
  <c r="AA47" i="17"/>
  <c r="AB47" i="17"/>
  <c r="AC47" i="17"/>
  <c r="AD47" i="17"/>
  <c r="AE47" i="17"/>
  <c r="AF47" i="17"/>
  <c r="AG47" i="17"/>
  <c r="AH47" i="17"/>
  <c r="AI47" i="17"/>
  <c r="AJ47" i="17"/>
  <c r="AK47" i="17"/>
  <c r="AL47" i="17"/>
  <c r="AM47" i="17"/>
  <c r="AN47" i="17"/>
  <c r="AO47" i="17"/>
  <c r="AP47" i="17"/>
  <c r="AQ47" i="17"/>
  <c r="AR47" i="17"/>
  <c r="AS47" i="17"/>
  <c r="AT47" i="17"/>
  <c r="AU47" i="17"/>
  <c r="AV47" i="17"/>
  <c r="AW47" i="17"/>
  <c r="BA47" i="17"/>
  <c r="BB47" i="17"/>
  <c r="BC47" i="17"/>
  <c r="BD47" i="17"/>
  <c r="BE47" i="17"/>
  <c r="BF47" i="17"/>
  <c r="BG47" i="17"/>
  <c r="BH47" i="17"/>
  <c r="BI47" i="17"/>
  <c r="BJ47" i="17"/>
  <c r="BK47" i="17"/>
  <c r="BL47" i="17"/>
  <c r="BM47" i="17"/>
  <c r="BN47" i="17"/>
  <c r="BO47" i="17"/>
  <c r="BP47" i="17"/>
  <c r="BQ47" i="17"/>
  <c r="BR47" i="17"/>
  <c r="BS47" i="17"/>
  <c r="BT47" i="17"/>
  <c r="BU47" i="17"/>
  <c r="BV47" i="17"/>
  <c r="BW47" i="17"/>
  <c r="BX47" i="17"/>
  <c r="BY47" i="17"/>
  <c r="BZ47" i="17"/>
  <c r="CA47" i="17"/>
  <c r="CB47" i="17"/>
  <c r="CC47" i="17"/>
  <c r="CD47" i="17"/>
  <c r="CE47" i="17"/>
  <c r="CF47" i="17"/>
  <c r="CG47" i="17"/>
  <c r="CH47" i="17"/>
  <c r="CI47" i="17"/>
  <c r="CJ47" i="17"/>
  <c r="CK47" i="17"/>
  <c r="CL47" i="17"/>
  <c r="CM47" i="17"/>
  <c r="CN47" i="17"/>
  <c r="CO47" i="17"/>
  <c r="CP47" i="17"/>
  <c r="CQ47" i="17"/>
  <c r="CR47" i="17"/>
  <c r="CS47" i="17"/>
  <c r="CT47" i="17"/>
  <c r="CU47" i="17"/>
  <c r="CV47" i="17"/>
  <c r="CW47" i="17"/>
  <c r="CX47" i="17"/>
  <c r="CY47" i="17"/>
  <c r="CZ47" i="17"/>
  <c r="DA47" i="17"/>
  <c r="DB47" i="17"/>
  <c r="DC47" i="17"/>
  <c r="DD47" i="17"/>
  <c r="DE47" i="17"/>
  <c r="DF47" i="17"/>
  <c r="DG47" i="17"/>
  <c r="DH47" i="17"/>
  <c r="DI47" i="17"/>
  <c r="DJ47" i="17"/>
  <c r="DK47" i="17"/>
  <c r="DL47" i="17"/>
  <c r="DM47" i="17"/>
  <c r="DN47" i="17"/>
  <c r="DO47" i="17"/>
  <c r="DP47" i="17"/>
  <c r="DQ47" i="17"/>
  <c r="DR47" i="17"/>
  <c r="DS47" i="17"/>
  <c r="DT47" i="17"/>
  <c r="DU47" i="17"/>
  <c r="DV47" i="17"/>
  <c r="DW47" i="17"/>
  <c r="DX47" i="17"/>
  <c r="DY47" i="17"/>
  <c r="DZ47" i="17"/>
  <c r="EA47" i="17"/>
  <c r="EB47" i="17"/>
  <c r="ED47" i="17"/>
  <c r="EE47" i="17"/>
  <c r="EF47" i="17"/>
  <c r="EG47" i="17"/>
  <c r="EH47" i="17"/>
  <c r="EI47" i="17"/>
  <c r="EJ47" i="17"/>
  <c r="EK47" i="17"/>
  <c r="EL47" i="17"/>
  <c r="EM47" i="17"/>
  <c r="EN47" i="17"/>
  <c r="EO47" i="17"/>
  <c r="EP47" i="17"/>
  <c r="EQ47" i="17"/>
  <c r="ER47" i="17"/>
  <c r="ES47" i="17"/>
  <c r="ET47" i="17"/>
  <c r="EU47" i="17"/>
  <c r="EV47" i="17"/>
  <c r="EW47" i="17"/>
  <c r="EX47" i="17"/>
  <c r="EY47" i="17"/>
  <c r="EZ47" i="17"/>
  <c r="FA47" i="17"/>
  <c r="FB47" i="17"/>
  <c r="FC47" i="17"/>
  <c r="FD47" i="17"/>
  <c r="FE47" i="17"/>
  <c r="FF47" i="17"/>
  <c r="FG47" i="17"/>
  <c r="FH47" i="17"/>
  <c r="FI47" i="17"/>
  <c r="FJ47" i="17"/>
  <c r="FK47" i="17"/>
  <c r="FL47" i="17"/>
  <c r="FM47" i="17"/>
  <c r="FN47" i="17"/>
  <c r="FO47" i="17"/>
  <c r="FP47" i="17"/>
  <c r="FQ47" i="17"/>
  <c r="FR47" i="17"/>
  <c r="FS47" i="17"/>
  <c r="FT47" i="17"/>
  <c r="FU47" i="17"/>
  <c r="FV47" i="17"/>
  <c r="FW47" i="17"/>
  <c r="FX47" i="17"/>
  <c r="FY47" i="17"/>
  <c r="FZ47" i="17"/>
  <c r="GA47" i="17"/>
  <c r="GB47" i="17"/>
  <c r="GC47" i="17"/>
  <c r="GD47" i="17"/>
  <c r="GE47" i="17"/>
  <c r="GF47" i="17"/>
  <c r="GG47" i="17"/>
  <c r="GH47" i="17"/>
  <c r="GI47" i="17"/>
  <c r="GJ47" i="17"/>
  <c r="GK47" i="17"/>
  <c r="GL47" i="17"/>
  <c r="GM47" i="17"/>
  <c r="GN47" i="17"/>
  <c r="GO47" i="17"/>
  <c r="GP47" i="17"/>
  <c r="GQ47" i="17"/>
  <c r="GR47" i="17"/>
  <c r="GS47" i="17"/>
  <c r="GT47" i="17"/>
  <c r="GU47" i="17"/>
  <c r="GV47" i="17"/>
  <c r="GW47" i="17"/>
  <c r="GX47" i="17"/>
  <c r="GY47" i="17"/>
  <c r="GZ47" i="17"/>
  <c r="HA47" i="17"/>
  <c r="HB47" i="17"/>
  <c r="HC47" i="17"/>
  <c r="HD47" i="17"/>
  <c r="HE47" i="17"/>
  <c r="HF47" i="17"/>
  <c r="HG47" i="17"/>
  <c r="HH47" i="17"/>
  <c r="HI47" i="17"/>
  <c r="HJ47" i="17"/>
  <c r="HK47" i="17"/>
  <c r="HL47" i="17"/>
  <c r="HM47" i="17"/>
  <c r="HN47" i="17"/>
  <c r="HO47" i="17"/>
  <c r="HP47" i="17"/>
  <c r="HQ47" i="17"/>
  <c r="HR47" i="17"/>
  <c r="HS47" i="17"/>
  <c r="HT47" i="17"/>
  <c r="HU47" i="17"/>
  <c r="HV47" i="17"/>
  <c r="HW47" i="17"/>
  <c r="HX47" i="17"/>
  <c r="HY47" i="17"/>
  <c r="HZ47" i="17"/>
  <c r="IA47" i="17"/>
  <c r="IB47" i="17"/>
  <c r="IC47" i="17"/>
  <c r="ID47" i="17"/>
  <c r="IE47" i="17"/>
  <c r="IF47" i="17"/>
  <c r="IG47" i="17"/>
  <c r="IH47" i="17"/>
  <c r="II47" i="17"/>
  <c r="IJ47" i="17"/>
  <c r="IK47" i="17"/>
  <c r="IL47" i="17"/>
  <c r="IM47" i="17"/>
  <c r="IN47" i="17"/>
  <c r="IO47" i="17"/>
  <c r="IP47" i="17"/>
  <c r="IQ47" i="17"/>
  <c r="IR47" i="17"/>
  <c r="IS47" i="17"/>
  <c r="IT47" i="17"/>
  <c r="IU47" i="17"/>
  <c r="IV47" i="17"/>
  <c r="IW47" i="17"/>
  <c r="IX47" i="17"/>
  <c r="IY47" i="17"/>
  <c r="IZ47" i="17"/>
  <c r="JA47" i="17"/>
  <c r="JB47" i="17"/>
  <c r="JC47" i="17"/>
  <c r="JD47" i="17"/>
  <c r="JE47" i="17"/>
  <c r="JF47" i="17"/>
  <c r="JG47" i="17"/>
  <c r="JH47" i="17"/>
  <c r="JI47" i="17"/>
  <c r="JJ47" i="17"/>
  <c r="JK47" i="17"/>
  <c r="JL47" i="17"/>
  <c r="JM47" i="17"/>
  <c r="JN47" i="17"/>
  <c r="JO47" i="17"/>
  <c r="JP47" i="17"/>
  <c r="JQ47" i="17"/>
  <c r="JR47" i="17"/>
  <c r="JS47" i="17"/>
  <c r="JT47" i="17"/>
  <c r="JU47" i="17"/>
  <c r="JV47" i="17"/>
  <c r="JW47" i="17"/>
  <c r="JX47" i="17"/>
  <c r="JY47" i="17"/>
  <c r="JZ47" i="17"/>
  <c r="KA47" i="17"/>
  <c r="KB47" i="17"/>
  <c r="KC47" i="17"/>
  <c r="KD47" i="17"/>
  <c r="KE47" i="17"/>
  <c r="KF47" i="17"/>
  <c r="KG47" i="17"/>
  <c r="KH47" i="17"/>
  <c r="KI47" i="17"/>
  <c r="KJ47" i="17"/>
  <c r="KK47" i="17"/>
  <c r="KL47" i="17"/>
  <c r="KM47" i="17"/>
  <c r="KN47" i="17"/>
  <c r="KO47" i="17"/>
  <c r="KP47" i="17"/>
  <c r="KQ47" i="17"/>
  <c r="KR47" i="17"/>
  <c r="KS47" i="17"/>
  <c r="KT47" i="17"/>
  <c r="KU47" i="17"/>
  <c r="KV47" i="17"/>
  <c r="KW47" i="17"/>
  <c r="KX47" i="17"/>
  <c r="KY47" i="17"/>
  <c r="KZ47" i="17"/>
  <c r="LA47" i="17"/>
  <c r="LB47" i="17"/>
  <c r="LC47" i="17"/>
  <c r="LD47" i="17"/>
  <c r="LE47" i="17"/>
  <c r="LF47" i="17"/>
  <c r="LG47" i="17"/>
  <c r="LH47" i="17"/>
  <c r="LI47" i="17"/>
  <c r="LJ47" i="17"/>
  <c r="LK47" i="17"/>
  <c r="LL47" i="17"/>
  <c r="LM47" i="17"/>
  <c r="LN47" i="17"/>
  <c r="LO47" i="17"/>
  <c r="LP47" i="17"/>
  <c r="LQ47" i="17"/>
  <c r="LR47" i="17"/>
  <c r="LS47" i="17"/>
  <c r="LT47" i="17"/>
  <c r="LU47" i="17"/>
  <c r="LV47" i="17"/>
  <c r="LW47" i="17"/>
  <c r="LX47" i="17"/>
  <c r="LY47" i="17"/>
  <c r="LZ47" i="17"/>
  <c r="MA47" i="17"/>
  <c r="MB47" i="17"/>
  <c r="MC47" i="17"/>
  <c r="MD47" i="17"/>
  <c r="ME47" i="17"/>
  <c r="MF47" i="17"/>
  <c r="MG47" i="17"/>
  <c r="MH47" i="17"/>
  <c r="MI47" i="17"/>
  <c r="MJ47" i="17"/>
  <c r="MK47" i="17"/>
  <c r="ML47" i="17"/>
  <c r="MM47" i="17"/>
  <c r="MN47" i="17"/>
  <c r="MO47" i="17"/>
  <c r="MP47" i="17"/>
  <c r="MQ47" i="17"/>
  <c r="MR47" i="17"/>
  <c r="MS47" i="17"/>
  <c r="MT47" i="17"/>
  <c r="MU47" i="17"/>
  <c r="MV47" i="17"/>
  <c r="MW47" i="17"/>
  <c r="MX47" i="17"/>
  <c r="MY47" i="17"/>
  <c r="MZ47" i="17"/>
  <c r="NA47" i="17"/>
  <c r="NB47" i="17"/>
  <c r="NC47" i="17"/>
  <c r="ND47" i="17"/>
  <c r="NE47" i="17"/>
  <c r="NF47" i="17"/>
  <c r="NG47" i="17"/>
  <c r="NH47" i="17"/>
  <c r="NI47" i="17"/>
  <c r="NJ47" i="17"/>
  <c r="NK47" i="17"/>
  <c r="NL47" i="17"/>
  <c r="NM47" i="17"/>
  <c r="NN47" i="17"/>
  <c r="NO47" i="17"/>
  <c r="NP47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Y46" i="17"/>
  <c r="Z46" i="17"/>
  <c r="AA46" i="17"/>
  <c r="AB46" i="17"/>
  <c r="AC46" i="17"/>
  <c r="AD46" i="17"/>
  <c r="AE46" i="17"/>
  <c r="AF46" i="17"/>
  <c r="AG46" i="17"/>
  <c r="AH46" i="17"/>
  <c r="AI46" i="17"/>
  <c r="AJ46" i="17"/>
  <c r="AK46" i="17"/>
  <c r="AL46" i="17"/>
  <c r="AM46" i="17"/>
  <c r="AN46" i="17"/>
  <c r="AO46" i="17"/>
  <c r="AP46" i="17"/>
  <c r="AQ46" i="17"/>
  <c r="AR46" i="17"/>
  <c r="AS46" i="17"/>
  <c r="AT46" i="17"/>
  <c r="AU46" i="17"/>
  <c r="AV46" i="17"/>
  <c r="AW46" i="17"/>
  <c r="BA46" i="17"/>
  <c r="BB46" i="17"/>
  <c r="BC46" i="17"/>
  <c r="BD46" i="17"/>
  <c r="BE46" i="17"/>
  <c r="BF46" i="17"/>
  <c r="BG46" i="17"/>
  <c r="BH46" i="17"/>
  <c r="BI46" i="17"/>
  <c r="BJ46" i="17"/>
  <c r="BK46" i="17"/>
  <c r="BL46" i="17"/>
  <c r="BM46" i="17"/>
  <c r="BN46" i="17"/>
  <c r="BO46" i="17"/>
  <c r="BP46" i="17"/>
  <c r="BQ46" i="17"/>
  <c r="BR46" i="17"/>
  <c r="BS46" i="17"/>
  <c r="BT46" i="17"/>
  <c r="BU46" i="17"/>
  <c r="BV46" i="17"/>
  <c r="BW46" i="17"/>
  <c r="BX46" i="17"/>
  <c r="BY46" i="17"/>
  <c r="BZ46" i="17"/>
  <c r="CA46" i="17"/>
  <c r="CB46" i="17"/>
  <c r="CC46" i="17"/>
  <c r="CD46" i="17"/>
  <c r="CE46" i="17"/>
  <c r="CF46" i="17"/>
  <c r="CG46" i="17"/>
  <c r="CH46" i="17"/>
  <c r="CI46" i="17"/>
  <c r="CJ46" i="17"/>
  <c r="CK46" i="17"/>
  <c r="CL46" i="17"/>
  <c r="CM46" i="17"/>
  <c r="CN46" i="17"/>
  <c r="CO46" i="17"/>
  <c r="CP46" i="17"/>
  <c r="CQ46" i="17"/>
  <c r="CR46" i="17"/>
  <c r="CS46" i="17"/>
  <c r="CT46" i="17"/>
  <c r="CU46" i="17"/>
  <c r="CV46" i="17"/>
  <c r="CW46" i="17"/>
  <c r="CX46" i="17"/>
  <c r="CY46" i="17"/>
  <c r="CZ46" i="17"/>
  <c r="DA46" i="17"/>
  <c r="DB46" i="17"/>
  <c r="DC46" i="17"/>
  <c r="DD46" i="17"/>
  <c r="DE46" i="17"/>
  <c r="DF46" i="17"/>
  <c r="DG46" i="17"/>
  <c r="DH46" i="17"/>
  <c r="DI46" i="17"/>
  <c r="DJ46" i="17"/>
  <c r="DK46" i="17"/>
  <c r="DL46" i="17"/>
  <c r="DM46" i="17"/>
  <c r="DN46" i="17"/>
  <c r="DO46" i="17"/>
  <c r="DP46" i="17"/>
  <c r="DQ46" i="17"/>
  <c r="DR46" i="17"/>
  <c r="DS46" i="17"/>
  <c r="DT46" i="17"/>
  <c r="DU46" i="17"/>
  <c r="DV46" i="17"/>
  <c r="DW46" i="17"/>
  <c r="DX46" i="17"/>
  <c r="DY46" i="17"/>
  <c r="DZ46" i="17"/>
  <c r="EA46" i="17"/>
  <c r="EB46" i="17"/>
  <c r="EC46" i="17"/>
  <c r="ED46" i="17"/>
  <c r="EE46" i="17"/>
  <c r="EF46" i="17"/>
  <c r="EG46" i="17"/>
  <c r="EH46" i="17"/>
  <c r="EI46" i="17"/>
  <c r="EJ46" i="17"/>
  <c r="EK46" i="17"/>
  <c r="EL46" i="17"/>
  <c r="EM46" i="17"/>
  <c r="EN46" i="17"/>
  <c r="EO46" i="17"/>
  <c r="EP46" i="17"/>
  <c r="EQ46" i="17"/>
  <c r="ER46" i="17"/>
  <c r="ES46" i="17"/>
  <c r="ET46" i="17"/>
  <c r="EU46" i="17"/>
  <c r="EV46" i="17"/>
  <c r="EW46" i="17"/>
  <c r="EX46" i="17"/>
  <c r="EY46" i="17"/>
  <c r="EZ46" i="17"/>
  <c r="FA46" i="17"/>
  <c r="FB46" i="17"/>
  <c r="FC46" i="17"/>
  <c r="FD46" i="17"/>
  <c r="FE46" i="17"/>
  <c r="FF46" i="17"/>
  <c r="FG46" i="17"/>
  <c r="FH46" i="17"/>
  <c r="FI46" i="17"/>
  <c r="FJ46" i="17"/>
  <c r="FK46" i="17"/>
  <c r="FL46" i="17"/>
  <c r="FM46" i="17"/>
  <c r="FN46" i="17"/>
  <c r="FO46" i="17"/>
  <c r="FP46" i="17"/>
  <c r="FQ46" i="17"/>
  <c r="FR46" i="17"/>
  <c r="FS46" i="17"/>
  <c r="FT46" i="17"/>
  <c r="FU46" i="17"/>
  <c r="FV46" i="17"/>
  <c r="FW46" i="17"/>
  <c r="FX46" i="17"/>
  <c r="FY46" i="17"/>
  <c r="FZ46" i="17"/>
  <c r="GA46" i="17"/>
  <c r="GB46" i="17"/>
  <c r="GC46" i="17"/>
  <c r="GD46" i="17"/>
  <c r="GE46" i="17"/>
  <c r="GF46" i="17"/>
  <c r="GG46" i="17"/>
  <c r="GH46" i="17"/>
  <c r="GI46" i="17"/>
  <c r="GJ46" i="17"/>
  <c r="GK46" i="17"/>
  <c r="GL46" i="17"/>
  <c r="GM46" i="17"/>
  <c r="GN46" i="17"/>
  <c r="GO46" i="17"/>
  <c r="GP46" i="17"/>
  <c r="GQ46" i="17"/>
  <c r="GR46" i="17"/>
  <c r="GS46" i="17"/>
  <c r="GT46" i="17"/>
  <c r="GU46" i="17"/>
  <c r="GV46" i="17"/>
  <c r="GW46" i="17"/>
  <c r="GX46" i="17"/>
  <c r="GY46" i="17"/>
  <c r="GZ46" i="17"/>
  <c r="HA46" i="17"/>
  <c r="HB46" i="17"/>
  <c r="HC46" i="17"/>
  <c r="HD46" i="17"/>
  <c r="HE46" i="17"/>
  <c r="HF46" i="17"/>
  <c r="HG46" i="17"/>
  <c r="HH46" i="17"/>
  <c r="HI46" i="17"/>
  <c r="HJ46" i="17"/>
  <c r="HK46" i="17"/>
  <c r="HL46" i="17"/>
  <c r="HM46" i="17"/>
  <c r="HN46" i="17"/>
  <c r="HO46" i="17"/>
  <c r="HP46" i="17"/>
  <c r="HQ46" i="17"/>
  <c r="HR46" i="17"/>
  <c r="HS46" i="17"/>
  <c r="HT46" i="17"/>
  <c r="HU46" i="17"/>
  <c r="HV46" i="17"/>
  <c r="HW46" i="17"/>
  <c r="HX46" i="17"/>
  <c r="HY46" i="17"/>
  <c r="HZ46" i="17"/>
  <c r="IA46" i="17"/>
  <c r="IB46" i="17"/>
  <c r="IC46" i="17"/>
  <c r="ID46" i="17"/>
  <c r="IE46" i="17"/>
  <c r="IF46" i="17"/>
  <c r="IG46" i="17"/>
  <c r="IH46" i="17"/>
  <c r="II46" i="17"/>
  <c r="IJ46" i="17"/>
  <c r="IK46" i="17"/>
  <c r="IL46" i="17"/>
  <c r="IM46" i="17"/>
  <c r="IN46" i="17"/>
  <c r="IO46" i="17"/>
  <c r="IP46" i="17"/>
  <c r="IQ46" i="17"/>
  <c r="IR46" i="17"/>
  <c r="IS46" i="17"/>
  <c r="IT46" i="17"/>
  <c r="IU46" i="17"/>
  <c r="IV46" i="17"/>
  <c r="IW46" i="17"/>
  <c r="IX46" i="17"/>
  <c r="IY46" i="17"/>
  <c r="IZ46" i="17"/>
  <c r="JA46" i="17"/>
  <c r="JB46" i="17"/>
  <c r="JC46" i="17"/>
  <c r="JD46" i="17"/>
  <c r="JE46" i="17"/>
  <c r="JF46" i="17"/>
  <c r="JG46" i="17"/>
  <c r="JH46" i="17"/>
  <c r="JI46" i="17"/>
  <c r="JJ46" i="17"/>
  <c r="JK46" i="17"/>
  <c r="JL46" i="17"/>
  <c r="JM46" i="17"/>
  <c r="JN46" i="17"/>
  <c r="JO46" i="17"/>
  <c r="JP46" i="17"/>
  <c r="JQ46" i="17"/>
  <c r="JR46" i="17"/>
  <c r="JS46" i="17"/>
  <c r="JT46" i="17"/>
  <c r="JU46" i="17"/>
  <c r="JV46" i="17"/>
  <c r="JW46" i="17"/>
  <c r="JX46" i="17"/>
  <c r="JY46" i="17"/>
  <c r="JZ46" i="17"/>
  <c r="KA46" i="17"/>
  <c r="KB46" i="17"/>
  <c r="KC46" i="17"/>
  <c r="KD46" i="17"/>
  <c r="KE46" i="17"/>
  <c r="KF46" i="17"/>
  <c r="KG46" i="17"/>
  <c r="KH46" i="17"/>
  <c r="KI46" i="17"/>
  <c r="KJ46" i="17"/>
  <c r="KK46" i="17"/>
  <c r="KL46" i="17"/>
  <c r="KM46" i="17"/>
  <c r="KN46" i="17"/>
  <c r="KO46" i="17"/>
  <c r="KP46" i="17"/>
  <c r="KQ46" i="17"/>
  <c r="KR46" i="17"/>
  <c r="KS46" i="17"/>
  <c r="KT46" i="17"/>
  <c r="KU46" i="17"/>
  <c r="KV46" i="17"/>
  <c r="KW46" i="17"/>
  <c r="KX46" i="17"/>
  <c r="KY46" i="17"/>
  <c r="KZ46" i="17"/>
  <c r="LA46" i="17"/>
  <c r="LB46" i="17"/>
  <c r="LC46" i="17"/>
  <c r="LD46" i="17"/>
  <c r="LE46" i="17"/>
  <c r="LF46" i="17"/>
  <c r="LG46" i="17"/>
  <c r="LH46" i="17"/>
  <c r="LI46" i="17"/>
  <c r="LJ46" i="17"/>
  <c r="LK46" i="17"/>
  <c r="LL46" i="17"/>
  <c r="LM46" i="17"/>
  <c r="LN46" i="17"/>
  <c r="LO46" i="17"/>
  <c r="LP46" i="17"/>
  <c r="LQ46" i="17"/>
  <c r="LR46" i="17"/>
  <c r="LS46" i="17"/>
  <c r="LT46" i="17"/>
  <c r="LU46" i="17"/>
  <c r="LV46" i="17"/>
  <c r="LW46" i="17"/>
  <c r="LX46" i="17"/>
  <c r="LY46" i="17"/>
  <c r="LZ46" i="17"/>
  <c r="MA46" i="17"/>
  <c r="MB46" i="17"/>
  <c r="MC46" i="17"/>
  <c r="MD46" i="17"/>
  <c r="ME46" i="17"/>
  <c r="MF46" i="17"/>
  <c r="MG46" i="17"/>
  <c r="MH46" i="17"/>
  <c r="MI46" i="17"/>
  <c r="MJ46" i="17"/>
  <c r="MK46" i="17"/>
  <c r="ML46" i="17"/>
  <c r="MM46" i="17"/>
  <c r="MN46" i="17"/>
  <c r="MO46" i="17"/>
  <c r="MP46" i="17"/>
  <c r="MQ46" i="17"/>
  <c r="MR46" i="17"/>
  <c r="MS46" i="17"/>
  <c r="MT46" i="17"/>
  <c r="MU46" i="17"/>
  <c r="MV46" i="17"/>
  <c r="MW46" i="17"/>
  <c r="MX46" i="17"/>
  <c r="MY46" i="17"/>
  <c r="MZ46" i="17"/>
  <c r="NA46" i="17"/>
  <c r="NB46" i="17"/>
  <c r="NC46" i="17"/>
  <c r="ND46" i="17"/>
  <c r="NE46" i="17"/>
  <c r="NF46" i="17"/>
  <c r="NG46" i="17"/>
  <c r="NH46" i="17"/>
  <c r="NI46" i="17"/>
  <c r="NJ46" i="17"/>
  <c r="NK46" i="17"/>
  <c r="NL46" i="17"/>
  <c r="NM46" i="17"/>
  <c r="NN46" i="17"/>
  <c r="NO46" i="17"/>
  <c r="NP46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Y45" i="17"/>
  <c r="Z45" i="17"/>
  <c r="AA45" i="17"/>
  <c r="AB45" i="17"/>
  <c r="AC45" i="17"/>
  <c r="AD45" i="17"/>
  <c r="AE45" i="17"/>
  <c r="AF45" i="17"/>
  <c r="AG45" i="17"/>
  <c r="AH45" i="17"/>
  <c r="AI45" i="17"/>
  <c r="AJ45" i="17"/>
  <c r="AK45" i="17"/>
  <c r="AL45" i="17"/>
  <c r="AM45" i="17"/>
  <c r="AN45" i="17"/>
  <c r="AO45" i="17"/>
  <c r="AP45" i="17"/>
  <c r="AQ45" i="17"/>
  <c r="AR45" i="17"/>
  <c r="AS45" i="17"/>
  <c r="AT45" i="17"/>
  <c r="AU45" i="17"/>
  <c r="AV45" i="17"/>
  <c r="AW45" i="17"/>
  <c r="BA45" i="17"/>
  <c r="BB45" i="17"/>
  <c r="BC45" i="17"/>
  <c r="BD45" i="17"/>
  <c r="BE45" i="17"/>
  <c r="BF45" i="17"/>
  <c r="BG45" i="17"/>
  <c r="BH45" i="17"/>
  <c r="BI45" i="17"/>
  <c r="BJ45" i="17"/>
  <c r="BK45" i="17"/>
  <c r="BL45" i="17"/>
  <c r="BM45" i="17"/>
  <c r="BN45" i="17"/>
  <c r="BO45" i="17"/>
  <c r="BP45" i="17"/>
  <c r="BQ45" i="17"/>
  <c r="BR45" i="17"/>
  <c r="BS45" i="17"/>
  <c r="BT45" i="17"/>
  <c r="BU45" i="17"/>
  <c r="BV45" i="17"/>
  <c r="BW45" i="17"/>
  <c r="BX45" i="17"/>
  <c r="BY45" i="17"/>
  <c r="BZ45" i="17"/>
  <c r="CA45" i="17"/>
  <c r="CB45" i="17"/>
  <c r="CC45" i="17"/>
  <c r="CD45" i="17"/>
  <c r="CE45" i="17"/>
  <c r="CF45" i="17"/>
  <c r="CG45" i="17"/>
  <c r="CH45" i="17"/>
  <c r="CI45" i="17"/>
  <c r="CJ45" i="17"/>
  <c r="CK45" i="17"/>
  <c r="CL45" i="17"/>
  <c r="CM45" i="17"/>
  <c r="CN45" i="17"/>
  <c r="CO45" i="17"/>
  <c r="CP45" i="17"/>
  <c r="CQ45" i="17"/>
  <c r="CR45" i="17"/>
  <c r="CS45" i="17"/>
  <c r="CT45" i="17"/>
  <c r="CU45" i="17"/>
  <c r="CV45" i="17"/>
  <c r="CW45" i="17"/>
  <c r="CX45" i="17"/>
  <c r="CY45" i="17"/>
  <c r="CZ45" i="17"/>
  <c r="DA45" i="17"/>
  <c r="DB45" i="17"/>
  <c r="DC45" i="17"/>
  <c r="DD45" i="17"/>
  <c r="DE45" i="17"/>
  <c r="DF45" i="17"/>
  <c r="DG45" i="17"/>
  <c r="DH45" i="17"/>
  <c r="DI45" i="17"/>
  <c r="DJ45" i="17"/>
  <c r="DK45" i="17"/>
  <c r="DL45" i="17"/>
  <c r="DM45" i="17"/>
  <c r="DN45" i="17"/>
  <c r="DO45" i="17"/>
  <c r="DP45" i="17"/>
  <c r="DQ45" i="17"/>
  <c r="DR45" i="17"/>
  <c r="DS45" i="17"/>
  <c r="DT45" i="17"/>
  <c r="DU45" i="17"/>
  <c r="DV45" i="17"/>
  <c r="DW45" i="17"/>
  <c r="DX45" i="17"/>
  <c r="DY45" i="17"/>
  <c r="DZ45" i="17"/>
  <c r="EA45" i="17"/>
  <c r="EB45" i="17"/>
  <c r="EC45" i="17"/>
  <c r="ED45" i="17"/>
  <c r="EE45" i="17"/>
  <c r="EF45" i="17"/>
  <c r="EG45" i="17"/>
  <c r="EH45" i="17"/>
  <c r="EI45" i="17"/>
  <c r="EJ45" i="17"/>
  <c r="EK45" i="17"/>
  <c r="EL45" i="17"/>
  <c r="EM45" i="17"/>
  <c r="EN45" i="17"/>
  <c r="EO45" i="17"/>
  <c r="EP45" i="17"/>
  <c r="EQ45" i="17"/>
  <c r="ER45" i="17"/>
  <c r="ES45" i="17"/>
  <c r="ET45" i="17"/>
  <c r="EU45" i="17"/>
  <c r="EV45" i="17"/>
  <c r="EW45" i="17"/>
  <c r="EX45" i="17"/>
  <c r="EY45" i="17"/>
  <c r="EZ45" i="17"/>
  <c r="FA45" i="17"/>
  <c r="FB45" i="17"/>
  <c r="FC45" i="17"/>
  <c r="FD45" i="17"/>
  <c r="FE45" i="17"/>
  <c r="FF45" i="17"/>
  <c r="FG45" i="17"/>
  <c r="FH45" i="17"/>
  <c r="FI45" i="17"/>
  <c r="FJ45" i="17"/>
  <c r="FK45" i="17"/>
  <c r="FL45" i="17"/>
  <c r="FM45" i="17"/>
  <c r="FN45" i="17"/>
  <c r="FO45" i="17"/>
  <c r="FP45" i="17"/>
  <c r="FQ45" i="17"/>
  <c r="FR45" i="17"/>
  <c r="FS45" i="17"/>
  <c r="FT45" i="17"/>
  <c r="FU45" i="17"/>
  <c r="FV45" i="17"/>
  <c r="FW45" i="17"/>
  <c r="FX45" i="17"/>
  <c r="FY45" i="17"/>
  <c r="FZ45" i="17"/>
  <c r="GA45" i="17"/>
  <c r="GB45" i="17"/>
  <c r="GC45" i="17"/>
  <c r="GD45" i="17"/>
  <c r="GE45" i="17"/>
  <c r="GF45" i="17"/>
  <c r="GG45" i="17"/>
  <c r="GH45" i="17"/>
  <c r="GI45" i="17"/>
  <c r="GJ45" i="17"/>
  <c r="GK45" i="17"/>
  <c r="GL45" i="17"/>
  <c r="GM45" i="17"/>
  <c r="GN45" i="17"/>
  <c r="GO45" i="17"/>
  <c r="GP45" i="17"/>
  <c r="GQ45" i="17"/>
  <c r="GR45" i="17"/>
  <c r="GS45" i="17"/>
  <c r="GT45" i="17"/>
  <c r="GU45" i="17"/>
  <c r="GV45" i="17"/>
  <c r="GW45" i="17"/>
  <c r="GX45" i="17"/>
  <c r="GY45" i="17"/>
  <c r="GZ45" i="17"/>
  <c r="HA45" i="17"/>
  <c r="HB45" i="17"/>
  <c r="HC45" i="17"/>
  <c r="HD45" i="17"/>
  <c r="HE45" i="17"/>
  <c r="HF45" i="17"/>
  <c r="HG45" i="17"/>
  <c r="HH45" i="17"/>
  <c r="HI45" i="17"/>
  <c r="HJ45" i="17"/>
  <c r="HK45" i="17"/>
  <c r="HL45" i="17"/>
  <c r="HM45" i="17"/>
  <c r="HN45" i="17"/>
  <c r="HO45" i="17"/>
  <c r="HP45" i="17"/>
  <c r="HQ45" i="17"/>
  <c r="HR45" i="17"/>
  <c r="HS45" i="17"/>
  <c r="HT45" i="17"/>
  <c r="HU45" i="17"/>
  <c r="HV45" i="17"/>
  <c r="HW45" i="17"/>
  <c r="HX45" i="17"/>
  <c r="HY45" i="17"/>
  <c r="IE45" i="17"/>
  <c r="IF45" i="17"/>
  <c r="IG45" i="17"/>
  <c r="IH45" i="17"/>
  <c r="II45" i="17"/>
  <c r="IJ45" i="17"/>
  <c r="IK45" i="17"/>
  <c r="IL45" i="17"/>
  <c r="IM45" i="17"/>
  <c r="IN45" i="17"/>
  <c r="IO45" i="17"/>
  <c r="IP45" i="17"/>
  <c r="IQ45" i="17"/>
  <c r="IR45" i="17"/>
  <c r="IS45" i="17"/>
  <c r="IT45" i="17"/>
  <c r="IU45" i="17"/>
  <c r="IV45" i="17"/>
  <c r="IW45" i="17"/>
  <c r="IX45" i="17"/>
  <c r="IY45" i="17"/>
  <c r="IZ45" i="17"/>
  <c r="JA45" i="17"/>
  <c r="JB45" i="17"/>
  <c r="JC45" i="17"/>
  <c r="JD45" i="17"/>
  <c r="JE45" i="17"/>
  <c r="JF45" i="17"/>
  <c r="JG45" i="17"/>
  <c r="JH45" i="17"/>
  <c r="JI45" i="17"/>
  <c r="JJ45" i="17"/>
  <c r="JK45" i="17"/>
  <c r="JL45" i="17"/>
  <c r="JM45" i="17"/>
  <c r="JN45" i="17"/>
  <c r="JO45" i="17"/>
  <c r="JP45" i="17"/>
  <c r="JQ45" i="17"/>
  <c r="JR45" i="17"/>
  <c r="JS45" i="17"/>
  <c r="JT45" i="17"/>
  <c r="JU45" i="17"/>
  <c r="JV45" i="17"/>
  <c r="JW45" i="17"/>
  <c r="JX45" i="17"/>
  <c r="JY45" i="17"/>
  <c r="JZ45" i="17"/>
  <c r="KA45" i="17"/>
  <c r="KB45" i="17"/>
  <c r="KC45" i="17"/>
  <c r="KD45" i="17"/>
  <c r="KE45" i="17"/>
  <c r="KF45" i="17"/>
  <c r="KG45" i="17"/>
  <c r="KH45" i="17"/>
  <c r="KI45" i="17"/>
  <c r="KJ45" i="17"/>
  <c r="KK45" i="17"/>
  <c r="KL45" i="17"/>
  <c r="KM45" i="17"/>
  <c r="KN45" i="17"/>
  <c r="KO45" i="17"/>
  <c r="KP45" i="17"/>
  <c r="KQ45" i="17"/>
  <c r="KR45" i="17"/>
  <c r="KS45" i="17"/>
  <c r="KT45" i="17"/>
  <c r="KU45" i="17"/>
  <c r="KV45" i="17"/>
  <c r="KW45" i="17"/>
  <c r="KX45" i="17"/>
  <c r="KY45" i="17"/>
  <c r="KZ45" i="17"/>
  <c r="LA45" i="17"/>
  <c r="LB45" i="17"/>
  <c r="LC45" i="17"/>
  <c r="LD45" i="17"/>
  <c r="LE45" i="17"/>
  <c r="LF45" i="17"/>
  <c r="LG45" i="17"/>
  <c r="LH45" i="17"/>
  <c r="LI45" i="17"/>
  <c r="LJ45" i="17"/>
  <c r="LK45" i="17"/>
  <c r="LL45" i="17"/>
  <c r="LM45" i="17"/>
  <c r="LN45" i="17"/>
  <c r="LO45" i="17"/>
  <c r="LP45" i="17"/>
  <c r="LQ45" i="17"/>
  <c r="LR45" i="17"/>
  <c r="LS45" i="17"/>
  <c r="LT45" i="17"/>
  <c r="LU45" i="17"/>
  <c r="LV45" i="17"/>
  <c r="LW45" i="17"/>
  <c r="LX45" i="17"/>
  <c r="LY45" i="17"/>
  <c r="LZ45" i="17"/>
  <c r="MA45" i="17"/>
  <c r="MB45" i="17"/>
  <c r="MC45" i="17"/>
  <c r="MD45" i="17"/>
  <c r="ME45" i="17"/>
  <c r="MF45" i="17"/>
  <c r="MG45" i="17"/>
  <c r="MH45" i="17"/>
  <c r="MI45" i="17"/>
  <c r="MJ45" i="17"/>
  <c r="MK45" i="17"/>
  <c r="ML45" i="17"/>
  <c r="MM45" i="17"/>
  <c r="MN45" i="17"/>
  <c r="MO45" i="17"/>
  <c r="MP45" i="17"/>
  <c r="MQ45" i="17"/>
  <c r="MR45" i="17"/>
  <c r="MS45" i="17"/>
  <c r="MT45" i="17"/>
  <c r="MU45" i="17"/>
  <c r="MV45" i="17"/>
  <c r="MW45" i="17"/>
  <c r="MX45" i="17"/>
  <c r="MY45" i="17"/>
  <c r="MZ45" i="17"/>
  <c r="NA45" i="17"/>
  <c r="NB45" i="17"/>
  <c r="NC45" i="17"/>
  <c r="ND45" i="17"/>
  <c r="NE45" i="17"/>
  <c r="NF45" i="17"/>
  <c r="NG45" i="17"/>
  <c r="NH45" i="17"/>
  <c r="NI45" i="17"/>
  <c r="NJ45" i="17"/>
  <c r="NK45" i="17"/>
  <c r="NL45" i="17"/>
  <c r="NM45" i="17"/>
  <c r="NN45" i="17"/>
  <c r="NO45" i="17"/>
  <c r="NP45" i="17"/>
  <c r="C45" i="17"/>
  <c r="C46" i="17"/>
  <c r="C47" i="17"/>
  <c r="C48" i="17"/>
  <c r="C49" i="17"/>
  <c r="OB21" i="17" l="1"/>
  <c r="OB22" i="17" s="1"/>
  <c r="NY8" i="17"/>
  <c r="NZ8" i="17" s="1"/>
  <c r="NY10" i="17"/>
  <c r="NZ10" i="17" s="1"/>
  <c r="NY22" i="17"/>
  <c r="NZ22" i="17" s="1"/>
  <c r="NY20" i="17"/>
  <c r="NZ20" i="17" s="1"/>
  <c r="NY18" i="17"/>
  <c r="NZ18" i="17" s="1"/>
  <c r="NY16" i="17"/>
  <c r="NZ16" i="17" s="1"/>
  <c r="NY14" i="17"/>
  <c r="NZ14" i="17" s="1"/>
  <c r="NY12" i="17"/>
  <c r="NZ12" i="17" s="1"/>
  <c r="IP42" i="13"/>
  <c r="IQ42" i="13"/>
  <c r="IR42" i="13"/>
  <c r="IS42" i="13"/>
  <c r="IT42" i="13"/>
  <c r="IU42" i="13"/>
  <c r="IV42" i="13"/>
  <c r="IW42" i="13"/>
  <c r="IX42" i="13"/>
  <c r="IY42" i="13"/>
  <c r="IZ42" i="13"/>
  <c r="JA42" i="13"/>
  <c r="JB42" i="13"/>
  <c r="JC42" i="13"/>
  <c r="JD42" i="13"/>
  <c r="JE42" i="13"/>
  <c r="JF42" i="13"/>
  <c r="JG42" i="13"/>
  <c r="JH42" i="13"/>
  <c r="JI42" i="13"/>
  <c r="JJ42" i="13"/>
  <c r="JK42" i="13"/>
  <c r="HR42" i="13"/>
  <c r="HS42" i="13"/>
  <c r="HT42" i="13"/>
  <c r="HU42" i="13"/>
  <c r="HV42" i="13"/>
  <c r="HW42" i="13"/>
  <c r="HX42" i="13"/>
  <c r="HY42" i="13"/>
  <c r="HZ42" i="13"/>
  <c r="IA42" i="13"/>
  <c r="IB42" i="13"/>
  <c r="IC42" i="13"/>
  <c r="ID42" i="13"/>
  <c r="IE42" i="13"/>
  <c r="IF42" i="13"/>
  <c r="IG42" i="13"/>
  <c r="IH42" i="13"/>
  <c r="II42" i="13"/>
  <c r="IJ42" i="13"/>
  <c r="IK42" i="13"/>
  <c r="IL42" i="13"/>
  <c r="IM42" i="13"/>
  <c r="IN42" i="13"/>
  <c r="IO42" i="13"/>
  <c r="HH42" i="13"/>
  <c r="HI42" i="13"/>
  <c r="HJ42" i="13"/>
  <c r="HK42" i="13"/>
  <c r="HL42" i="13"/>
  <c r="HM42" i="13"/>
  <c r="HN42" i="13"/>
  <c r="HO42" i="13"/>
  <c r="HP42" i="13"/>
  <c r="HQ42" i="13"/>
  <c r="FD42" i="13"/>
  <c r="FE42" i="13"/>
  <c r="FF42" i="13"/>
  <c r="FG42" i="13"/>
  <c r="FH42" i="13"/>
  <c r="FI42" i="13"/>
  <c r="FJ42" i="13"/>
  <c r="FK42" i="13"/>
  <c r="FL42" i="13"/>
  <c r="FM42" i="13"/>
  <c r="FN42" i="13"/>
  <c r="FO42" i="13"/>
  <c r="FP42" i="13"/>
  <c r="FQ42" i="13"/>
  <c r="FR42" i="13"/>
  <c r="FS42" i="13"/>
  <c r="FT42" i="13"/>
  <c r="FU42" i="13"/>
  <c r="FV42" i="13"/>
  <c r="FW42" i="13"/>
  <c r="FX42" i="13"/>
  <c r="FY42" i="13"/>
  <c r="FZ42" i="13"/>
  <c r="GA42" i="13"/>
  <c r="GB42" i="13"/>
  <c r="GC42" i="13"/>
  <c r="GD42" i="13"/>
  <c r="GE42" i="13"/>
  <c r="GF42" i="13"/>
  <c r="GG42" i="13"/>
  <c r="GH42" i="13"/>
  <c r="GI42" i="13"/>
  <c r="GJ42" i="13"/>
  <c r="GK42" i="13"/>
  <c r="GL42" i="13"/>
  <c r="GM42" i="13"/>
  <c r="GN42" i="13"/>
  <c r="GO42" i="13"/>
  <c r="GP42" i="13"/>
  <c r="GQ42" i="13"/>
  <c r="GR42" i="13"/>
  <c r="GS42" i="13"/>
  <c r="GT42" i="13"/>
  <c r="GU42" i="13"/>
  <c r="GV42" i="13"/>
  <c r="GW42" i="13"/>
  <c r="GX42" i="13"/>
  <c r="GY42" i="13"/>
  <c r="GZ42" i="13"/>
  <c r="HA42" i="13"/>
  <c r="HB42" i="13"/>
  <c r="HC42" i="13"/>
  <c r="HD42" i="13"/>
  <c r="HE42" i="13"/>
  <c r="HF42" i="13"/>
  <c r="HG42" i="13"/>
  <c r="AR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Z66" i="15"/>
  <c r="AA66" i="15"/>
  <c r="AB66" i="15"/>
  <c r="AC66" i="15"/>
  <c r="AD66" i="15"/>
  <c r="AE66" i="15"/>
  <c r="AF66" i="15"/>
  <c r="AG66" i="15"/>
  <c r="AH66" i="15"/>
  <c r="AI66" i="15"/>
  <c r="AJ66" i="15"/>
  <c r="AK66" i="15"/>
  <c r="AL66" i="15"/>
  <c r="AM66" i="15"/>
  <c r="AN66" i="15"/>
  <c r="AO66" i="15"/>
  <c r="AP66" i="15"/>
  <c r="AQ66" i="15"/>
  <c r="AS66" i="15"/>
  <c r="AT66" i="15"/>
  <c r="AU66" i="15"/>
  <c r="AV66" i="15"/>
  <c r="AW66" i="15"/>
  <c r="AX66" i="15"/>
  <c r="B66" i="15"/>
  <c r="C66" i="15"/>
  <c r="D66" i="15"/>
  <c r="E66" i="15"/>
  <c r="AL19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Romy Jeurissen</author>
    <author>Rens Kaal</author>
    <author>Colette Verbueken</author>
    <author>Jan Peters</author>
    <author>tc={7DDD0B11-F4E9-4496-89EC-4FD83A546EA1}</author>
    <author>Gerwin Valkenborg</author>
    <author>Dennis van Lingen</author>
    <author>Mert Kasmer</author>
    <author>Rowena Um</author>
    <author>Rachel Mens</author>
    <author>tc={362A4FE4-9A59-41ED-B92B-B96D85442DD0}</author>
  </authors>
  <commentList>
    <comment ref="J8" authorId="0" shapeId="0" xr:uid="{72093FE3-F21F-4AB6-85C4-860071955508}">
      <text>
        <r>
          <rPr>
            <sz val="10"/>
            <color theme="1"/>
            <rFont val="Arial"/>
            <family val="2"/>
          </rPr>
          <t>Romy Jeurissen:
10:30-14:00 examen VCA-VOL</t>
        </r>
      </text>
    </comment>
    <comment ref="CK8" authorId="1" shapeId="0" xr:uid="{8BCF4504-14EC-4C61-B9B7-10098CCC1E32}">
      <text>
        <r>
          <rPr>
            <sz val="10"/>
            <color theme="1"/>
            <rFont val="Arial"/>
            <family val="2"/>
          </rPr>
          <t>Rens Kaal:
Evaluatie kloktijden Hanze</t>
        </r>
      </text>
    </comment>
    <comment ref="DO8" authorId="1" shapeId="0" xr:uid="{CFBBD883-E827-467E-A5FD-F93B4842FE51}">
      <text>
        <r>
          <rPr>
            <sz val="10"/>
            <color theme="1"/>
            <rFont val="Arial"/>
            <family val="2"/>
          </rPr>
          <t>Rens Kaal:
Vrij ivm dubbele dienst 17-04</t>
        </r>
      </text>
    </comment>
    <comment ref="BG9" authorId="2" shapeId="0" xr:uid="{E09431C8-E807-4E33-A1C5-358987874393}">
      <text>
        <r>
          <rPr>
            <sz val="10"/>
            <color theme="1"/>
            <rFont val="Arial"/>
            <family val="2"/>
          </rPr>
          <t>Colette Verbueken:
Installatiebeheer</t>
        </r>
      </text>
    </comment>
    <comment ref="BH9" authorId="2" shapeId="0" xr:uid="{F567AF23-4EDE-449F-AFB4-427AD80E2C98}">
      <text>
        <r>
          <rPr>
            <sz val="10"/>
            <color theme="1"/>
            <rFont val="Arial"/>
            <family val="2"/>
          </rPr>
          <t>Colette Verbueken:
Hanzehogeschool</t>
        </r>
      </text>
    </comment>
    <comment ref="BI9" authorId="2" shapeId="0" xr:uid="{B50F8B48-F16C-49C2-BA9B-71D938E27D81}">
      <text>
        <r>
          <rPr>
            <sz val="10"/>
            <color theme="1"/>
            <rFont val="Arial"/>
            <family val="2"/>
          </rPr>
          <t>Colette Verbueken:
Hanzehogeschool</t>
        </r>
      </text>
    </comment>
    <comment ref="BN9" authorId="2" shapeId="0" xr:uid="{95405B15-9AD9-46B4-8509-C3078B298F96}">
      <text>
        <r>
          <rPr>
            <sz val="10"/>
            <color theme="1"/>
            <rFont val="Arial"/>
            <family val="2"/>
          </rPr>
          <t>Colette Verbueken:
Hanzehogeschool</t>
        </r>
      </text>
    </comment>
    <comment ref="CP9" authorId="1" shapeId="0" xr:uid="{79D80554-A50A-47A8-AF0F-0AF99FCBC518}">
      <text>
        <r>
          <rPr>
            <sz val="10"/>
            <color theme="1"/>
            <rFont val="Arial"/>
            <family val="2"/>
          </rPr>
          <t>Rens Kaal:
geruild kurt i.p.v 31 maart</t>
        </r>
      </text>
    </comment>
    <comment ref="CT9" authorId="1" shapeId="0" xr:uid="{72A39362-E22E-4464-8974-2879EE4E68C6}">
      <text>
        <r>
          <rPr>
            <sz val="10"/>
            <color theme="1"/>
            <rFont val="Arial"/>
            <family val="2"/>
          </rPr>
          <t>Rens Kaal:
10:00-12:00 Overleg Leffert Klok Hanze Hogeschool</t>
        </r>
      </text>
    </comment>
    <comment ref="CX10" authorId="1" shapeId="0" xr:uid="{16D0C691-AB8A-468F-A1C6-848E70EB8CE8}">
      <text>
        <r>
          <rPr>
            <sz val="10"/>
            <color theme="1"/>
            <rFont val="Arial"/>
            <family val="2"/>
          </rPr>
          <t>Rens Kaal:
Geruild met Rens voor 23 maart</t>
        </r>
      </text>
    </comment>
    <comment ref="Q12" authorId="3" shapeId="0" xr:uid="{D41219BA-C4F8-4B1F-B009-AC91AC4BFC2C}">
      <text>
        <r>
          <rPr>
            <sz val="10"/>
            <color theme="1"/>
            <rFont val="Arial"/>
            <family val="2"/>
          </rPr>
          <t>Jan Peters:
Vanaf 9 uur assisteren ivm drukte</t>
        </r>
      </text>
    </comment>
    <comment ref="CU12" authorId="3" shapeId="0" xr:uid="{80435CF1-57D8-4DBA-83B2-4EE8D78E80F8}">
      <text>
        <r>
          <rPr>
            <sz val="10"/>
            <color theme="1"/>
            <rFont val="Arial"/>
            <family val="2"/>
          </rPr>
          <t>Jan Peters:
6 tm 12</t>
        </r>
      </text>
    </comment>
    <comment ref="CW12" authorId="3" shapeId="0" xr:uid="{6CD14CC9-4E06-4AA3-941D-A793A5FBC64B}">
      <text>
        <r>
          <rPr>
            <sz val="10"/>
            <color theme="1"/>
            <rFont val="Arial"/>
            <family val="2"/>
          </rPr>
          <t>Jan Peters:
14 tm 22</t>
        </r>
      </text>
    </comment>
    <comment ref="DU12" authorId="3" shapeId="0" xr:uid="{91760555-EA44-4211-9BE5-1616231645D8}">
      <text>
        <r>
          <rPr>
            <sz val="10"/>
            <color theme="1"/>
            <rFont val="Arial"/>
            <family val="2"/>
          </rPr>
          <t xml:space="preserve">Jan Peters:
08:30 daniel kok
</t>
        </r>
      </text>
    </comment>
    <comment ref="EL12" authorId="3" shapeId="0" xr:uid="{47D1A5F7-0FED-47F6-975F-7297F8F34058}">
      <text>
        <r>
          <rPr>
            <sz val="10"/>
            <color theme="1"/>
            <rFont val="Arial"/>
            <family val="2"/>
          </rPr>
          <t>Jan Peters:
ajax utrecht</t>
        </r>
      </text>
    </comment>
    <comment ref="EM12" authorId="3" shapeId="0" xr:uid="{1B3D7FD6-07BE-4F43-B893-6193DB69FD42}">
      <text>
        <r>
          <rPr>
            <sz val="10"/>
            <color theme="1"/>
            <rFont val="Arial"/>
            <family val="2"/>
          </rPr>
          <t>Jan Peters:
uurtje later</t>
        </r>
      </text>
    </comment>
    <comment ref="EV12" authorId="3" shapeId="0" xr:uid="{8F5A1ED5-3062-49A9-982D-0DB9BE5D6992}">
      <text>
        <r>
          <rPr>
            <sz val="10"/>
            <color theme="1"/>
            <rFont val="Arial"/>
            <family val="2"/>
          </rPr>
          <t xml:space="preserve">Jan Peters:
Daniel Kok </t>
        </r>
      </text>
    </comment>
    <comment ref="LC12" authorId="3" shapeId="0" xr:uid="{4E109B70-ED94-4D90-8252-8F8DCCFBE0C6}">
      <text>
        <r>
          <rPr>
            <sz val="10"/>
            <color theme="1"/>
            <rFont val="Arial"/>
            <family val="2"/>
          </rPr>
          <t xml:space="preserve">Jan Peters:
Niet beschikbaar ivm concert
</t>
        </r>
      </text>
    </comment>
    <comment ref="CI14" authorId="1" shapeId="0" xr:uid="{B79A8E1A-D31A-49BF-8C5D-82F75A5847B3}">
      <text>
        <r>
          <rPr>
            <sz val="10"/>
            <color theme="1"/>
            <rFont val="Arial"/>
            <family val="2"/>
          </rPr>
          <t xml:space="preserve">Rens Kaal:
Halve nacht ivm bezoek IBC
</t>
        </r>
      </text>
    </comment>
    <comment ref="DR14" authorId="4" shapeId="0" xr:uid="{7DDD0B11-F4E9-4496-89EC-4FD83A546EA1}">
      <text>
        <t>[Threaded comment]
Your version of Excel allows you to read this threaded comment; however, any edits to it will get removed if the file is opened in a newer version of Excel. Learn more: https://go.microsoft.com/fwlink/?linkid=870924
Comment:
    4u verlof opgenomen</t>
      </text>
    </comment>
    <comment ref="FP14" authorId="5" shapeId="0" xr:uid="{F8254AB6-8363-4964-8841-2B0F52602336}">
      <text>
        <r>
          <rPr>
            <sz val="10"/>
            <color theme="1"/>
            <rFont val="Arial"/>
            <family val="2"/>
          </rPr>
          <t>Gerwin Valkenborg:
VCA Examen om 18:30</t>
        </r>
      </text>
    </comment>
    <comment ref="GG14" authorId="3" shapeId="0" xr:uid="{7C49E4B2-FA2A-4D8A-ACC0-765397105CB9}">
      <text>
        <r>
          <rPr>
            <sz val="10"/>
            <color theme="1"/>
            <rFont val="Arial"/>
            <family val="2"/>
          </rPr>
          <t>Jan Peters:
tot 19 uur</t>
        </r>
      </text>
    </comment>
    <comment ref="CX18" authorId="2" shapeId="0" xr:uid="{ECF52216-987F-459F-BD2B-F45A3BC0418C}">
      <text>
        <r>
          <rPr>
            <sz val="10"/>
            <color theme="1"/>
            <rFont val="Arial"/>
            <family val="2"/>
          </rPr>
          <t>Colette Verbueken:
begint om 06:45 tot 15:15</t>
        </r>
      </text>
    </comment>
    <comment ref="DM18" authorId="6" shapeId="0" xr:uid="{3A3D919F-B61D-4066-AE7A-DE88F89459AA}">
      <text>
        <r>
          <rPr>
            <sz val="10"/>
            <color theme="1"/>
            <rFont val="Arial"/>
            <family val="2"/>
          </rPr>
          <t xml:space="preserve">Dennis van Lingen:
onboarding veiligheid 08:30 12:30 uur
</t>
        </r>
      </text>
    </comment>
    <comment ref="FB18" authorId="6" shapeId="0" xr:uid="{41D32046-CD64-4E76-AD48-9B65A3CC8A9A}">
      <text>
        <r>
          <rPr>
            <sz val="10"/>
            <color theme="1"/>
            <rFont val="Arial"/>
            <family val="2"/>
          </rPr>
          <t>Dennis van Lingen:
dagdienst ivm management drives</t>
        </r>
      </text>
    </comment>
    <comment ref="CQ22" authorId="2" shapeId="0" xr:uid="{14D100B4-DC78-4BC8-B6BA-0867140A3BF9}">
      <text>
        <r>
          <rPr>
            <sz val="10"/>
            <color theme="1"/>
            <rFont val="Arial"/>
            <family val="2"/>
          </rPr>
          <t>Colette Verbueken:
begint om 06:45</t>
        </r>
      </text>
    </comment>
    <comment ref="DS22" authorId="2" shapeId="0" xr:uid="{8ABA00E6-7B12-477F-B1E6-93CD68215A78}">
      <text>
        <r>
          <rPr>
            <sz val="10"/>
            <color theme="1"/>
            <rFont val="Arial"/>
            <family val="2"/>
          </rPr>
          <t>Colette Verbueken:
Kloktijen HHS</t>
        </r>
      </text>
    </comment>
    <comment ref="ER22" authorId="2" shapeId="0" xr:uid="{7C13C6FA-28A6-4036-B796-64E90542ADEA}">
      <text>
        <r>
          <rPr>
            <sz val="10"/>
            <color theme="1"/>
            <rFont val="Arial"/>
            <family val="2"/>
          </rPr>
          <t>Colette Verbueken:
vrij i.v.m. dienst 6mei</t>
        </r>
      </text>
    </comment>
    <comment ref="IA22" authorId="2" shapeId="0" xr:uid="{F0B3EE95-9050-4362-86EA-9687075F559B}">
      <text>
        <r>
          <rPr>
            <sz val="10"/>
            <color theme="1"/>
            <rFont val="Arial"/>
            <family val="2"/>
          </rPr>
          <t>Colette Verbueken:
werkt thuis</t>
        </r>
      </text>
    </comment>
    <comment ref="IB22" authorId="2" shapeId="0" xr:uid="{3145CC6B-5D61-43A5-AEE9-6AA79A5DD296}">
      <text>
        <r>
          <rPr>
            <sz val="10"/>
            <color theme="1"/>
            <rFont val="Arial"/>
            <family val="2"/>
          </rPr>
          <t>Colette Verbueken:
werkt thuis</t>
        </r>
      </text>
    </comment>
    <comment ref="BU23" authorId="2" shapeId="0" xr:uid="{5BC63A9E-B58B-4F23-A5BC-323B7B9B3984}">
      <text>
        <r>
          <rPr>
            <sz val="10"/>
            <color theme="1"/>
            <rFont val="Arial"/>
            <family val="2"/>
          </rPr>
          <t>Colette Verbueken:
Eindhoven PC vervangen</t>
        </r>
      </text>
    </comment>
    <comment ref="EU23" authorId="2" shapeId="0" xr:uid="{5DB2A63B-08D5-4930-8B01-0B88D31B7EA2}">
      <text>
        <r>
          <rPr>
            <sz val="10"/>
            <color theme="1"/>
            <rFont val="Arial"/>
            <family val="2"/>
          </rPr>
          <t>Colette Verbueken:
Teamdag</t>
        </r>
      </text>
    </comment>
    <comment ref="FB23" authorId="2" shapeId="0" xr:uid="{08B600D6-37F2-4816-AD01-4BA1BC5B42CD}">
      <text>
        <r>
          <rPr>
            <sz val="10"/>
            <color theme="1"/>
            <rFont val="Arial"/>
            <family val="2"/>
          </rPr>
          <t>Colette Verbueken:
dagdienst ivm management drives</t>
        </r>
      </text>
    </comment>
    <comment ref="AC24" authorId="7" shapeId="0" xr:uid="{FC5D7093-9DE5-45BD-8FB6-36EB26B28315}">
      <text>
        <r>
          <rPr>
            <sz val="10"/>
            <color theme="1"/>
            <rFont val="Arial"/>
            <family val="2"/>
          </rPr>
          <t xml:space="preserve">Mert Kasmer:
Ik neem Kurt over vanaf 11:30
</t>
        </r>
      </text>
    </comment>
    <comment ref="AQ24" authorId="7" shapeId="0" xr:uid="{ACD6B210-1DE0-4F99-BFF5-DF58A6310C58}">
      <text>
        <r>
          <rPr>
            <sz val="10"/>
            <color theme="1"/>
            <rFont val="Arial"/>
            <family val="2"/>
          </rPr>
          <t xml:space="preserve">Mert Kasmer: 9:00 tot 09:30
Rainbow installeren bij Colette </t>
        </r>
      </text>
    </comment>
    <comment ref="CS24" authorId="8" shapeId="0" xr:uid="{83B985C3-897B-4E0D-8729-E969821BA345}">
      <text>
        <r>
          <rPr>
            <sz val="10"/>
            <color theme="1"/>
            <rFont val="Arial"/>
            <family val="2"/>
          </rPr>
          <t>Rowena Um:
Mert weg tussen 09:45 en 11:15</t>
        </r>
      </text>
    </comment>
    <comment ref="CZ24" authorId="9" shapeId="0" xr:uid="{30357830-CA9F-4A3E-B7D1-A55DCAD9A2AF}">
      <text>
        <r>
          <rPr>
            <sz val="10"/>
            <color theme="1"/>
            <rFont val="Arial"/>
            <family val="2"/>
          </rPr>
          <t xml:space="preserve">Rachel Mens:
tussen 09:00 - 15:30 end 2 end test SAP 4Hana </t>
        </r>
      </text>
    </comment>
    <comment ref="EH24" authorId="9" shapeId="0" xr:uid="{5056EDB1-3F89-4E42-860C-31470964A2D8}">
      <text>
        <r>
          <rPr>
            <sz val="10"/>
            <color theme="1"/>
            <rFont val="Arial"/>
            <family val="2"/>
          </rPr>
          <t>Rachel Mens:
afwezig ivm klantfilm</t>
        </r>
      </text>
    </comment>
    <comment ref="EI24" authorId="9" shapeId="0" xr:uid="{BA51C7EB-EDE8-45B4-B512-2738711C8780}">
      <text>
        <r>
          <rPr>
            <sz val="10"/>
            <color theme="1"/>
            <rFont val="Arial"/>
            <family val="2"/>
          </rPr>
          <t>Rachel Mens:
afwezig ivm klantfilm</t>
        </r>
      </text>
    </comment>
    <comment ref="EJ24" authorId="9" shapeId="0" xr:uid="{DF97E918-72A9-41A3-8573-683C56BE3F8A}">
      <text>
        <r>
          <rPr>
            <sz val="10"/>
            <color theme="1"/>
            <rFont val="Arial"/>
            <family val="2"/>
          </rPr>
          <t>Rachel Mens:
afwezig ivm klantfilm evt halve dag</t>
        </r>
      </text>
    </comment>
    <comment ref="X26" authorId="0" shapeId="0" xr:uid="{B9180722-8661-4E91-8DA7-697AE2721703}">
      <text>
        <r>
          <rPr>
            <sz val="10"/>
            <color theme="1"/>
            <rFont val="Arial"/>
            <family val="2"/>
          </rPr>
          <t>Romy Jeurissen:
Test dag SAP4Hana 1</t>
        </r>
      </text>
    </comment>
    <comment ref="AB26" authorId="9" shapeId="0" xr:uid="{427BFFB6-8EF4-4F04-8707-EFA773954D89}">
      <text>
        <r>
          <rPr>
            <sz val="10"/>
            <color theme="1"/>
            <rFont val="Arial"/>
            <family val="2"/>
          </rPr>
          <t>Rachel Mens:
Test dag SAP4Hana 2</t>
        </r>
      </text>
    </comment>
    <comment ref="BJ26" authorId="9" shapeId="0" xr:uid="{52A77BB9-1F34-4363-8CDE-7E2057D3D9CE}">
      <text>
        <r>
          <rPr>
            <sz val="10"/>
            <color theme="1"/>
            <rFont val="Arial"/>
            <family val="2"/>
          </rPr>
          <t xml:space="preserve">Rachel Mens:
Middag voor SD 
</t>
        </r>
      </text>
    </comment>
    <comment ref="BK26" authorId="9" shapeId="0" xr:uid="{E51DB120-231E-4B68-9C1F-1812BE0BBF1E}">
      <text>
        <r>
          <rPr>
            <sz val="10"/>
            <color theme="1"/>
            <rFont val="Arial"/>
            <family val="2"/>
          </rPr>
          <t xml:space="preserve">Rachel Mens:
Middag voor SD 
</t>
        </r>
      </text>
    </comment>
    <comment ref="DM28" authorId="9" shapeId="0" xr:uid="{F0AFCC18-86E9-42AE-A707-CB53A88A7C0E}">
      <text>
        <r>
          <rPr>
            <sz val="10"/>
            <color theme="1"/>
            <rFont val="Arial"/>
            <family val="2"/>
          </rPr>
          <t xml:space="preserve">Rachel Mens:
12:30 -15:00  </t>
        </r>
      </text>
    </comment>
    <comment ref="EB28" authorId="8" shapeId="0" xr:uid="{49C0FEFA-E11B-4A97-8EB2-A214F6B03A83}">
      <text>
        <r>
          <rPr>
            <sz val="10"/>
            <color theme="1"/>
            <rFont val="Arial"/>
            <family val="2"/>
          </rPr>
          <t xml:space="preserve">Rowena Um:
Margreet van 12:00 tot 13:30 aanwezig ivm asset management lunch ( kan nog wijzigen ) </t>
        </r>
      </text>
    </comment>
    <comment ref="EJ28" authorId="9" shapeId="0" xr:uid="{0B66F85C-8050-4AB0-85BE-65B49B3E69F3}">
      <text>
        <r>
          <rPr>
            <sz val="10"/>
            <color theme="1"/>
            <rFont val="Arial"/>
            <family val="2"/>
          </rPr>
          <t>Rachel Mens:
13:00 - 15:00</t>
        </r>
      </text>
    </comment>
    <comment ref="EN28" authorId="9" shapeId="0" xr:uid="{631CD3CB-AE6F-48F1-AF00-E00818EA9F79}">
      <text>
        <r>
          <rPr>
            <sz val="10"/>
            <color theme="1"/>
            <rFont val="Arial"/>
            <family val="2"/>
          </rPr>
          <t xml:space="preserve">Rachel Mens:
Op locatie Rotterdam tussen 08:00-12:00 </t>
        </r>
      </text>
    </comment>
    <comment ref="FZ28" authorId="8" shapeId="0" xr:uid="{1BB90957-749E-45D6-AEBD-AEAE1B6C5292}">
      <text>
        <r>
          <rPr>
            <sz val="10"/>
            <color theme="1"/>
            <rFont val="Arial"/>
            <family val="2"/>
          </rPr>
          <t>Rowena Um:
Halve dag verlof van 12:00 tot 16:30</t>
        </r>
      </text>
    </comment>
    <comment ref="AF30" authorId="0" shapeId="0" xr:uid="{C95F2B9A-C36E-457E-A6F7-B825D33050B4}">
      <text>
        <r>
          <rPr>
            <sz val="10"/>
            <color theme="1"/>
            <rFont val="Arial"/>
            <family val="2"/>
          </rPr>
          <t>Romy Jeurissen:
werkt tot 15:00</t>
        </r>
      </text>
    </comment>
    <comment ref="AU30" authorId="9" shapeId="0" xr:uid="{6303FB4A-C222-4A71-90D7-866A9F3C617D}">
      <text>
        <r>
          <rPr>
            <sz val="10"/>
            <color theme="1"/>
            <rFont val="Arial"/>
            <family val="2"/>
          </rPr>
          <t xml:space="preserve">Rachel Mens:
Tussen 12:00 - 14:00 afwezig </t>
        </r>
      </text>
    </comment>
    <comment ref="AW30" authorId="0" shapeId="0" xr:uid="{175F9FD0-B1F8-4915-91C9-4163086DB444}">
      <text>
        <r>
          <rPr>
            <sz val="10"/>
            <color theme="1"/>
            <rFont val="Arial"/>
            <family val="2"/>
          </rPr>
          <t>Romy Jeurissen:
werkt tot 15:00</t>
        </r>
      </text>
    </comment>
    <comment ref="BD30" authorId="0" shapeId="0" xr:uid="{D593DB5C-F2E7-4689-8A2C-9D750141D844}">
      <text>
        <r>
          <rPr>
            <sz val="10"/>
            <color theme="1"/>
            <rFont val="Arial"/>
            <family val="2"/>
          </rPr>
          <t>Romy Jeurissen:
weg tussen 11:00-12:00</t>
        </r>
      </text>
    </comment>
    <comment ref="BH30" authorId="0" shapeId="0" xr:uid="{372604DB-5373-4701-A5D0-A95F7B80C34F}">
      <text>
        <r>
          <rPr>
            <sz val="10"/>
            <color theme="1"/>
            <rFont val="Arial"/>
            <family val="2"/>
          </rPr>
          <t>Romy Jeurissen:
weg tussen 09:30-10:30</t>
        </r>
      </text>
    </comment>
    <comment ref="BR30" authorId="0" shapeId="0" xr:uid="{23D1365E-8270-4C3A-A256-835D945FCD0A}">
      <text>
        <r>
          <rPr>
            <sz val="10"/>
            <color theme="1"/>
            <rFont val="Arial"/>
            <family val="2"/>
          </rPr>
          <t>Romy Jeurissen:
werkt tot 15:00</t>
        </r>
      </text>
    </comment>
    <comment ref="BY30" authorId="9" shapeId="0" xr:uid="{AF017E5A-D423-47E2-BC67-A3C8EF60A9C8}">
      <text>
        <r>
          <rPr>
            <sz val="10"/>
            <color theme="1"/>
            <rFont val="Arial"/>
            <family val="2"/>
          </rPr>
          <t xml:space="preserve">Rachel Mens:
Werkt tot 15:00 </t>
        </r>
      </text>
    </comment>
    <comment ref="CF30" authorId="9" shapeId="0" xr:uid="{C9BF0633-FA77-4FFB-8653-8DA39CC93225}">
      <text>
        <r>
          <rPr>
            <sz val="10"/>
            <color theme="1"/>
            <rFont val="Arial"/>
            <family val="2"/>
          </rPr>
          <t xml:space="preserve">Rachel Mens:
afwezig tussen 10:45 - 12:00 
</t>
        </r>
      </text>
    </comment>
    <comment ref="DA30" authorId="8" shapeId="0" xr:uid="{EF80E89A-6DF4-4931-86E9-A60A9DCE5E7D}">
      <text>
        <r>
          <rPr>
            <sz val="10"/>
            <color theme="1"/>
            <rFont val="Arial"/>
            <family val="2"/>
          </rPr>
          <t>Rowena Um:
Rowena werkt tot 14:30</t>
        </r>
      </text>
    </comment>
    <comment ref="DK30" authorId="9" shapeId="0" xr:uid="{50D76997-17AE-414D-A1FA-340D621CA4DF}">
      <text>
        <r>
          <rPr>
            <sz val="10"/>
            <color theme="1"/>
            <rFont val="Arial"/>
            <family val="2"/>
          </rPr>
          <t xml:space="preserve">Rachel Mens:
Inleertraject Bibin Rabobank 
</t>
        </r>
      </text>
    </comment>
    <comment ref="DL30" authorId="9" shapeId="0" xr:uid="{6919E1EC-DB56-43B2-9772-556FEB51A94A}">
      <text>
        <r>
          <rPr>
            <sz val="10"/>
            <color theme="1"/>
            <rFont val="Arial"/>
            <family val="2"/>
          </rPr>
          <t xml:space="preserve">Rachel Mens:
Inleertraject Binbin 
</t>
        </r>
      </text>
    </comment>
    <comment ref="DN30" authorId="9" shapeId="0" xr:uid="{AD82313D-5FE1-453E-B055-81886ACB0191}">
      <text>
        <r>
          <rPr>
            <sz val="10"/>
            <color theme="1"/>
            <rFont val="Arial"/>
            <family val="2"/>
          </rPr>
          <t xml:space="preserve">Rachel Mens:
Optioneel naar behoefte inleertraject Binbin Rabobank 
</t>
        </r>
      </text>
    </comment>
    <comment ref="DR30" authorId="8" shapeId="0" xr:uid="{675D0E26-CF78-4813-B0C3-AFF8435EAAD2}">
      <text>
        <r>
          <rPr>
            <sz val="10"/>
            <color theme="1"/>
            <rFont val="Arial"/>
            <family val="2"/>
          </rPr>
          <t xml:space="preserve">Rowena Um:
Rowena even weg tussen 09:15 en 10:30 </t>
        </r>
      </text>
    </comment>
    <comment ref="EA30" authorId="8" shapeId="0" xr:uid="{5B7C3B2B-3429-4164-97D5-2F44DD047FD5}">
      <text>
        <r>
          <rPr>
            <sz val="10"/>
            <color theme="1"/>
            <rFont val="Arial"/>
            <family val="2"/>
          </rPr>
          <t>Rowena Um:
Rowena ziekenhuis 09:00</t>
        </r>
      </text>
    </comment>
    <comment ref="EB30" authorId="9" shapeId="0" xr:uid="{3641061B-2337-4980-B0D4-75B96055F1D8}">
      <text>
        <r>
          <rPr>
            <sz val="10"/>
            <color theme="1"/>
            <rFont val="Arial"/>
            <family val="2"/>
          </rPr>
          <t xml:space="preserve">Rachel Mens:
Rabobank Meppel 
</t>
        </r>
      </text>
    </comment>
    <comment ref="EC30" authorId="8" shapeId="0" xr:uid="{B1B742BE-11EB-4B62-8410-C8D620BA1EE7}">
      <text>
        <r>
          <rPr>
            <sz val="10"/>
            <color theme="1"/>
            <rFont val="Arial"/>
            <family val="2"/>
          </rPr>
          <t xml:space="preserve">Rowena Um:
Rowena werkt tot 12 uur </t>
        </r>
      </text>
    </comment>
    <comment ref="CI32" authorId="9" shapeId="0" xr:uid="{97DB8EBB-076D-4EA7-B1A9-0F1A0D056C5C}">
      <text>
        <r>
          <rPr>
            <sz val="10"/>
            <color theme="1"/>
            <rFont val="Arial"/>
            <family val="2"/>
          </rPr>
          <t xml:space="preserve">Rachel Mens:
werkt tot 16:00 </t>
        </r>
      </text>
    </comment>
    <comment ref="CJ32" authorId="9" shapeId="0" xr:uid="{6FB2AD86-FD5F-4984-94B3-9F5377BFC5A0}">
      <text>
        <r>
          <rPr>
            <sz val="10"/>
            <color theme="1"/>
            <rFont val="Arial"/>
            <family val="2"/>
          </rPr>
          <t xml:space="preserve">Rachel Mens:
werkt tot 16:00 </t>
        </r>
      </text>
    </comment>
    <comment ref="CL32" authorId="9" shapeId="0" xr:uid="{DFE4F6A4-B810-47F8-AE96-E4B75D3B65BC}">
      <text>
        <r>
          <rPr>
            <sz val="10"/>
            <color theme="1"/>
            <rFont val="Arial"/>
            <family val="2"/>
          </rPr>
          <t xml:space="preserve">Rachel Mens:
werkt tot 12:00 </t>
        </r>
      </text>
    </comment>
    <comment ref="DR34" authorId="9" shapeId="0" xr:uid="{C8E83211-3DE8-4D2B-A857-0B6DDE80C2E3}">
      <text>
        <r>
          <rPr>
            <sz val="10"/>
            <color theme="1"/>
            <rFont val="Arial"/>
            <family val="2"/>
          </rPr>
          <t xml:space="preserve">Rachel Mens:
Inleertraject telefonie Binbin
</t>
        </r>
      </text>
    </comment>
    <comment ref="DS34" authorId="9" shapeId="0" xr:uid="{9C05B33F-2239-44BC-B324-2D32AA603011}">
      <text>
        <r>
          <rPr>
            <sz val="10"/>
            <color theme="1"/>
            <rFont val="Arial"/>
            <family val="2"/>
          </rPr>
          <t xml:space="preserve">Rachel Mens:
Inleertraject Binbin telefonie - Belscript 
</t>
        </r>
      </text>
    </comment>
    <comment ref="EF34" authorId="10" shapeId="0" xr:uid="{362A4FE4-9A59-41ED-B92B-B96D85442DD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eerder weg ivm priveafspraak 16:00 </t>
      </text>
    </comment>
    <comment ref="C36" authorId="0" shapeId="0" xr:uid="{DE104006-6B3C-41CF-BB52-61F5D043390B}">
      <text>
        <r>
          <rPr>
            <sz val="10"/>
            <color theme="1"/>
            <rFont val="Arial"/>
            <family val="2"/>
          </rPr>
          <t>Romy Jeurissen:
4 uur</t>
        </r>
      </text>
    </comment>
    <comment ref="D36" authorId="0" shapeId="0" xr:uid="{CAC6DD60-90F8-44C0-859D-DF46305A669E}">
      <text>
        <r>
          <rPr>
            <sz val="10"/>
            <color theme="1"/>
            <rFont val="Arial"/>
            <family val="2"/>
          </rPr>
          <t>Romy Jeurissen:
4 uur</t>
        </r>
      </text>
    </comment>
    <comment ref="J36" authorId="0" shapeId="0" xr:uid="{850AF4CE-98BE-4F6A-A4C0-49F658A1DE0E}">
      <text>
        <r>
          <rPr>
            <sz val="10"/>
            <color theme="1"/>
            <rFont val="Arial"/>
            <family val="2"/>
          </rPr>
          <t>Romy Jeurissen:
5 uur</t>
        </r>
      </text>
    </comment>
    <comment ref="K36" authorId="0" shapeId="0" xr:uid="{1687C94E-4A5A-42A4-82B6-F323206AB17C}">
      <text>
        <r>
          <rPr>
            <sz val="10"/>
            <color theme="1"/>
            <rFont val="Arial"/>
            <family val="2"/>
          </rPr>
          <t>Romy Jeurissen:
5 uur</t>
        </r>
      </text>
    </comment>
    <comment ref="Q36" authorId="0" shapeId="0" xr:uid="{DF5FF04E-0A5E-4926-9F2B-8CF702CFE5CE}">
      <text>
        <r>
          <rPr>
            <sz val="10"/>
            <color theme="1"/>
            <rFont val="Arial"/>
            <family val="2"/>
          </rPr>
          <t>Romy Jeurissen:
5 uur</t>
        </r>
      </text>
    </comment>
    <comment ref="R36" authorId="0" shapeId="0" xr:uid="{07ADAAB9-6C96-4357-8CF4-8D93A5B8BF48}">
      <text>
        <r>
          <rPr>
            <sz val="10"/>
            <color theme="1"/>
            <rFont val="Arial"/>
            <family val="2"/>
          </rPr>
          <t>Romy Jeurissen:
5 uur</t>
        </r>
      </text>
    </comment>
    <comment ref="T36" authorId="0" shapeId="0" xr:uid="{2659D1FE-9283-4E7B-B0BB-F75BC1B5D93C}">
      <text>
        <r>
          <rPr>
            <sz val="10"/>
            <color theme="1"/>
            <rFont val="Arial"/>
            <family val="2"/>
          </rPr>
          <t xml:space="preserve">Romy Jeurissen:
5 uur
</t>
        </r>
      </text>
    </comment>
    <comment ref="U36" authorId="0" shapeId="0" xr:uid="{EA3854A0-03C2-4F2A-B10A-5B59E1B3149A}">
      <text>
        <r>
          <rPr>
            <sz val="10"/>
            <color theme="1"/>
            <rFont val="Arial"/>
            <family val="2"/>
          </rPr>
          <t xml:space="preserve">Romy Jeurissen:
5 uur
</t>
        </r>
      </text>
    </comment>
    <comment ref="AA36" authorId="0" shapeId="0" xr:uid="{82A73915-2D8D-44CE-BA9B-C79545C50EE9}">
      <text>
        <r>
          <rPr>
            <sz val="10"/>
            <color theme="1"/>
            <rFont val="Arial"/>
            <family val="2"/>
          </rPr>
          <t xml:space="preserve">Romy Jeurissen:
5 uur
</t>
        </r>
      </text>
    </comment>
    <comment ref="AB36" authorId="0" shapeId="0" xr:uid="{37667418-045F-48EA-A731-63B67E1D1749}">
      <text>
        <r>
          <rPr>
            <sz val="10"/>
            <color theme="1"/>
            <rFont val="Arial"/>
            <family val="2"/>
          </rPr>
          <t xml:space="preserve">Romy Jeurissen:
5 uur
</t>
        </r>
      </text>
    </comment>
    <comment ref="AE36" authorId="0" shapeId="0" xr:uid="{43EC3C18-F5F0-4F58-BCAC-F48399BA9C97}">
      <text>
        <r>
          <rPr>
            <sz val="10"/>
            <color theme="1"/>
            <rFont val="Arial"/>
            <family val="2"/>
          </rPr>
          <t>Romy Jeurissen:
7 uur</t>
        </r>
      </text>
    </comment>
    <comment ref="AF36" authorId="0" shapeId="0" xr:uid="{DD127D29-5BCC-414D-B693-A218C1DF7C32}">
      <text>
        <r>
          <rPr>
            <sz val="10"/>
            <color theme="1"/>
            <rFont val="Arial"/>
            <family val="2"/>
          </rPr>
          <t>Romy Jeurissen:
7 uur</t>
        </r>
      </text>
    </comment>
    <comment ref="AH36" authorId="0" shapeId="0" xr:uid="{74E3B487-D999-4CAA-9178-E624560674B3}">
      <text>
        <r>
          <rPr>
            <sz val="10"/>
            <color theme="1"/>
            <rFont val="Arial"/>
            <family val="2"/>
          </rPr>
          <t xml:space="preserve">Romy Jeurissen:
5 uur
</t>
        </r>
      </text>
    </comment>
    <comment ref="AI36" authorId="0" shapeId="0" xr:uid="{F467F804-8C8C-4850-9F77-0E8E34D3ECDF}">
      <text>
        <r>
          <rPr>
            <sz val="10"/>
            <color theme="1"/>
            <rFont val="Arial"/>
            <family val="2"/>
          </rPr>
          <t xml:space="preserve">Romy Jeurissen:
5 uur
</t>
        </r>
      </text>
    </comment>
    <comment ref="AL36" authorId="0" shapeId="0" xr:uid="{149A447E-F9E1-4B01-9E18-8584D10FEAB4}">
      <text>
        <r>
          <rPr>
            <sz val="10"/>
            <color theme="1"/>
            <rFont val="Arial"/>
            <family val="2"/>
          </rPr>
          <t>Romy Jeurissen:
8 uur</t>
        </r>
      </text>
    </comment>
    <comment ref="AM36" authorId="0" shapeId="0" xr:uid="{44287D80-8F24-484B-9DE2-FDFFE15EFA35}">
      <text>
        <r>
          <rPr>
            <sz val="10"/>
            <color theme="1"/>
            <rFont val="Arial"/>
            <family val="2"/>
          </rPr>
          <t>Romy Jeurissen:
8 uur</t>
        </r>
      </text>
    </comment>
    <comment ref="AO36" authorId="0" shapeId="0" xr:uid="{9F32C9A7-1149-49D3-8DD9-6BBBFB9B6722}">
      <text>
        <r>
          <rPr>
            <sz val="10"/>
            <color theme="1"/>
            <rFont val="Arial"/>
            <family val="2"/>
          </rPr>
          <t xml:space="preserve">Mert Kasmer
tot 15 uur
</t>
        </r>
      </text>
    </comment>
    <comment ref="AP36" authorId="0" shapeId="0" xr:uid="{E5359BCE-014F-419D-A959-C867A46A7F8C}">
      <text>
        <r>
          <rPr>
            <sz val="10"/>
            <color theme="1"/>
            <rFont val="Arial"/>
            <family val="2"/>
          </rPr>
          <t xml:space="preserve">Romy Jeurissen:
5 uur
</t>
        </r>
      </text>
    </comment>
  </commentList>
</comments>
</file>

<file path=xl/sharedStrings.xml><?xml version="1.0" encoding="utf-8"?>
<sst xmlns="http://schemas.openxmlformats.org/spreadsheetml/2006/main" count="22991" uniqueCount="340">
  <si>
    <t>o</t>
  </si>
  <si>
    <t>05:45 - 14:15</t>
  </si>
  <si>
    <t>m</t>
  </si>
  <si>
    <t>13:45 - 22:15</t>
  </si>
  <si>
    <t>n</t>
  </si>
  <si>
    <t>21:45 - 06:15</t>
  </si>
  <si>
    <t>v</t>
  </si>
  <si>
    <t>vakantie</t>
  </si>
  <si>
    <t>x</t>
  </si>
  <si>
    <t>dagdienst</t>
  </si>
  <si>
    <t>z</t>
  </si>
  <si>
    <t>ziek</t>
  </si>
  <si>
    <t>r</t>
  </si>
  <si>
    <t>geruild</t>
  </si>
  <si>
    <t>wk 1</t>
  </si>
  <si>
    <t>wk 2</t>
  </si>
  <si>
    <t>wk 3</t>
  </si>
  <si>
    <t>wk 4</t>
  </si>
  <si>
    <t>wk 5</t>
  </si>
  <si>
    <t>wk 6</t>
  </si>
  <si>
    <t>wk 7</t>
  </si>
  <si>
    <t>wk 8</t>
  </si>
  <si>
    <t>wk 9</t>
  </si>
  <si>
    <t>wk 10</t>
  </si>
  <si>
    <t>wk 11</t>
  </si>
  <si>
    <t>wk 12</t>
  </si>
  <si>
    <t>wk 13</t>
  </si>
  <si>
    <t>wk 14</t>
  </si>
  <si>
    <t>wk 15</t>
  </si>
  <si>
    <t>wk 16</t>
  </si>
  <si>
    <t>wk 17</t>
  </si>
  <si>
    <t>wk 18</t>
  </si>
  <si>
    <t>wk 19</t>
  </si>
  <si>
    <t>wk 20</t>
  </si>
  <si>
    <t>wk 21</t>
  </si>
  <si>
    <t>wk 22</t>
  </si>
  <si>
    <t>wk 23</t>
  </si>
  <si>
    <t>wk 24</t>
  </si>
  <si>
    <t>wk 25</t>
  </si>
  <si>
    <t>wk 26</t>
  </si>
  <si>
    <t>wk 27</t>
  </si>
  <si>
    <t>wk 28</t>
  </si>
  <si>
    <t>wk 29</t>
  </si>
  <si>
    <t>wk 30</t>
  </si>
  <si>
    <t>wk 31</t>
  </si>
  <si>
    <t>wk 32</t>
  </si>
  <si>
    <t>wk33</t>
  </si>
  <si>
    <t>wk 34</t>
  </si>
  <si>
    <t>wk 35</t>
  </si>
  <si>
    <t>wk 36</t>
  </si>
  <si>
    <t>wk 37</t>
  </si>
  <si>
    <t>wk 38</t>
  </si>
  <si>
    <t>wk 39</t>
  </si>
  <si>
    <t>wk 40</t>
  </si>
  <si>
    <t>wk 41</t>
  </si>
  <si>
    <t>wk 42</t>
  </si>
  <si>
    <t>wk 43</t>
  </si>
  <si>
    <t>wk 44</t>
  </si>
  <si>
    <t>wk 45</t>
  </si>
  <si>
    <t>wk 46</t>
  </si>
  <si>
    <t>wk 47</t>
  </si>
  <si>
    <t>wk 48</t>
  </si>
  <si>
    <t>wk 49</t>
  </si>
  <si>
    <t>wk 50</t>
  </si>
  <si>
    <t>wk 51</t>
  </si>
  <si>
    <t>wk 52</t>
  </si>
  <si>
    <t>wo</t>
  </si>
  <si>
    <t xml:space="preserve">do </t>
  </si>
  <si>
    <t>vr</t>
  </si>
  <si>
    <t>za</t>
  </si>
  <si>
    <t>zo</t>
  </si>
  <si>
    <t>ma</t>
  </si>
  <si>
    <t>di</t>
  </si>
  <si>
    <t>do</t>
  </si>
  <si>
    <t>29-2</t>
  </si>
  <si>
    <t>Nadia</t>
  </si>
  <si>
    <t>ocht</t>
  </si>
  <si>
    <t>Wieger</t>
  </si>
  <si>
    <t>Hilda</t>
  </si>
  <si>
    <t>Jeroen</t>
  </si>
  <si>
    <t>10-14</t>
  </si>
  <si>
    <t>Mid</t>
  </si>
  <si>
    <t>mid</t>
  </si>
  <si>
    <t>Lianne</t>
  </si>
  <si>
    <t>nacht</t>
  </si>
  <si>
    <t>Jan</t>
  </si>
  <si>
    <t>Ton</t>
  </si>
  <si>
    <t>tot-10</t>
  </si>
  <si>
    <t>Laura</t>
  </si>
  <si>
    <t>Ellen</t>
  </si>
  <si>
    <t>Rachel</t>
  </si>
  <si>
    <t>Robin</t>
  </si>
  <si>
    <t xml:space="preserve">15:15 weg Robin </t>
  </si>
  <si>
    <t>12.11.2019</t>
  </si>
  <si>
    <t>*Nadia en Jeroen hebben ochtenddienst geruild met Ton z'n middagdienst</t>
  </si>
  <si>
    <t>05.01.2020</t>
  </si>
  <si>
    <t>*Robin en Jeroen hebben ochtend en middagdienst geruild.</t>
  </si>
  <si>
    <t>vrij / vakantie</t>
  </si>
  <si>
    <t>vrij</t>
  </si>
  <si>
    <t>11.00</t>
  </si>
  <si>
    <t>rmen</t>
  </si>
  <si>
    <t>o (16.00)</t>
  </si>
  <si>
    <t>14.00</t>
  </si>
  <si>
    <t>back up</t>
  </si>
  <si>
    <t>SD</t>
  </si>
  <si>
    <t>tot 16.30</t>
  </si>
  <si>
    <t>later</t>
  </si>
  <si>
    <t>IB</t>
  </si>
  <si>
    <t>16:00 begin</t>
  </si>
  <si>
    <t xml:space="preserve">16:30 back up jeroen </t>
  </si>
  <si>
    <t>thuis?</t>
  </si>
  <si>
    <t>12.00 uur</t>
  </si>
  <si>
    <t>14.30 uur</t>
  </si>
  <si>
    <t>tot 10 uur</t>
  </si>
  <si>
    <t>Totaal dagdienst</t>
  </si>
  <si>
    <t>Geert</t>
  </si>
  <si>
    <t>dd ivm vak Jan</t>
  </si>
  <si>
    <t>Joost</t>
  </si>
  <si>
    <t>Voorstel ivm vakantie Jan Peters. (Wieger)</t>
  </si>
  <si>
    <t>06:00-16:00</t>
  </si>
  <si>
    <t>Geert Kroon</t>
  </si>
  <si>
    <t>IB 07:30 - 16:00</t>
  </si>
  <si>
    <t>Vanaf 6:00</t>
  </si>
  <si>
    <t xml:space="preserve">V </t>
  </si>
  <si>
    <t>vanaf 16:00</t>
  </si>
  <si>
    <t>o leegloop</t>
  </si>
  <si>
    <t>o/m leegloop</t>
  </si>
  <si>
    <t>m leegloop</t>
  </si>
  <si>
    <t>o/m leegloop
o back-up</t>
  </si>
  <si>
    <t>o/m leegloop
o/m back-up</t>
  </si>
  <si>
    <t>o/m leegloop
m back-up</t>
  </si>
  <si>
    <t>m leegloop
m back-up</t>
  </si>
  <si>
    <t>o leegloop
o back-up</t>
  </si>
  <si>
    <t>Sander/Hilda</t>
  </si>
  <si>
    <t>Probleem</t>
  </si>
  <si>
    <t>m (hilda), d(sander)</t>
  </si>
  <si>
    <t>o + 2</t>
  </si>
  <si>
    <t>o +2</t>
  </si>
  <si>
    <t>omwisselen met Wieger</t>
  </si>
  <si>
    <t>Lianne en Wieger omwisselen</t>
  </si>
  <si>
    <t>f</t>
  </si>
  <si>
    <t>Feestdag</t>
  </si>
  <si>
    <t xml:space="preserve">Dagen op kantoor </t>
  </si>
  <si>
    <t>Verlof nog niet akkoord</t>
  </si>
  <si>
    <t>wk 53</t>
  </si>
  <si>
    <t>wk2</t>
  </si>
  <si>
    <t>wk3</t>
  </si>
  <si>
    <t>wk4</t>
  </si>
  <si>
    <t>wk5</t>
  </si>
  <si>
    <t>wk6</t>
  </si>
  <si>
    <t>wk7</t>
  </si>
  <si>
    <t>wk8</t>
  </si>
  <si>
    <t>wk9</t>
  </si>
  <si>
    <t>wk10</t>
  </si>
  <si>
    <t>wk11</t>
  </si>
  <si>
    <t>wk12</t>
  </si>
  <si>
    <t>wk13</t>
  </si>
  <si>
    <t>wk14</t>
  </si>
  <si>
    <t>wk15</t>
  </si>
  <si>
    <t>wk16</t>
  </si>
  <si>
    <t>wk17</t>
  </si>
  <si>
    <t>wk18</t>
  </si>
  <si>
    <t>wk19</t>
  </si>
  <si>
    <t>wk20</t>
  </si>
  <si>
    <t>wk21</t>
  </si>
  <si>
    <t>wk22</t>
  </si>
  <si>
    <t>wk23</t>
  </si>
  <si>
    <t>wk24</t>
  </si>
  <si>
    <t>wk25</t>
  </si>
  <si>
    <t>wk26</t>
  </si>
  <si>
    <t>wk27</t>
  </si>
  <si>
    <t>wk28</t>
  </si>
  <si>
    <t>wk29</t>
  </si>
  <si>
    <t>wk30</t>
  </si>
  <si>
    <t>wk31</t>
  </si>
  <si>
    <t>wk32</t>
  </si>
  <si>
    <t>wk34</t>
  </si>
  <si>
    <t>wk35</t>
  </si>
  <si>
    <t>wk36</t>
  </si>
  <si>
    <t>wk37</t>
  </si>
  <si>
    <t>wk38</t>
  </si>
  <si>
    <t>wk39</t>
  </si>
  <si>
    <t>wk40</t>
  </si>
  <si>
    <t>wk41</t>
  </si>
  <si>
    <t>wk42</t>
  </si>
  <si>
    <t>wk43</t>
  </si>
  <si>
    <t>wk44</t>
  </si>
  <si>
    <t>wk45</t>
  </si>
  <si>
    <t>wk46</t>
  </si>
  <si>
    <t>wk47</t>
  </si>
  <si>
    <t>wk48</t>
  </si>
  <si>
    <t>wk49</t>
  </si>
  <si>
    <t>wk50</t>
  </si>
  <si>
    <t>wk51</t>
  </si>
  <si>
    <t>wk52</t>
  </si>
  <si>
    <t>Goede vrijdag</t>
  </si>
  <si>
    <t>1e paasdag</t>
  </si>
  <si>
    <t>2e paasdag</t>
  </si>
  <si>
    <t>Koningsdag</t>
  </si>
  <si>
    <t>Hemelvaart</t>
  </si>
  <si>
    <t>1e pinksterdag</t>
  </si>
  <si>
    <t>2e pinksterdag</t>
  </si>
  <si>
    <t>Sander</t>
  </si>
  <si>
    <t>Kurt</t>
  </si>
  <si>
    <t>v optie</t>
  </si>
  <si>
    <t>Ziek</t>
  </si>
  <si>
    <t>o.</t>
  </si>
  <si>
    <t>m.</t>
  </si>
  <si>
    <t>n.</t>
  </si>
  <si>
    <t>optie</t>
  </si>
  <si>
    <t> </t>
  </si>
  <si>
    <t>m 12:00</t>
  </si>
  <si>
    <t>m ib</t>
  </si>
  <si>
    <t>RM1 8:30</t>
  </si>
  <si>
    <t>optie vrij</t>
  </si>
  <si>
    <t>tot 16:00</t>
  </si>
  <si>
    <t>va 15.00</t>
  </si>
  <si>
    <t>tot 13.00</t>
  </si>
  <si>
    <t>ziekenhuis</t>
  </si>
  <si>
    <t>SN</t>
  </si>
  <si>
    <t>12.30 taxi</t>
  </si>
  <si>
    <t>15.30 taxi</t>
  </si>
  <si>
    <t>15.00 taxi</t>
  </si>
  <si>
    <t>x(Halve dag)</t>
  </si>
  <si>
    <t>0930-1800</t>
  </si>
  <si>
    <t>Meelopen met Sander</t>
  </si>
  <si>
    <t>Tot 11.30</t>
  </si>
  <si>
    <t>Tandarts 08.40</t>
  </si>
  <si>
    <t>09.50 Tandarts</t>
  </si>
  <si>
    <t>14.00 Tandarts</t>
  </si>
  <si>
    <t>09.45 naar de tandarts</t>
  </si>
  <si>
    <t>tot 12 uur</t>
  </si>
  <si>
    <t>14.00 uur Robin weg</t>
  </si>
  <si>
    <t> Ochtend met Sander mee lopen</t>
  </si>
  <si>
    <t>14:00 Tandarts</t>
  </si>
  <si>
    <t xml:space="preserve">Vanaf 12 uur aanwezig ivm tandarts </t>
  </si>
  <si>
    <t>Optie</t>
  </si>
  <si>
    <t xml:space="preserve">  </t>
  </si>
  <si>
    <t>Optie 1</t>
  </si>
  <si>
    <t>tot 16:01</t>
  </si>
  <si>
    <t>Optie 2</t>
  </si>
  <si>
    <t>M</t>
  </si>
  <si>
    <t xml:space="preserve">va 15.00 </t>
  </si>
  <si>
    <t>wk1</t>
  </si>
  <si>
    <t>wk53</t>
  </si>
  <si>
    <t>Ochtend</t>
  </si>
  <si>
    <t>Middag</t>
  </si>
  <si>
    <t>MX</t>
  </si>
  <si>
    <t>Nacht</t>
  </si>
  <si>
    <t>Opgenomen vakanties</t>
  </si>
  <si>
    <t>Dagdienst</t>
  </si>
  <si>
    <t>Opleiding</t>
  </si>
  <si>
    <t>Totaal</t>
  </si>
  <si>
    <t>Gemiddeld</t>
  </si>
  <si>
    <t xml:space="preserve">Opmerkingen </t>
  </si>
  <si>
    <t>Kerstmis</t>
  </si>
  <si>
    <t>Nieuwjaar</t>
  </si>
  <si>
    <t>voorjaarsvakantie midden/zuid</t>
  </si>
  <si>
    <t xml:space="preserve">Klok vooruit </t>
  </si>
  <si>
    <t>Pasen</t>
  </si>
  <si>
    <t>Meivakantie</t>
  </si>
  <si>
    <t>Bevrijdingsdag</t>
  </si>
  <si>
    <t>Pinksteren</t>
  </si>
  <si>
    <t>Zomervakantie noord</t>
  </si>
  <si>
    <t>Klok achteruit</t>
  </si>
  <si>
    <t>Dagen</t>
  </si>
  <si>
    <t>Aantal dagen</t>
  </si>
  <si>
    <t>Uren / week</t>
  </si>
  <si>
    <t>Kerstvakantie</t>
  </si>
  <si>
    <t>voorjaarsvakantie noord</t>
  </si>
  <si>
    <t xml:space="preserve">vanaf 18:00 </t>
  </si>
  <si>
    <t>SAP niet beschikbaar</t>
  </si>
  <si>
    <t>Zomervakantie midden</t>
  </si>
  <si>
    <t>Herfstvakantie Noord</t>
  </si>
  <si>
    <t>Zomervakantie zuid</t>
  </si>
  <si>
    <t>Herfstvakantie midden/zuid</t>
  </si>
  <si>
    <t>10:30 - 19:00</t>
  </si>
  <si>
    <t>Vrij</t>
  </si>
  <si>
    <t>Uren per week</t>
  </si>
  <si>
    <t>Rens</t>
  </si>
  <si>
    <t>Kaal</t>
  </si>
  <si>
    <t>mx</t>
  </si>
  <si>
    <t>e</t>
  </si>
  <si>
    <t>Opl</t>
  </si>
  <si>
    <t>Examen</t>
  </si>
  <si>
    <t>Lemmer</t>
  </si>
  <si>
    <t xml:space="preserve">Dag minder ivm extra dag in 2025 die Kurt heeft gewerkt. </t>
  </si>
  <si>
    <t>Peters</t>
  </si>
  <si>
    <t>Extra dag vrij gehad in 2025</t>
  </si>
  <si>
    <t xml:space="preserve"> </t>
  </si>
  <si>
    <t>Gerwin</t>
  </si>
  <si>
    <t>Valkenborg</t>
  </si>
  <si>
    <t>Rosenberg</t>
  </si>
  <si>
    <t>Dennis</t>
  </si>
  <si>
    <t>van Lingen</t>
  </si>
  <si>
    <t>Sander:</t>
  </si>
  <si>
    <t>Diensten vanaf week 18</t>
  </si>
  <si>
    <t>van Roon</t>
  </si>
  <si>
    <t>Totaal diensten vanaf week 18</t>
  </si>
  <si>
    <t>Totaal kantoor vanaf week 18</t>
  </si>
  <si>
    <t>Colette</t>
  </si>
  <si>
    <t>Verbueken</t>
  </si>
  <si>
    <t>mx.</t>
  </si>
  <si>
    <t>Percentage</t>
  </si>
  <si>
    <t>Mert</t>
  </si>
  <si>
    <t>Kasmer</t>
  </si>
  <si>
    <t>Mens</t>
  </si>
  <si>
    <t>V</t>
  </si>
  <si>
    <t>Margreet</t>
  </si>
  <si>
    <t>van den Heuvel</t>
  </si>
  <si>
    <t>X</t>
  </si>
  <si>
    <t>Rowena</t>
  </si>
  <si>
    <t>Um</t>
  </si>
  <si>
    <t>Binbin</t>
  </si>
  <si>
    <t>Onboarding</t>
  </si>
  <si>
    <t>Onboarding S&amp;S</t>
  </si>
  <si>
    <t>Esther</t>
  </si>
  <si>
    <t>van Santen</t>
  </si>
  <si>
    <t>Miriam</t>
  </si>
  <si>
    <t>van Selm</t>
  </si>
  <si>
    <t xml:space="preserve">Don </t>
  </si>
  <si>
    <t>Bremmers</t>
  </si>
  <si>
    <t>DVM</t>
  </si>
  <si>
    <t xml:space="preserve">Sander kantoor dagen </t>
  </si>
  <si>
    <t xml:space="preserve">10.30 - 19.00 
(za en zo: 09:00-17:30)
</t>
  </si>
  <si>
    <t>vrij / vakantie / verlof</t>
  </si>
  <si>
    <t>extra (uren extra oproep)</t>
  </si>
  <si>
    <t>Algemene rooster/verlofaanvraag afspraken:</t>
  </si>
  <si>
    <t>1) In Juni komt er een voorstel rooster komend jaar. Streven is dit per 1 juli rond te hebben.</t>
  </si>
  <si>
    <t xml:space="preserve">2) Vakantieaanvragen indienen via installatiebeheer@heijmans.nl </t>
  </si>
  <si>
    <t>3) Vakantieaanvragen voor de periode van 1 januari t/m 30 april indienen voor 1 september het jaar daarvoor. Streven is dan de vakantieplanning op 1 oktober rond te hebben.</t>
  </si>
  <si>
    <t xml:space="preserve">    Vakantieaanvragen voor de periode van 1 mei t/m 31augustus indienen voor 1 december het jaar daarvoor. Streven is dan de vakantieplanning op 1 januari rond te hebben.</t>
  </si>
  <si>
    <t xml:space="preserve">    Vakantieaanvragen voor de periode van 1 september t/m 31 december indienen voor 1 mei. Streven is dan de vakantieplanning voor 1 juni rond te hebben.</t>
  </si>
  <si>
    <t xml:space="preserve">    Aanvragen die later binnenkomen, moeten medewerkers zelf onderling regelen, voordat deze ter goedkeuring worden voorgelegd. </t>
  </si>
  <si>
    <t>4) Er kunnen maximaal 2 personen tegelijk vakantie opnemen.</t>
  </si>
  <si>
    <t>5) Wanneer er meerdere aanvragen binnenkomen voor de kerstvakantie dan wordt er ook gekeken naar het verlof van voorgaande jaren.</t>
  </si>
  <si>
    <t>Iedereen heeft bewerkingsrechten binnen het rooster.</t>
  </si>
  <si>
    <t>Afspraken hiervoor:</t>
  </si>
  <si>
    <t>1) Alleen voor een enkele wijziging/dienstwissel. Verlof/vakantie aanvraag indienen via installatiebeheer@heijmans.nl</t>
  </si>
  <si>
    <t>2) Wijzigingen/dienstwissel niet verder dan 14 dagen vooruit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</si>
</sst>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9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sz val="8"/>
      <color rgb="FF000000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b/>
      <i/>
      <sz val="10"/>
      <color theme="1"/>
      <name val="Arial"/>
      <family val="2"/>
    </font>
    <font>
      <b/>
      <i/>
      <sz val="10"/>
      <color rgb="FFFF0000"/>
      <name val="Arial"/>
      <family val="2"/>
    </font>
    <font>
      <i/>
      <sz val="10"/>
      <color theme="1"/>
      <name val="Arial"/>
      <family val="2"/>
    </font>
    <font>
      <b/>
      <sz val="10"/>
      <name val="Arial"/>
      <family val="2"/>
    </font>
    <font>
      <strike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A9D08E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C36D2"/>
        <bgColor rgb="FF000000"/>
      </patternFill>
    </fill>
    <fill>
      <gradientFill degree="180">
        <stop position="0">
          <color theme="0"/>
        </stop>
        <stop position="1">
          <color rgb="FF00B0F0"/>
        </stop>
      </gradientFill>
    </fill>
    <fill>
      <patternFill patternType="solid">
        <fgColor theme="9" tint="0.59999389629810485"/>
        <bgColor indexed="64"/>
      </patternFill>
    </fill>
    <fill>
      <patternFill patternType="solid">
        <fgColor rgb="FF8DE3EB"/>
        <bgColor indexed="64"/>
      </patternFill>
    </fill>
    <fill>
      <patternFill patternType="solid">
        <fgColor rgb="FFFC36D2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0" borderId="1" xfId="0" applyFont="1" applyBorder="1"/>
    <xf numFmtId="17" fontId="0" fillId="2" borderId="1" xfId="0" quotePrefix="1" applyNumberFormat="1" applyFill="1" applyBorder="1"/>
    <xf numFmtId="0" fontId="0" fillId="2" borderId="1" xfId="0" quotePrefix="1" applyFill="1" applyBorder="1"/>
    <xf numFmtId="0" fontId="3" fillId="2" borderId="1" xfId="0" applyFont="1" applyFill="1" applyBorder="1"/>
    <xf numFmtId="0" fontId="3" fillId="0" borderId="1" xfId="0" applyFont="1" applyBorder="1"/>
    <xf numFmtId="0" fontId="0" fillId="4" borderId="1" xfId="0" applyFill="1" applyBorder="1"/>
    <xf numFmtId="0" fontId="3" fillId="0" borderId="1" xfId="0" applyFont="1" applyBorder="1" applyAlignment="1">
      <alignment horizontal="center"/>
    </xf>
    <xf numFmtId="16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0" fontId="0" fillId="6" borderId="1" xfId="0" applyFill="1" applyBorder="1"/>
    <xf numFmtId="0" fontId="0" fillId="0" borderId="1" xfId="0" applyBorder="1" applyAlignment="1">
      <alignment horizontal="center"/>
    </xf>
    <xf numFmtId="0" fontId="8" fillId="7" borderId="1" xfId="0" applyFont="1" applyFill="1" applyBorder="1"/>
    <xf numFmtId="0" fontId="8" fillId="7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8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9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0" fontId="9" fillId="0" borderId="1" xfId="0" applyFont="1" applyBorder="1" applyAlignment="1">
      <alignment horizontal="center" vertical="center"/>
    </xf>
    <xf numFmtId="0" fontId="9" fillId="7" borderId="1" xfId="0" applyFont="1" applyFill="1" applyBorder="1" applyAlignment="1">
      <alignment vertical="top"/>
    </xf>
    <xf numFmtId="0" fontId="9" fillId="0" borderId="1" xfId="0" applyFont="1" applyBorder="1" applyAlignment="1">
      <alignment vertical="top"/>
    </xf>
    <xf numFmtId="0" fontId="10" fillId="0" borderId="1" xfId="0" applyFont="1" applyBorder="1"/>
    <xf numFmtId="0" fontId="11" fillId="0" borderId="1" xfId="0" applyFont="1" applyBorder="1"/>
    <xf numFmtId="0" fontId="10" fillId="0" borderId="1" xfId="0" applyFont="1" applyBorder="1" applyAlignment="1">
      <alignment horizontal="left"/>
    </xf>
    <xf numFmtId="16" fontId="10" fillId="0" borderId="1" xfId="0" applyNumberFormat="1" applyFont="1" applyBorder="1" applyAlignment="1">
      <alignment horizontal="left"/>
    </xf>
    <xf numFmtId="0" fontId="12" fillId="0" borderId="1" xfId="0" applyFont="1" applyBorder="1"/>
    <xf numFmtId="0" fontId="12" fillId="2" borderId="1" xfId="0" applyFont="1" applyFill="1" applyBorder="1"/>
    <xf numFmtId="0" fontId="2" fillId="8" borderId="1" xfId="0" applyFont="1" applyFill="1" applyBorder="1"/>
    <xf numFmtId="0" fontId="8" fillId="6" borderId="1" xfId="0" applyFont="1" applyFill="1" applyBorder="1"/>
    <xf numFmtId="16" fontId="1" fillId="0" borderId="1" xfId="0" applyNumberFormat="1" applyFont="1" applyBorder="1" applyAlignment="1">
      <alignment horizontal="left"/>
    </xf>
    <xf numFmtId="0" fontId="0" fillId="2" borderId="1" xfId="0" applyFill="1" applyBorder="1"/>
    <xf numFmtId="0" fontId="3" fillId="3" borderId="1" xfId="0" applyFont="1" applyFill="1" applyBorder="1"/>
    <xf numFmtId="0" fontId="0" fillId="5" borderId="1" xfId="0" applyFill="1" applyBorder="1"/>
    <xf numFmtId="0" fontId="13" fillId="8" borderId="1" xfId="0" applyFont="1" applyFill="1" applyBorder="1"/>
    <xf numFmtId="0" fontId="0" fillId="8" borderId="1" xfId="0" applyFill="1" applyBorder="1"/>
    <xf numFmtId="0" fontId="9" fillId="8" borderId="1" xfId="0" applyFont="1" applyFill="1" applyBorder="1"/>
    <xf numFmtId="0" fontId="0" fillId="9" borderId="1" xfId="0" applyFill="1" applyBorder="1"/>
    <xf numFmtId="0" fontId="14" fillId="0" borderId="1" xfId="0" applyFont="1" applyBorder="1"/>
    <xf numFmtId="0" fontId="14" fillId="10" borderId="1" xfId="0" applyFont="1" applyFill="1" applyBorder="1"/>
    <xf numFmtId="0" fontId="0" fillId="3" borderId="1" xfId="0" applyFill="1" applyBorder="1"/>
    <xf numFmtId="0" fontId="0" fillId="11" borderId="1" xfId="0" applyFill="1" applyBorder="1"/>
    <xf numFmtId="0" fontId="15" fillId="6" borderId="1" xfId="0" applyFont="1" applyFill="1" applyBorder="1"/>
    <xf numFmtId="0" fontId="16" fillId="0" borderId="1" xfId="0" applyFont="1" applyBorder="1"/>
    <xf numFmtId="0" fontId="9" fillId="12" borderId="1" xfId="0" applyFont="1" applyFill="1" applyBorder="1"/>
    <xf numFmtId="0" fontId="1" fillId="3" borderId="1" xfId="0" applyFont="1" applyFill="1" applyBorder="1" applyAlignment="1">
      <alignment horizontal="left"/>
    </xf>
    <xf numFmtId="0" fontId="1" fillId="12" borderId="1" xfId="0" applyFont="1" applyFill="1" applyBorder="1" applyAlignment="1">
      <alignment horizontal="left"/>
    </xf>
    <xf numFmtId="0" fontId="1" fillId="13" borderId="1" xfId="0" applyFont="1" applyFill="1" applyBorder="1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center"/>
    </xf>
    <xf numFmtId="16" fontId="3" fillId="10" borderId="1" xfId="0" applyNumberFormat="1" applyFont="1" applyFill="1" applyBorder="1" applyAlignment="1">
      <alignment horizontal="left"/>
    </xf>
    <xf numFmtId="0" fontId="13" fillId="10" borderId="1" xfId="0" applyFont="1" applyFill="1" applyBorder="1"/>
    <xf numFmtId="0" fontId="0" fillId="15" borderId="1" xfId="0" applyFill="1" applyBorder="1"/>
    <xf numFmtId="0" fontId="0" fillId="2" borderId="1" xfId="0" applyFill="1" applyBorder="1" applyAlignment="1">
      <alignment vertical="center" wrapText="1"/>
    </xf>
    <xf numFmtId="0" fontId="13" fillId="0" borderId="1" xfId="0" applyFont="1" applyBorder="1"/>
    <xf numFmtId="0" fontId="9" fillId="16" borderId="1" xfId="0" applyFont="1" applyFill="1" applyBorder="1"/>
    <xf numFmtId="0" fontId="9" fillId="17" borderId="1" xfId="0" applyFont="1" applyFill="1" applyBorder="1"/>
    <xf numFmtId="0" fontId="9" fillId="14" borderId="1" xfId="0" applyFont="1" applyFill="1" applyBorder="1"/>
    <xf numFmtId="0" fontId="9" fillId="0" borderId="1" xfId="0" applyFont="1" applyBorder="1" applyAlignment="1">
      <alignment vertical="center" wrapText="1"/>
    </xf>
    <xf numFmtId="164" fontId="0" fillId="0" borderId="1" xfId="0" applyNumberFormat="1" applyBorder="1"/>
    <xf numFmtId="164" fontId="1" fillId="0" borderId="1" xfId="0" applyNumberFormat="1" applyFont="1" applyBorder="1"/>
    <xf numFmtId="164" fontId="1" fillId="0" borderId="1" xfId="0" applyNumberFormat="1" applyFont="1" applyBorder="1" applyAlignment="1">
      <alignment horizontal="left"/>
    </xf>
    <xf numFmtId="0" fontId="9" fillId="12" borderId="1" xfId="0" applyFont="1" applyFill="1" applyBorder="1" applyAlignment="1">
      <alignment vertical="center" wrapText="1"/>
    </xf>
    <xf numFmtId="0" fontId="0" fillId="12" borderId="1" xfId="0" applyFill="1" applyBorder="1"/>
    <xf numFmtId="0" fontId="1" fillId="0" borderId="1" xfId="0" applyFont="1" applyBorder="1" applyAlignment="1">
      <alignment horizontal="left" vertical="center"/>
    </xf>
    <xf numFmtId="0" fontId="5" fillId="18" borderId="1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16" fontId="3" fillId="10" borderId="1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18" borderId="1" xfId="0" applyFont="1" applyFill="1" applyBorder="1" applyAlignment="1">
      <alignment horizontal="left" vertical="center"/>
    </xf>
    <xf numFmtId="0" fontId="5" fillId="21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left" vertical="center"/>
    </xf>
    <xf numFmtId="0" fontId="5" fillId="20" borderId="1" xfId="0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0" fillId="14" borderId="1" xfId="0" applyFill="1" applyBorder="1" applyAlignment="1">
      <alignment vertical="center" wrapText="1"/>
    </xf>
    <xf numFmtId="0" fontId="9" fillId="23" borderId="1" xfId="0" applyFont="1" applyFill="1" applyBorder="1"/>
    <xf numFmtId="0" fontId="1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9" fillId="14" borderId="1" xfId="0" applyFont="1" applyFill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25" borderId="1" xfId="0" applyFont="1" applyFill="1" applyBorder="1" applyAlignment="1">
      <alignment vertical="center" wrapText="1"/>
    </xf>
    <xf numFmtId="0" fontId="9" fillId="16" borderId="1" xfId="0" applyFont="1" applyFill="1" applyBorder="1" applyAlignment="1">
      <alignment wrapText="1"/>
    </xf>
    <xf numFmtId="0" fontId="9" fillId="17" borderId="1" xfId="0" applyFont="1" applyFill="1" applyBorder="1" applyAlignment="1">
      <alignment vertical="center" wrapText="1"/>
    </xf>
    <xf numFmtId="0" fontId="9" fillId="26" borderId="1" xfId="0" applyFont="1" applyFill="1" applyBorder="1" applyAlignment="1">
      <alignment wrapText="1"/>
    </xf>
    <xf numFmtId="0" fontId="9" fillId="27" borderId="1" xfId="0" applyFont="1" applyFill="1" applyBorder="1" applyAlignment="1">
      <alignment wrapText="1"/>
    </xf>
    <xf numFmtId="0" fontId="9" fillId="28" borderId="1" xfId="0" applyFont="1" applyFill="1" applyBorder="1" applyAlignment="1">
      <alignment wrapText="1"/>
    </xf>
    <xf numFmtId="0" fontId="9" fillId="29" borderId="1" xfId="0" applyFont="1" applyFill="1" applyBorder="1" applyAlignment="1">
      <alignment wrapText="1"/>
    </xf>
    <xf numFmtId="0" fontId="6" fillId="30" borderId="1" xfId="0" applyFont="1" applyFill="1" applyBorder="1" applyAlignment="1">
      <alignment wrapText="1"/>
    </xf>
    <xf numFmtId="0" fontId="9" fillId="31" borderId="1" xfId="0" applyFont="1" applyFill="1" applyBorder="1"/>
    <xf numFmtId="0" fontId="6" fillId="0" borderId="1" xfId="0" applyFont="1" applyBorder="1" applyAlignment="1">
      <alignment wrapText="1"/>
    </xf>
    <xf numFmtId="0" fontId="9" fillId="28" borderId="1" xfId="0" applyFont="1" applyFill="1" applyBorder="1"/>
    <xf numFmtId="0" fontId="9" fillId="32" borderId="1" xfId="0" applyFont="1" applyFill="1" applyBorder="1"/>
    <xf numFmtId="0" fontId="9" fillId="0" borderId="1" xfId="0" applyFont="1" applyBorder="1" applyAlignment="1">
      <alignment vertical="top" wrapText="1"/>
    </xf>
    <xf numFmtId="0" fontId="0" fillId="33" borderId="1" xfId="0" applyFill="1" applyBorder="1"/>
    <xf numFmtId="0" fontId="6" fillId="10" borderId="1" xfId="0" applyFont="1" applyFill="1" applyBorder="1" applyAlignment="1">
      <alignment wrapText="1"/>
    </xf>
    <xf numFmtId="0" fontId="9" fillId="4" borderId="1" xfId="0" applyFont="1" applyFill="1" applyBorder="1"/>
    <xf numFmtId="0" fontId="0" fillId="0" borderId="5" xfId="0" applyBorder="1"/>
    <xf numFmtId="0" fontId="9" fillId="31" borderId="6" xfId="0" applyFont="1" applyFill="1" applyBorder="1"/>
    <xf numFmtId="0" fontId="9" fillId="0" borderId="6" xfId="0" applyFont="1" applyBorder="1"/>
    <xf numFmtId="0" fontId="0" fillId="34" borderId="5" xfId="0" applyFill="1" applyBorder="1"/>
    <xf numFmtId="0" fontId="9" fillId="34" borderId="1" xfId="0" applyFont="1" applyFill="1" applyBorder="1"/>
    <xf numFmtId="0" fontId="0" fillId="34" borderId="1" xfId="0" applyFill="1" applyBorder="1"/>
    <xf numFmtId="0" fontId="9" fillId="10" borderId="1" xfId="0" applyFont="1" applyFill="1" applyBorder="1"/>
    <xf numFmtId="0" fontId="0" fillId="10" borderId="1" xfId="0" applyFill="1" applyBorder="1"/>
    <xf numFmtId="0" fontId="9" fillId="10" borderId="1" xfId="0" applyFont="1" applyFill="1" applyBorder="1" applyAlignment="1">
      <alignment wrapText="1"/>
    </xf>
    <xf numFmtId="0" fontId="9" fillId="5" borderId="1" xfId="0" applyFont="1" applyFill="1" applyBorder="1"/>
    <xf numFmtId="0" fontId="9" fillId="35" borderId="1" xfId="0" applyFont="1" applyFill="1" applyBorder="1" applyAlignment="1">
      <alignment wrapText="1"/>
    </xf>
    <xf numFmtId="0" fontId="9" fillId="35" borderId="1" xfId="0" applyFont="1" applyFill="1" applyBorder="1"/>
    <xf numFmtId="0" fontId="6" fillId="4" borderId="1" xfId="0" applyFont="1" applyFill="1" applyBorder="1" applyAlignment="1">
      <alignment wrapText="1"/>
    </xf>
    <xf numFmtId="0" fontId="9" fillId="36" borderId="1" xfId="0" applyFont="1" applyFill="1" applyBorder="1"/>
    <xf numFmtId="0" fontId="1" fillId="0" borderId="0" xfId="0" applyFont="1"/>
    <xf numFmtId="0" fontId="6" fillId="2" borderId="1" xfId="0" applyFont="1" applyFill="1" applyBorder="1" applyAlignment="1">
      <alignment wrapText="1"/>
    </xf>
    <xf numFmtId="0" fontId="9" fillId="14" borderId="6" xfId="0" applyFont="1" applyFill="1" applyBorder="1"/>
    <xf numFmtId="0" fontId="9" fillId="14" borderId="7" xfId="0" applyFont="1" applyFill="1" applyBorder="1"/>
    <xf numFmtId="0" fontId="18" fillId="0" borderId="7" xfId="0" applyFont="1" applyBorder="1"/>
    <xf numFmtId="0" fontId="9" fillId="17" borderId="7" xfId="0" applyFont="1" applyFill="1" applyBorder="1"/>
    <xf numFmtId="0" fontId="9" fillId="0" borderId="7" xfId="0" applyFont="1" applyBorder="1"/>
    <xf numFmtId="0" fontId="9" fillId="16" borderId="7" xfId="0" applyFont="1" applyFill="1" applyBorder="1"/>
    <xf numFmtId="0" fontId="9" fillId="0" borderId="5" xfId="0" applyFont="1" applyBorder="1"/>
    <xf numFmtId="0" fontId="9" fillId="0" borderId="8" xfId="0" applyFont="1" applyBorder="1"/>
    <xf numFmtId="0" fontId="18" fillId="25" borderId="8" xfId="0" applyFont="1" applyFill="1" applyBorder="1" applyAlignment="1">
      <alignment wrapText="1"/>
    </xf>
    <xf numFmtId="0" fontId="9" fillId="17" borderId="8" xfId="0" applyFont="1" applyFill="1" applyBorder="1"/>
    <xf numFmtId="0" fontId="6" fillId="26" borderId="8" xfId="0" applyFont="1" applyFill="1" applyBorder="1" applyAlignment="1">
      <alignment wrapText="1"/>
    </xf>
    <xf numFmtId="0" fontId="9" fillId="16" borderId="8" xfId="0" applyFont="1" applyFill="1" applyBorder="1"/>
    <xf numFmtId="0" fontId="9" fillId="0" borderId="9" xfId="0" applyFont="1" applyBorder="1"/>
    <xf numFmtId="0" fontId="9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10" xfId="0" applyBorder="1"/>
    <xf numFmtId="0" fontId="9" fillId="0" borderId="0" xfId="0" applyFont="1"/>
    <xf numFmtId="0" fontId="1" fillId="0" borderId="0" xfId="0" applyFont="1" applyAlignment="1">
      <alignment horizontal="left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9" fillId="0" borderId="10" xfId="0" applyFont="1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1" fillId="3" borderId="5" xfId="0" applyFont="1" applyFill="1" applyBorder="1" applyAlignment="1">
      <alignment horizontal="left"/>
    </xf>
    <xf numFmtId="0" fontId="1" fillId="12" borderId="5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13" borderId="5" xfId="0" applyFont="1" applyFill="1" applyBorder="1" applyAlignment="1">
      <alignment horizontal="left"/>
    </xf>
    <xf numFmtId="0" fontId="1" fillId="0" borderId="5" xfId="0" applyFont="1" applyBorder="1" applyAlignment="1">
      <alignment horizontal="left"/>
    </xf>
    <xf numFmtId="0" fontId="9" fillId="0" borderId="5" xfId="0" applyFont="1" applyBorder="1" applyAlignment="1">
      <alignment vertical="center" wrapText="1"/>
    </xf>
    <xf numFmtId="0" fontId="1" fillId="0" borderId="18" xfId="0" applyFont="1" applyBorder="1" applyAlignment="1">
      <alignment horizontal="left"/>
    </xf>
    <xf numFmtId="0" fontId="9" fillId="0" borderId="18" xfId="0" applyFont="1" applyBorder="1" applyAlignment="1">
      <alignment vertical="center" wrapText="1"/>
    </xf>
    <xf numFmtId="0" fontId="2" fillId="0" borderId="0" xfId="0" applyFont="1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2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2" fillId="0" borderId="3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10" fontId="0" fillId="0" borderId="10" xfId="0" applyNumberFormat="1" applyBorder="1"/>
    <xf numFmtId="0" fontId="0" fillId="0" borderId="15" xfId="0" applyBorder="1"/>
    <xf numFmtId="0" fontId="6" fillId="0" borderId="1" xfId="0" applyFont="1" applyBorder="1" applyAlignment="1">
      <alignment vertical="top" wrapText="1"/>
    </xf>
    <xf numFmtId="0" fontId="0" fillId="2" borderId="5" xfId="0" applyFill="1" applyBorder="1"/>
    <xf numFmtId="0" fontId="0" fillId="4" borderId="0" xfId="0" applyFill="1"/>
    <xf numFmtId="0" fontId="9" fillId="23" borderId="2" xfId="0" applyFont="1" applyFill="1" applyBorder="1"/>
    <xf numFmtId="0" fontId="9" fillId="14" borderId="3" xfId="0" applyFont="1" applyFill="1" applyBorder="1"/>
    <xf numFmtId="16" fontId="3" fillId="10" borderId="6" xfId="0" applyNumberFormat="1" applyFont="1" applyFill="1" applyBorder="1" applyAlignment="1">
      <alignment horizontal="left"/>
    </xf>
    <xf numFmtId="0" fontId="0" fillId="0" borderId="19" xfId="0" applyBorder="1"/>
    <xf numFmtId="0" fontId="9" fillId="21" borderId="1" xfId="0" applyFont="1" applyFill="1" applyBorder="1"/>
    <xf numFmtId="0" fontId="9" fillId="21" borderId="3" xfId="0" applyFont="1" applyFill="1" applyBorder="1"/>
    <xf numFmtId="0" fontId="6" fillId="26" borderId="19" xfId="0" applyFont="1" applyFill="1" applyBorder="1" applyAlignment="1">
      <alignment wrapText="1"/>
    </xf>
    <xf numFmtId="0" fontId="6" fillId="26" borderId="20" xfId="0" applyFont="1" applyFill="1" applyBorder="1" applyAlignment="1">
      <alignment wrapText="1"/>
    </xf>
    <xf numFmtId="0" fontId="9" fillId="0" borderId="3" xfId="0" applyFont="1" applyBorder="1"/>
    <xf numFmtId="0" fontId="6" fillId="14" borderId="19" xfId="0" applyFont="1" applyFill="1" applyBorder="1"/>
    <xf numFmtId="0" fontId="9" fillId="0" borderId="20" xfId="0" applyFont="1" applyBorder="1"/>
    <xf numFmtId="0" fontId="9" fillId="0" borderId="19" xfId="0" applyFont="1" applyBorder="1"/>
    <xf numFmtId="0" fontId="9" fillId="14" borderId="20" xfId="0" applyFont="1" applyFill="1" applyBorder="1"/>
    <xf numFmtId="0" fontId="6" fillId="26" borderId="1" xfId="0" applyFont="1" applyFill="1" applyBorder="1" applyAlignment="1">
      <alignment wrapText="1"/>
    </xf>
    <xf numFmtId="0" fontId="5" fillId="22" borderId="1" xfId="0" applyFont="1" applyFill="1" applyBorder="1" applyAlignment="1">
      <alignment horizontal="left" vertical="center"/>
    </xf>
    <xf numFmtId="0" fontId="5" fillId="18" borderId="2" xfId="0" applyFont="1" applyFill="1" applyBorder="1" applyAlignment="1">
      <alignment horizontal="left" vertical="center"/>
    </xf>
    <xf numFmtId="0" fontId="5" fillId="18" borderId="3" xfId="0" applyFont="1" applyFill="1" applyBorder="1" applyAlignment="1">
      <alignment horizontal="left" vertical="center"/>
    </xf>
    <xf numFmtId="0" fontId="5" fillId="18" borderId="4" xfId="0" applyFont="1" applyFill="1" applyBorder="1" applyAlignment="1">
      <alignment horizontal="left" vertical="center"/>
    </xf>
    <xf numFmtId="0" fontId="5" fillId="18" borderId="1" xfId="0" applyFont="1" applyFill="1" applyBorder="1" applyAlignment="1">
      <alignment horizontal="left" vertical="center"/>
    </xf>
    <xf numFmtId="0" fontId="0" fillId="22" borderId="1" xfId="0" applyFill="1" applyBorder="1" applyAlignment="1">
      <alignment horizontal="left" vertical="center"/>
    </xf>
    <xf numFmtId="0" fontId="5" fillId="22" borderId="2" xfId="0" applyFont="1" applyFill="1" applyBorder="1" applyAlignment="1">
      <alignment horizontal="left" vertical="center"/>
    </xf>
    <xf numFmtId="0" fontId="5" fillId="22" borderId="4" xfId="0" applyFont="1" applyFill="1" applyBorder="1" applyAlignment="1">
      <alignment horizontal="left" vertical="center"/>
    </xf>
    <xf numFmtId="0" fontId="5" fillId="22" borderId="3" xfId="0" applyFont="1" applyFill="1" applyBorder="1" applyAlignment="1">
      <alignment horizontal="left" vertical="center"/>
    </xf>
    <xf numFmtId="0" fontId="5" fillId="18" borderId="2" xfId="0" applyFont="1" applyFill="1" applyBorder="1" applyAlignment="1">
      <alignment horizontal="center" vertical="center"/>
    </xf>
    <xf numFmtId="0" fontId="5" fillId="18" borderId="4" xfId="0" applyFont="1" applyFill="1" applyBorder="1" applyAlignment="1">
      <alignment horizontal="center" vertical="center"/>
    </xf>
    <xf numFmtId="0" fontId="5" fillId="18" borderId="3" xfId="0" applyFont="1" applyFill="1" applyBorder="1" applyAlignment="1">
      <alignment horizontal="center" vertical="center"/>
    </xf>
    <xf numFmtId="0" fontId="5" fillId="24" borderId="2" xfId="0" applyFont="1" applyFill="1" applyBorder="1" applyAlignment="1">
      <alignment horizontal="left" vertical="center"/>
    </xf>
    <xf numFmtId="0" fontId="5" fillId="24" borderId="4" xfId="0" applyFont="1" applyFill="1" applyBorder="1" applyAlignment="1">
      <alignment horizontal="left" vertical="center"/>
    </xf>
    <xf numFmtId="0" fontId="5" fillId="24" borderId="3" xfId="0" applyFont="1" applyFill="1" applyBorder="1" applyAlignment="1">
      <alignment horizontal="left" vertical="center"/>
    </xf>
    <xf numFmtId="0" fontId="5" fillId="2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Standaard" xfId="0" builtinId="0"/>
  </cellStyles>
  <dxfs count="1101"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</dxfs>
  <tableStyles count="1" defaultTableStyle="TableStyleMedium2" defaultPivotStyle="PivotStyleLight16">
    <tableStyle name="Invisible" pivot="0" table="0" count="0" xr9:uid="{D49485A4-BC1A-44CA-8A18-BA8384228F85}"/>
  </tableStyles>
  <colors>
    <mruColors>
      <color rgb="FFFF0000"/>
      <color rgb="FFFC36D2"/>
      <color rgb="FF8DE3EB"/>
      <color rgb="FF18CBDB"/>
      <color rgb="FF790FA6"/>
      <color rgb="FFBE44F2"/>
      <color rgb="FF00FF00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104775</xdr:rowOff>
    </xdr:from>
    <xdr:to>
      <xdr:col>1</xdr:col>
      <xdr:colOff>0</xdr:colOff>
      <xdr:row>54</xdr:row>
      <xdr:rowOff>95250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C51725EB-EB8D-4BEE-A6DE-8802361F4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075" y="5895975"/>
          <a:ext cx="0" cy="33909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104775</xdr:rowOff>
    </xdr:from>
    <xdr:to>
      <xdr:col>1</xdr:col>
      <xdr:colOff>0</xdr:colOff>
      <xdr:row>54</xdr:row>
      <xdr:rowOff>95250</xdr:rowOff>
    </xdr:to>
    <xdr:pic>
      <xdr:nvPicPr>
        <xdr:cNvPr id="3" name="Afbeelding 1">
          <a:extLst>
            <a:ext uri="{FF2B5EF4-FFF2-40B4-BE49-F238E27FC236}">
              <a16:creationId xmlns:a16="http://schemas.microsoft.com/office/drawing/2014/main" id="{B4856476-72CE-4E2F-8BF1-F8050D801E69}"/>
            </a:ext>
            <a:ext uri="{147F2762-F138-4A5C-976F-8EAC2B608ADB}">
              <a16:predDERef xmlns:a16="http://schemas.microsoft.com/office/drawing/2014/main" pred="{C51725EB-EB8D-4BEE-A6DE-8802361F4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075" y="5895975"/>
          <a:ext cx="0" cy="3390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104775</xdr:rowOff>
    </xdr:from>
    <xdr:to>
      <xdr:col>1</xdr:col>
      <xdr:colOff>0</xdr:colOff>
      <xdr:row>54</xdr:row>
      <xdr:rowOff>95250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3955B5CD-79EC-4088-B887-D31F8666B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353050"/>
          <a:ext cx="6934200" cy="33909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104775</xdr:rowOff>
    </xdr:from>
    <xdr:to>
      <xdr:col>1</xdr:col>
      <xdr:colOff>0</xdr:colOff>
      <xdr:row>54</xdr:row>
      <xdr:rowOff>95250</xdr:rowOff>
    </xdr:to>
    <xdr:pic>
      <xdr:nvPicPr>
        <xdr:cNvPr id="3" name="Afbeelding 1">
          <a:extLst>
            <a:ext uri="{FF2B5EF4-FFF2-40B4-BE49-F238E27FC236}">
              <a16:creationId xmlns:a16="http://schemas.microsoft.com/office/drawing/2014/main" id="{6D339FA3-69D3-4868-B4A5-6260F40C4639}"/>
            </a:ext>
            <a:ext uri="{147F2762-F138-4A5C-976F-8EAC2B608ADB}">
              <a16:predDERef xmlns:a16="http://schemas.microsoft.com/office/drawing/2014/main" pred="{3955B5CD-79EC-4088-B887-D31F8666B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353050"/>
          <a:ext cx="6934200" cy="3390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285749</xdr:colOff>
      <xdr:row>54</xdr:row>
      <xdr:rowOff>4966</xdr:rowOff>
    </xdr:from>
    <xdr:to>
      <xdr:col>27</xdr:col>
      <xdr:colOff>68752</xdr:colOff>
      <xdr:row>82</xdr:row>
      <xdr:rowOff>39129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778D6ECF-1E67-4B1F-BF20-81BB44B7A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1374" y="8672716"/>
          <a:ext cx="9212753" cy="456806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152399</xdr:colOff>
      <xdr:row>38</xdr:row>
      <xdr:rowOff>43066</xdr:rowOff>
    </xdr:from>
    <xdr:to>
      <xdr:col>52</xdr:col>
      <xdr:colOff>360217</xdr:colOff>
      <xdr:row>66</xdr:row>
      <xdr:rowOff>77229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BAB9E264-EDBF-40BD-A41C-EBB2A7A0D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92274" y="6120016"/>
          <a:ext cx="9212753" cy="456806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achel Mens" id="{AB9F8313-86FA-4152-A1F5-7603BF28A6C1}" userId="S::rmens@heijmans.nl::bee9eda3-f0c5-461d-8262-f4282e7a5b55" providerId="AD"/>
  <person displayName="Gerwin Valkenborg" id="{847576D0-47D1-4E9A-84AA-453D8C7970EE}" userId="S::gvalkenborg@heijmans.nl::c00a782b-2336-472f-856b-260ddd4d3e8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R14" dT="2026-04-20T23:43:53.61" personId="{847576D0-47D1-4E9A-84AA-453D8C7970EE}" id="{7DDD0B11-F4E9-4496-89EC-4FD83A546EA1}">
    <text>4u verlof opgenomen</text>
  </threadedComment>
  <threadedComment ref="EF34" dT="2026-04-29T20:29:49.87" personId="{AB9F8313-86FA-4152-A1F5-7603BF28A6C1}" id="{362A4FE4-9A59-41ED-B92B-B96D85442DD0}">
    <text xml:space="preserve">eerder weg ivm priveafspraak 16:00 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A91B-CBFB-4A24-805A-AEB277827296}">
  <dimension ref="A1:ND27"/>
  <sheetViews>
    <sheetView workbookViewId="0">
      <pane xSplit="1" topLeftCell="CW1" activePane="topRight" state="frozen"/>
      <selection pane="topRight" activeCell="CW24" sqref="CW24"/>
    </sheetView>
  </sheetViews>
  <sheetFormatPr defaultColWidth="9.140625" defaultRowHeight="13.15"/>
  <cols>
    <col min="1" max="1" width="10.5703125" style="1" customWidth="1"/>
    <col min="2" max="12" width="9.140625" style="1" hidden="1" customWidth="1"/>
    <col min="13" max="14" width="0" style="1" hidden="1" customWidth="1"/>
    <col min="15" max="16384" width="9.140625" style="1"/>
  </cols>
  <sheetData>
    <row r="1" spans="1:368">
      <c r="A1" s="1" t="s">
        <v>0</v>
      </c>
      <c r="B1" s="1" t="s">
        <v>1</v>
      </c>
    </row>
    <row r="2" spans="1:368">
      <c r="A2" s="1" t="s">
        <v>2</v>
      </c>
      <c r="B2" s="1" t="s">
        <v>3</v>
      </c>
    </row>
    <row r="3" spans="1:368">
      <c r="A3" s="1" t="s">
        <v>4</v>
      </c>
      <c r="B3" s="1" t="s">
        <v>5</v>
      </c>
    </row>
    <row r="4" spans="1:368">
      <c r="A4" s="1" t="s">
        <v>6</v>
      </c>
      <c r="B4" s="1" t="s">
        <v>7</v>
      </c>
    </row>
    <row r="5" spans="1:368">
      <c r="A5" s="1" t="s">
        <v>8</v>
      </c>
      <c r="B5" s="1" t="s">
        <v>9</v>
      </c>
    </row>
    <row r="6" spans="1:368">
      <c r="A6" s="1" t="s">
        <v>10</v>
      </c>
      <c r="B6" s="1" t="s">
        <v>11</v>
      </c>
    </row>
    <row r="7" spans="1:368">
      <c r="A7" s="1" t="s">
        <v>12</v>
      </c>
      <c r="B7" s="1" t="s">
        <v>13</v>
      </c>
    </row>
    <row r="9" spans="1:368" s="4" customFormat="1">
      <c r="C9" s="4" t="s">
        <v>14</v>
      </c>
      <c r="H9" s="4" t="s">
        <v>15</v>
      </c>
      <c r="O9" s="4" t="s">
        <v>16</v>
      </c>
      <c r="V9" s="4" t="s">
        <v>17</v>
      </c>
      <c r="AC9" s="4" t="s">
        <v>18</v>
      </c>
      <c r="AJ9" s="4" t="s">
        <v>19</v>
      </c>
      <c r="AQ9" s="4" t="s">
        <v>20</v>
      </c>
      <c r="AX9" s="4" t="s">
        <v>21</v>
      </c>
      <c r="BE9" s="4" t="s">
        <v>22</v>
      </c>
      <c r="BL9" s="4" t="s">
        <v>23</v>
      </c>
      <c r="BS9" s="4" t="s">
        <v>24</v>
      </c>
      <c r="BZ9" s="4" t="s">
        <v>25</v>
      </c>
      <c r="CG9" s="4" t="s">
        <v>26</v>
      </c>
      <c r="CN9" s="4" t="s">
        <v>27</v>
      </c>
      <c r="CU9" s="4" t="s">
        <v>28</v>
      </c>
      <c r="DB9" s="4" t="s">
        <v>29</v>
      </c>
      <c r="DI9" s="4" t="s">
        <v>30</v>
      </c>
      <c r="DP9" s="4" t="s">
        <v>31</v>
      </c>
      <c r="DW9" s="4" t="s">
        <v>32</v>
      </c>
      <c r="ED9" s="4" t="s">
        <v>33</v>
      </c>
      <c r="EK9" s="4" t="s">
        <v>34</v>
      </c>
      <c r="ER9" s="4" t="s">
        <v>35</v>
      </c>
      <c r="EY9" s="4" t="s">
        <v>36</v>
      </c>
      <c r="FF9" s="4" t="s">
        <v>37</v>
      </c>
      <c r="FM9" s="4" t="s">
        <v>38</v>
      </c>
      <c r="FT9" s="4" t="s">
        <v>39</v>
      </c>
      <c r="GA9" s="4" t="s">
        <v>40</v>
      </c>
      <c r="GH9" s="4" t="s">
        <v>41</v>
      </c>
      <c r="GO9" s="4" t="s">
        <v>42</v>
      </c>
      <c r="GV9" s="4" t="s">
        <v>43</v>
      </c>
      <c r="HC9" s="4" t="s">
        <v>44</v>
      </c>
      <c r="HJ9" s="4" t="s">
        <v>45</v>
      </c>
      <c r="HQ9" s="4" t="s">
        <v>46</v>
      </c>
      <c r="HX9" s="4" t="s">
        <v>47</v>
      </c>
      <c r="IE9" s="4" t="s">
        <v>48</v>
      </c>
      <c r="IL9" s="4" t="s">
        <v>49</v>
      </c>
      <c r="IS9" s="4" t="s">
        <v>50</v>
      </c>
      <c r="IZ9" s="4" t="s">
        <v>51</v>
      </c>
      <c r="JG9" s="4" t="s">
        <v>52</v>
      </c>
      <c r="JN9" s="4" t="s">
        <v>53</v>
      </c>
      <c r="JU9" s="4" t="s">
        <v>54</v>
      </c>
      <c r="KB9" s="4" t="s">
        <v>55</v>
      </c>
      <c r="KI9" s="4" t="s">
        <v>56</v>
      </c>
      <c r="KP9" s="4" t="s">
        <v>57</v>
      </c>
      <c r="KW9" s="4" t="s">
        <v>58</v>
      </c>
      <c r="LD9" s="4" t="s">
        <v>59</v>
      </c>
      <c r="LK9" s="4" t="s">
        <v>60</v>
      </c>
      <c r="LR9" s="4" t="s">
        <v>61</v>
      </c>
      <c r="LY9" s="4" t="s">
        <v>62</v>
      </c>
      <c r="MF9" s="4" t="s">
        <v>63</v>
      </c>
      <c r="MM9" s="4" t="s">
        <v>64</v>
      </c>
      <c r="MT9" s="4" t="s">
        <v>65</v>
      </c>
      <c r="NA9" s="4" t="s">
        <v>14</v>
      </c>
    </row>
    <row r="10" spans="1:368" s="2" customFormat="1">
      <c r="C10" s="2" t="s">
        <v>66</v>
      </c>
      <c r="D10" s="2" t="s">
        <v>67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72</v>
      </c>
      <c r="J10" s="2" t="s">
        <v>66</v>
      </c>
      <c r="K10" s="2" t="s">
        <v>73</v>
      </c>
      <c r="L10" s="2" t="s">
        <v>68</v>
      </c>
      <c r="M10" s="2" t="s">
        <v>69</v>
      </c>
      <c r="N10" s="2" t="s">
        <v>70</v>
      </c>
      <c r="O10" s="2" t="s">
        <v>71</v>
      </c>
      <c r="P10" s="2" t="s">
        <v>72</v>
      </c>
      <c r="Q10" s="2" t="s">
        <v>66</v>
      </c>
      <c r="R10" s="2" t="s">
        <v>73</v>
      </c>
      <c r="S10" s="2" t="s">
        <v>68</v>
      </c>
      <c r="T10" s="2" t="s">
        <v>69</v>
      </c>
      <c r="U10" s="2" t="s">
        <v>70</v>
      </c>
      <c r="V10" s="2" t="s">
        <v>71</v>
      </c>
      <c r="W10" s="2" t="s">
        <v>72</v>
      </c>
      <c r="X10" s="2" t="s">
        <v>66</v>
      </c>
      <c r="Y10" s="2" t="s">
        <v>73</v>
      </c>
      <c r="Z10" s="2" t="s">
        <v>68</v>
      </c>
      <c r="AA10" s="2" t="s">
        <v>69</v>
      </c>
      <c r="AB10" s="2" t="s">
        <v>70</v>
      </c>
      <c r="AC10" s="2" t="s">
        <v>71</v>
      </c>
      <c r="AD10" s="2" t="s">
        <v>72</v>
      </c>
      <c r="AE10" s="2" t="s">
        <v>66</v>
      </c>
      <c r="AF10" s="2" t="s">
        <v>73</v>
      </c>
      <c r="AG10" s="2" t="s">
        <v>68</v>
      </c>
      <c r="AH10" s="2" t="s">
        <v>69</v>
      </c>
      <c r="AI10" s="2" t="s">
        <v>70</v>
      </c>
      <c r="AJ10" s="2" t="s">
        <v>71</v>
      </c>
      <c r="AK10" s="2" t="s">
        <v>72</v>
      </c>
      <c r="AL10" s="2" t="s">
        <v>66</v>
      </c>
      <c r="AM10" s="2" t="s">
        <v>73</v>
      </c>
      <c r="AN10" s="2" t="s">
        <v>68</v>
      </c>
      <c r="AO10" s="2" t="s">
        <v>69</v>
      </c>
      <c r="AP10" s="2" t="s">
        <v>70</v>
      </c>
      <c r="AQ10" s="2" t="s">
        <v>71</v>
      </c>
      <c r="AR10" s="2" t="s">
        <v>72</v>
      </c>
      <c r="AS10" s="2" t="s">
        <v>66</v>
      </c>
      <c r="AT10" s="2" t="s">
        <v>73</v>
      </c>
      <c r="AU10" s="2" t="s">
        <v>68</v>
      </c>
      <c r="AV10" s="2" t="s">
        <v>69</v>
      </c>
      <c r="AW10" s="2" t="s">
        <v>70</v>
      </c>
      <c r="AX10" s="2" t="s">
        <v>71</v>
      </c>
      <c r="AY10" s="2" t="s">
        <v>72</v>
      </c>
      <c r="AZ10" s="2" t="s">
        <v>66</v>
      </c>
      <c r="BA10" s="2" t="s">
        <v>73</v>
      </c>
      <c r="BB10" s="2" t="s">
        <v>68</v>
      </c>
      <c r="BC10" s="2" t="s">
        <v>69</v>
      </c>
      <c r="BD10" s="2" t="s">
        <v>70</v>
      </c>
      <c r="BE10" s="2" t="s">
        <v>71</v>
      </c>
      <c r="BF10" s="2" t="s">
        <v>72</v>
      </c>
      <c r="BG10" s="2" t="s">
        <v>66</v>
      </c>
      <c r="BH10" s="2" t="s">
        <v>73</v>
      </c>
      <c r="BI10" s="2" t="s">
        <v>68</v>
      </c>
      <c r="BJ10" s="2" t="s">
        <v>69</v>
      </c>
      <c r="BK10" s="2" t="s">
        <v>70</v>
      </c>
      <c r="BL10" s="2" t="s">
        <v>71</v>
      </c>
      <c r="BM10" s="2" t="s">
        <v>72</v>
      </c>
      <c r="BN10" s="2" t="s">
        <v>66</v>
      </c>
      <c r="BO10" s="2" t="s">
        <v>73</v>
      </c>
      <c r="BP10" s="2" t="s">
        <v>68</v>
      </c>
      <c r="BQ10" s="2" t="s">
        <v>69</v>
      </c>
      <c r="BR10" s="2" t="s">
        <v>70</v>
      </c>
      <c r="BS10" s="2" t="s">
        <v>71</v>
      </c>
      <c r="BT10" s="2" t="s">
        <v>72</v>
      </c>
      <c r="BU10" s="2" t="s">
        <v>66</v>
      </c>
      <c r="BV10" s="2" t="s">
        <v>73</v>
      </c>
      <c r="BW10" s="2" t="s">
        <v>68</v>
      </c>
      <c r="BX10" s="2" t="s">
        <v>69</v>
      </c>
      <c r="BY10" s="2" t="s">
        <v>70</v>
      </c>
      <c r="BZ10" s="2" t="s">
        <v>71</v>
      </c>
      <c r="CA10" s="2" t="s">
        <v>72</v>
      </c>
      <c r="CB10" s="2" t="s">
        <v>66</v>
      </c>
      <c r="CC10" s="2" t="s">
        <v>73</v>
      </c>
      <c r="CD10" s="2" t="s">
        <v>68</v>
      </c>
      <c r="CE10" s="2" t="s">
        <v>69</v>
      </c>
      <c r="CF10" s="2" t="s">
        <v>70</v>
      </c>
      <c r="CG10" s="2" t="s">
        <v>71</v>
      </c>
      <c r="CH10" s="2" t="s">
        <v>72</v>
      </c>
      <c r="CI10" s="2" t="s">
        <v>66</v>
      </c>
      <c r="CJ10" s="2" t="s">
        <v>73</v>
      </c>
      <c r="CK10" s="2" t="s">
        <v>68</v>
      </c>
      <c r="CL10" s="2" t="s">
        <v>69</v>
      </c>
      <c r="CM10" s="2" t="s">
        <v>70</v>
      </c>
      <c r="CN10" s="2" t="s">
        <v>71</v>
      </c>
      <c r="CO10" s="2" t="s">
        <v>72</v>
      </c>
      <c r="CP10" s="2" t="s">
        <v>66</v>
      </c>
      <c r="CQ10" s="2" t="s">
        <v>73</v>
      </c>
      <c r="CR10" s="2" t="s">
        <v>68</v>
      </c>
      <c r="CS10" s="2" t="s">
        <v>69</v>
      </c>
      <c r="CT10" s="2" t="s">
        <v>70</v>
      </c>
      <c r="CU10" s="2" t="s">
        <v>71</v>
      </c>
      <c r="CV10" s="2" t="s">
        <v>72</v>
      </c>
      <c r="CW10" s="2" t="s">
        <v>66</v>
      </c>
      <c r="CX10" s="2" t="s">
        <v>73</v>
      </c>
      <c r="CY10" s="2" t="s">
        <v>68</v>
      </c>
      <c r="CZ10" s="2" t="s">
        <v>69</v>
      </c>
      <c r="DA10" s="2" t="s">
        <v>70</v>
      </c>
      <c r="DB10" s="2" t="s">
        <v>71</v>
      </c>
      <c r="DC10" s="2" t="s">
        <v>72</v>
      </c>
      <c r="DD10" s="2" t="s">
        <v>66</v>
      </c>
      <c r="DE10" s="2" t="s">
        <v>73</v>
      </c>
      <c r="DF10" s="2" t="s">
        <v>68</v>
      </c>
      <c r="DG10" s="2" t="s">
        <v>69</v>
      </c>
      <c r="DH10" s="2" t="s">
        <v>70</v>
      </c>
      <c r="DI10" s="2" t="s">
        <v>71</v>
      </c>
      <c r="DJ10" s="2" t="s">
        <v>72</v>
      </c>
      <c r="DK10" s="2" t="s">
        <v>66</v>
      </c>
      <c r="DL10" s="2" t="s">
        <v>73</v>
      </c>
      <c r="DM10" s="2" t="s">
        <v>68</v>
      </c>
      <c r="DN10" s="2" t="s">
        <v>69</v>
      </c>
      <c r="DO10" s="2" t="s">
        <v>70</v>
      </c>
      <c r="DP10" s="2" t="s">
        <v>71</v>
      </c>
      <c r="DQ10" s="2" t="s">
        <v>72</v>
      </c>
      <c r="DR10" s="2" t="s">
        <v>66</v>
      </c>
      <c r="DS10" s="2" t="s">
        <v>73</v>
      </c>
      <c r="DT10" s="2" t="s">
        <v>68</v>
      </c>
      <c r="DU10" s="2" t="s">
        <v>69</v>
      </c>
      <c r="DV10" s="2" t="s">
        <v>70</v>
      </c>
      <c r="DW10" s="2" t="s">
        <v>71</v>
      </c>
      <c r="DX10" s="2" t="s">
        <v>72</v>
      </c>
      <c r="DY10" s="2" t="s">
        <v>66</v>
      </c>
      <c r="DZ10" s="2" t="s">
        <v>73</v>
      </c>
      <c r="EA10" s="2" t="s">
        <v>68</v>
      </c>
      <c r="EB10" s="2" t="s">
        <v>69</v>
      </c>
      <c r="EC10" s="2" t="s">
        <v>70</v>
      </c>
      <c r="ED10" s="2" t="s">
        <v>71</v>
      </c>
      <c r="EE10" s="2" t="s">
        <v>72</v>
      </c>
      <c r="EF10" s="2" t="s">
        <v>66</v>
      </c>
      <c r="EG10" s="2" t="s">
        <v>73</v>
      </c>
      <c r="EH10" s="2" t="s">
        <v>68</v>
      </c>
      <c r="EI10" s="2" t="s">
        <v>69</v>
      </c>
      <c r="EJ10" s="2" t="s">
        <v>70</v>
      </c>
      <c r="EK10" s="2" t="s">
        <v>71</v>
      </c>
      <c r="EL10" s="2" t="s">
        <v>72</v>
      </c>
      <c r="EM10" s="2" t="s">
        <v>66</v>
      </c>
      <c r="EN10" s="2" t="s">
        <v>73</v>
      </c>
      <c r="EO10" s="2" t="s">
        <v>68</v>
      </c>
      <c r="EP10" s="2" t="s">
        <v>69</v>
      </c>
      <c r="EQ10" s="2" t="s">
        <v>70</v>
      </c>
      <c r="ER10" s="2" t="s">
        <v>71</v>
      </c>
      <c r="ES10" s="2" t="s">
        <v>72</v>
      </c>
      <c r="ET10" s="2" t="s">
        <v>66</v>
      </c>
      <c r="EU10" s="2" t="s">
        <v>73</v>
      </c>
      <c r="EV10" s="2" t="s">
        <v>68</v>
      </c>
      <c r="EW10" s="2" t="s">
        <v>69</v>
      </c>
      <c r="EX10" s="2" t="s">
        <v>70</v>
      </c>
      <c r="EY10" s="2" t="s">
        <v>71</v>
      </c>
      <c r="EZ10" s="2" t="s">
        <v>72</v>
      </c>
      <c r="FA10" s="2" t="s">
        <v>66</v>
      </c>
      <c r="FB10" s="2" t="s">
        <v>73</v>
      </c>
      <c r="FC10" s="2" t="s">
        <v>68</v>
      </c>
      <c r="FD10" s="2" t="s">
        <v>69</v>
      </c>
      <c r="FE10" s="2" t="s">
        <v>70</v>
      </c>
      <c r="FF10" s="2" t="s">
        <v>71</v>
      </c>
      <c r="FG10" s="2" t="s">
        <v>72</v>
      </c>
      <c r="FH10" s="2" t="s">
        <v>66</v>
      </c>
      <c r="FI10" s="2" t="s">
        <v>73</v>
      </c>
      <c r="FJ10" s="2" t="s">
        <v>68</v>
      </c>
      <c r="FK10" s="2" t="s">
        <v>69</v>
      </c>
      <c r="FL10" s="2" t="s">
        <v>70</v>
      </c>
      <c r="FM10" s="2" t="s">
        <v>71</v>
      </c>
      <c r="FN10" s="2" t="s">
        <v>72</v>
      </c>
      <c r="FO10" s="2" t="s">
        <v>66</v>
      </c>
      <c r="FP10" s="2" t="s">
        <v>73</v>
      </c>
      <c r="FQ10" s="2" t="s">
        <v>68</v>
      </c>
      <c r="FR10" s="2" t="s">
        <v>69</v>
      </c>
      <c r="FS10" s="2" t="s">
        <v>70</v>
      </c>
      <c r="FT10" s="2" t="s">
        <v>71</v>
      </c>
      <c r="FU10" s="2" t="s">
        <v>72</v>
      </c>
      <c r="FV10" s="2" t="s">
        <v>66</v>
      </c>
      <c r="FW10" s="2" t="s">
        <v>73</v>
      </c>
      <c r="FX10" s="2" t="s">
        <v>68</v>
      </c>
      <c r="FY10" s="2" t="s">
        <v>69</v>
      </c>
      <c r="FZ10" s="2" t="s">
        <v>70</v>
      </c>
      <c r="GA10" s="2" t="s">
        <v>71</v>
      </c>
      <c r="GB10" s="2" t="s">
        <v>72</v>
      </c>
      <c r="GC10" s="2" t="s">
        <v>66</v>
      </c>
      <c r="GD10" s="2" t="s">
        <v>73</v>
      </c>
      <c r="GE10" s="2" t="s">
        <v>68</v>
      </c>
      <c r="GF10" s="2" t="s">
        <v>69</v>
      </c>
      <c r="GG10" s="2" t="s">
        <v>70</v>
      </c>
      <c r="GH10" s="2" t="s">
        <v>71</v>
      </c>
      <c r="GI10" s="2" t="s">
        <v>72</v>
      </c>
      <c r="GJ10" s="2" t="s">
        <v>66</v>
      </c>
      <c r="GK10" s="2" t="s">
        <v>73</v>
      </c>
      <c r="GL10" s="2" t="s">
        <v>68</v>
      </c>
      <c r="GM10" s="2" t="s">
        <v>69</v>
      </c>
      <c r="GN10" s="2" t="s">
        <v>70</v>
      </c>
      <c r="GO10" s="2" t="s">
        <v>71</v>
      </c>
      <c r="GP10" s="2" t="s">
        <v>72</v>
      </c>
      <c r="GQ10" s="2" t="s">
        <v>66</v>
      </c>
      <c r="GR10" s="2" t="s">
        <v>73</v>
      </c>
      <c r="GS10" s="2" t="s">
        <v>68</v>
      </c>
      <c r="GT10" s="2" t="s">
        <v>69</v>
      </c>
      <c r="GU10" s="2" t="s">
        <v>70</v>
      </c>
      <c r="GV10" s="2" t="s">
        <v>71</v>
      </c>
      <c r="GW10" s="2" t="s">
        <v>72</v>
      </c>
      <c r="GX10" s="2" t="s">
        <v>66</v>
      </c>
      <c r="GY10" s="2" t="s">
        <v>73</v>
      </c>
      <c r="GZ10" s="2" t="s">
        <v>68</v>
      </c>
      <c r="HA10" s="2" t="s">
        <v>69</v>
      </c>
      <c r="HB10" s="2" t="s">
        <v>70</v>
      </c>
      <c r="HC10" s="2" t="s">
        <v>71</v>
      </c>
      <c r="HD10" s="2" t="s">
        <v>72</v>
      </c>
      <c r="HE10" s="2" t="s">
        <v>66</v>
      </c>
      <c r="HF10" s="2" t="s">
        <v>73</v>
      </c>
      <c r="HG10" s="2" t="s">
        <v>68</v>
      </c>
      <c r="HH10" s="2" t="s">
        <v>69</v>
      </c>
      <c r="HI10" s="2" t="s">
        <v>70</v>
      </c>
      <c r="HJ10" s="2" t="s">
        <v>71</v>
      </c>
      <c r="HK10" s="2" t="s">
        <v>72</v>
      </c>
      <c r="HL10" s="2" t="s">
        <v>66</v>
      </c>
      <c r="HM10" s="2" t="s">
        <v>73</v>
      </c>
      <c r="HN10" s="2" t="s">
        <v>68</v>
      </c>
      <c r="HO10" s="2" t="s">
        <v>69</v>
      </c>
      <c r="HP10" s="2" t="s">
        <v>70</v>
      </c>
      <c r="HQ10" s="2" t="s">
        <v>71</v>
      </c>
      <c r="HR10" s="2" t="s">
        <v>72</v>
      </c>
      <c r="HS10" s="2" t="s">
        <v>66</v>
      </c>
      <c r="HT10" s="2" t="s">
        <v>73</v>
      </c>
      <c r="HU10" s="2" t="s">
        <v>68</v>
      </c>
      <c r="HV10" s="2" t="s">
        <v>69</v>
      </c>
      <c r="HW10" s="2" t="s">
        <v>70</v>
      </c>
      <c r="HX10" s="2" t="s">
        <v>71</v>
      </c>
      <c r="HY10" s="2" t="s">
        <v>72</v>
      </c>
      <c r="HZ10" s="2" t="s">
        <v>66</v>
      </c>
      <c r="IA10" s="2" t="s">
        <v>73</v>
      </c>
      <c r="IB10" s="2" t="s">
        <v>68</v>
      </c>
      <c r="IC10" s="2" t="s">
        <v>69</v>
      </c>
      <c r="ID10" s="2" t="s">
        <v>70</v>
      </c>
      <c r="IE10" s="2" t="s">
        <v>71</v>
      </c>
      <c r="IF10" s="2" t="s">
        <v>72</v>
      </c>
      <c r="IG10" s="2" t="s">
        <v>66</v>
      </c>
      <c r="IH10" s="2" t="s">
        <v>73</v>
      </c>
      <c r="II10" s="2" t="s">
        <v>68</v>
      </c>
      <c r="IJ10" s="2" t="s">
        <v>69</v>
      </c>
      <c r="IK10" s="2" t="s">
        <v>70</v>
      </c>
      <c r="IL10" s="2" t="s">
        <v>71</v>
      </c>
      <c r="IM10" s="2" t="s">
        <v>72</v>
      </c>
      <c r="IN10" s="2" t="s">
        <v>66</v>
      </c>
      <c r="IO10" s="2" t="s">
        <v>73</v>
      </c>
      <c r="IP10" s="2" t="s">
        <v>68</v>
      </c>
      <c r="IQ10" s="2" t="s">
        <v>69</v>
      </c>
      <c r="IR10" s="2" t="s">
        <v>70</v>
      </c>
      <c r="IS10" s="2" t="s">
        <v>71</v>
      </c>
      <c r="IT10" s="2" t="s">
        <v>72</v>
      </c>
      <c r="IU10" s="2" t="s">
        <v>66</v>
      </c>
      <c r="IV10" s="2" t="s">
        <v>73</v>
      </c>
      <c r="IW10" s="2" t="s">
        <v>68</v>
      </c>
      <c r="IX10" s="2" t="s">
        <v>69</v>
      </c>
      <c r="IY10" s="2" t="s">
        <v>70</v>
      </c>
      <c r="IZ10" s="2" t="s">
        <v>71</v>
      </c>
      <c r="JA10" s="2" t="s">
        <v>72</v>
      </c>
      <c r="JB10" s="2" t="s">
        <v>66</v>
      </c>
      <c r="JC10" s="2" t="s">
        <v>73</v>
      </c>
      <c r="JD10" s="2" t="s">
        <v>68</v>
      </c>
      <c r="JE10" s="2" t="s">
        <v>69</v>
      </c>
      <c r="JF10" s="2" t="s">
        <v>70</v>
      </c>
      <c r="JG10" s="2" t="s">
        <v>71</v>
      </c>
      <c r="JH10" s="2" t="s">
        <v>72</v>
      </c>
      <c r="JI10" s="2" t="s">
        <v>66</v>
      </c>
      <c r="JJ10" s="2" t="s">
        <v>73</v>
      </c>
      <c r="JK10" s="2" t="s">
        <v>68</v>
      </c>
      <c r="JL10" s="2" t="s">
        <v>69</v>
      </c>
      <c r="JM10" s="2" t="s">
        <v>70</v>
      </c>
      <c r="JN10" s="2" t="s">
        <v>71</v>
      </c>
      <c r="JO10" s="2" t="s">
        <v>72</v>
      </c>
      <c r="JP10" s="2" t="s">
        <v>66</v>
      </c>
      <c r="JQ10" s="2" t="s">
        <v>73</v>
      </c>
      <c r="JR10" s="2" t="s">
        <v>68</v>
      </c>
      <c r="JS10" s="2" t="s">
        <v>69</v>
      </c>
      <c r="JT10" s="2" t="s">
        <v>70</v>
      </c>
      <c r="JU10" s="2" t="s">
        <v>71</v>
      </c>
      <c r="JV10" s="2" t="s">
        <v>72</v>
      </c>
      <c r="JW10" s="2" t="s">
        <v>66</v>
      </c>
      <c r="JX10" s="2" t="s">
        <v>73</v>
      </c>
      <c r="JY10" s="2" t="s">
        <v>68</v>
      </c>
      <c r="JZ10" s="2" t="s">
        <v>69</v>
      </c>
      <c r="KA10" s="2" t="s">
        <v>70</v>
      </c>
      <c r="KB10" s="2" t="s">
        <v>71</v>
      </c>
      <c r="KC10" s="2" t="s">
        <v>72</v>
      </c>
      <c r="KD10" s="2" t="s">
        <v>66</v>
      </c>
      <c r="KE10" s="2" t="s">
        <v>73</v>
      </c>
      <c r="KF10" s="2" t="s">
        <v>68</v>
      </c>
      <c r="KG10" s="2" t="s">
        <v>69</v>
      </c>
      <c r="KH10" s="2" t="s">
        <v>70</v>
      </c>
      <c r="KI10" s="2" t="s">
        <v>71</v>
      </c>
      <c r="KJ10" s="2" t="s">
        <v>72</v>
      </c>
      <c r="KK10" s="2" t="s">
        <v>66</v>
      </c>
      <c r="KL10" s="2" t="s">
        <v>73</v>
      </c>
      <c r="KM10" s="2" t="s">
        <v>68</v>
      </c>
      <c r="KN10" s="2" t="s">
        <v>69</v>
      </c>
      <c r="KO10" s="2" t="s">
        <v>70</v>
      </c>
      <c r="KP10" s="2" t="s">
        <v>71</v>
      </c>
      <c r="KQ10" s="2" t="s">
        <v>72</v>
      </c>
      <c r="KR10" s="2" t="s">
        <v>66</v>
      </c>
      <c r="KS10" s="2" t="s">
        <v>73</v>
      </c>
      <c r="KT10" s="2" t="s">
        <v>68</v>
      </c>
      <c r="KU10" s="2" t="s">
        <v>69</v>
      </c>
      <c r="KV10" s="2" t="s">
        <v>70</v>
      </c>
      <c r="KW10" s="2" t="s">
        <v>71</v>
      </c>
      <c r="KX10" s="2" t="s">
        <v>72</v>
      </c>
      <c r="KY10" s="2" t="s">
        <v>66</v>
      </c>
      <c r="KZ10" s="2" t="s">
        <v>73</v>
      </c>
      <c r="LA10" s="2" t="s">
        <v>68</v>
      </c>
      <c r="LB10" s="2" t="s">
        <v>69</v>
      </c>
      <c r="LC10" s="2" t="s">
        <v>70</v>
      </c>
      <c r="LD10" s="2" t="s">
        <v>71</v>
      </c>
      <c r="LE10" s="2" t="s">
        <v>72</v>
      </c>
      <c r="LF10" s="2" t="s">
        <v>66</v>
      </c>
      <c r="LG10" s="2" t="s">
        <v>73</v>
      </c>
      <c r="LH10" s="2" t="s">
        <v>68</v>
      </c>
      <c r="LI10" s="2" t="s">
        <v>69</v>
      </c>
      <c r="LJ10" s="2" t="s">
        <v>70</v>
      </c>
      <c r="LK10" s="2" t="s">
        <v>71</v>
      </c>
      <c r="LL10" s="2" t="s">
        <v>72</v>
      </c>
      <c r="LM10" s="2" t="s">
        <v>66</v>
      </c>
      <c r="LN10" s="2" t="s">
        <v>73</v>
      </c>
      <c r="LO10" s="2" t="s">
        <v>68</v>
      </c>
      <c r="LP10" s="2" t="s">
        <v>69</v>
      </c>
      <c r="LQ10" s="2" t="s">
        <v>70</v>
      </c>
      <c r="LR10" s="2" t="s">
        <v>71</v>
      </c>
      <c r="LS10" s="2" t="s">
        <v>72</v>
      </c>
      <c r="LT10" s="2" t="s">
        <v>66</v>
      </c>
      <c r="LU10" s="2" t="s">
        <v>73</v>
      </c>
      <c r="LV10" s="2" t="s">
        <v>68</v>
      </c>
      <c r="LW10" s="2" t="s">
        <v>69</v>
      </c>
      <c r="LX10" s="2" t="s">
        <v>70</v>
      </c>
      <c r="LY10" s="2" t="s">
        <v>71</v>
      </c>
      <c r="LZ10" s="2" t="s">
        <v>72</v>
      </c>
      <c r="MA10" s="2" t="s">
        <v>66</v>
      </c>
      <c r="MB10" s="2" t="s">
        <v>73</v>
      </c>
      <c r="MC10" s="2" t="s">
        <v>68</v>
      </c>
      <c r="MD10" s="2" t="s">
        <v>69</v>
      </c>
      <c r="ME10" s="2" t="s">
        <v>70</v>
      </c>
      <c r="MF10" s="2" t="s">
        <v>71</v>
      </c>
      <c r="MG10" s="2" t="s">
        <v>72</v>
      </c>
      <c r="MH10" s="2" t="s">
        <v>66</v>
      </c>
      <c r="MI10" s="2" t="s">
        <v>73</v>
      </c>
      <c r="MJ10" s="2" t="s">
        <v>68</v>
      </c>
      <c r="MK10" s="2" t="s">
        <v>69</v>
      </c>
      <c r="ML10" s="2" t="s">
        <v>70</v>
      </c>
      <c r="MM10" s="2" t="s">
        <v>71</v>
      </c>
      <c r="MN10" s="2" t="s">
        <v>72</v>
      </c>
      <c r="MO10" s="2" t="s">
        <v>66</v>
      </c>
      <c r="MP10" s="2" t="s">
        <v>73</v>
      </c>
      <c r="MQ10" s="2" t="s">
        <v>68</v>
      </c>
      <c r="MR10" s="2" t="s">
        <v>69</v>
      </c>
      <c r="MS10" s="2" t="s">
        <v>70</v>
      </c>
      <c r="MT10" s="2" t="s">
        <v>71</v>
      </c>
      <c r="MU10" s="2" t="s">
        <v>72</v>
      </c>
      <c r="MV10" s="2" t="s">
        <v>66</v>
      </c>
      <c r="MW10" s="2" t="s">
        <v>73</v>
      </c>
      <c r="MX10" s="2" t="s">
        <v>68</v>
      </c>
      <c r="MY10" s="2" t="s">
        <v>69</v>
      </c>
      <c r="MZ10" s="2" t="s">
        <v>70</v>
      </c>
      <c r="NA10" s="2" t="s">
        <v>71</v>
      </c>
      <c r="NB10" s="2" t="s">
        <v>72</v>
      </c>
      <c r="NC10" s="2" t="s">
        <v>66</v>
      </c>
      <c r="ND10" s="2" t="s">
        <v>73</v>
      </c>
    </row>
    <row r="11" spans="1:368" s="3" customFormat="1">
      <c r="C11" s="45">
        <v>43466</v>
      </c>
      <c r="D11" s="45">
        <v>43467</v>
      </c>
      <c r="E11" s="45">
        <v>43468</v>
      </c>
      <c r="F11" s="45">
        <v>43469</v>
      </c>
      <c r="G11" s="45">
        <v>43470</v>
      </c>
      <c r="H11" s="45">
        <v>43471</v>
      </c>
      <c r="I11" s="45">
        <v>43472</v>
      </c>
      <c r="J11" s="45">
        <v>43473</v>
      </c>
      <c r="K11" s="45">
        <v>43474</v>
      </c>
      <c r="L11" s="45">
        <v>43475</v>
      </c>
      <c r="M11" s="45">
        <v>43476</v>
      </c>
      <c r="N11" s="45">
        <v>43477</v>
      </c>
      <c r="O11" s="45">
        <v>43478</v>
      </c>
      <c r="P11" s="45">
        <v>43479</v>
      </c>
      <c r="Q11" s="45">
        <v>43480</v>
      </c>
      <c r="R11" s="45">
        <v>43481</v>
      </c>
      <c r="S11" s="45">
        <v>43482</v>
      </c>
      <c r="T11" s="45">
        <v>43483</v>
      </c>
      <c r="U11" s="45">
        <v>43484</v>
      </c>
      <c r="V11" s="45">
        <v>43485</v>
      </c>
      <c r="W11" s="45">
        <v>43486</v>
      </c>
      <c r="X11" s="45">
        <v>43487</v>
      </c>
      <c r="Y11" s="45">
        <v>43488</v>
      </c>
      <c r="Z11" s="45">
        <v>43489</v>
      </c>
      <c r="AA11" s="45">
        <v>43490</v>
      </c>
      <c r="AB11" s="45">
        <v>43491</v>
      </c>
      <c r="AC11" s="45">
        <v>43492</v>
      </c>
      <c r="AD11" s="45">
        <v>43493</v>
      </c>
      <c r="AE11" s="45">
        <v>43494</v>
      </c>
      <c r="AF11" s="45">
        <v>43495</v>
      </c>
      <c r="AG11" s="45">
        <v>43496</v>
      </c>
      <c r="AH11" s="45">
        <v>43497</v>
      </c>
      <c r="AI11" s="45">
        <v>43498</v>
      </c>
      <c r="AJ11" s="45">
        <v>43499</v>
      </c>
      <c r="AK11" s="45">
        <v>43500</v>
      </c>
      <c r="AL11" s="45">
        <v>43501</v>
      </c>
      <c r="AM11" s="45">
        <v>43502</v>
      </c>
      <c r="AN11" s="45">
        <v>43503</v>
      </c>
      <c r="AO11" s="45">
        <v>43504</v>
      </c>
      <c r="AP11" s="45">
        <v>43505</v>
      </c>
      <c r="AQ11" s="45">
        <v>43506</v>
      </c>
      <c r="AR11" s="45">
        <v>43507</v>
      </c>
      <c r="AS11" s="45">
        <v>43508</v>
      </c>
      <c r="AT11" s="45">
        <v>43509</v>
      </c>
      <c r="AU11" s="45">
        <v>43510</v>
      </c>
      <c r="AV11" s="45">
        <v>43511</v>
      </c>
      <c r="AW11" s="45">
        <v>43512</v>
      </c>
      <c r="AX11" s="45">
        <v>43513</v>
      </c>
      <c r="AY11" s="45">
        <v>43514</v>
      </c>
      <c r="AZ11" s="45">
        <v>43515</v>
      </c>
      <c r="BA11" s="45">
        <v>43516</v>
      </c>
      <c r="BB11" s="45">
        <v>43517</v>
      </c>
      <c r="BC11" s="45">
        <v>43518</v>
      </c>
      <c r="BD11" s="45">
        <v>43519</v>
      </c>
      <c r="BE11" s="45">
        <v>43520</v>
      </c>
      <c r="BF11" s="45">
        <v>43521</v>
      </c>
      <c r="BG11" s="45">
        <v>43522</v>
      </c>
      <c r="BH11" s="45">
        <v>43523</v>
      </c>
      <c r="BI11" s="45">
        <v>43524</v>
      </c>
      <c r="BJ11" s="3" t="s">
        <v>74</v>
      </c>
      <c r="BK11" s="45">
        <v>43525</v>
      </c>
      <c r="BL11" s="45">
        <v>43526</v>
      </c>
      <c r="BM11" s="45">
        <v>43527</v>
      </c>
      <c r="BN11" s="45">
        <v>43528</v>
      </c>
      <c r="BO11" s="45">
        <v>43529</v>
      </c>
      <c r="BP11" s="45">
        <v>43530</v>
      </c>
      <c r="BQ11" s="45">
        <v>43531</v>
      </c>
      <c r="BR11" s="45">
        <v>43532</v>
      </c>
      <c r="BS11" s="45">
        <v>43533</v>
      </c>
      <c r="BT11" s="45">
        <v>43534</v>
      </c>
      <c r="BU11" s="45">
        <v>43535</v>
      </c>
      <c r="BV11" s="45">
        <v>43536</v>
      </c>
      <c r="BW11" s="45">
        <v>43537</v>
      </c>
      <c r="BX11" s="45">
        <v>43538</v>
      </c>
      <c r="BY11" s="45">
        <v>43539</v>
      </c>
      <c r="BZ11" s="45">
        <v>43540</v>
      </c>
      <c r="CA11" s="45">
        <v>43541</v>
      </c>
      <c r="CB11" s="45">
        <v>43542</v>
      </c>
      <c r="CC11" s="45">
        <v>43543</v>
      </c>
      <c r="CD11" s="45">
        <v>43544</v>
      </c>
      <c r="CE11" s="45">
        <v>43545</v>
      </c>
      <c r="CF11" s="45">
        <v>43546</v>
      </c>
      <c r="CG11" s="45">
        <v>43547</v>
      </c>
      <c r="CH11" s="45">
        <v>43548</v>
      </c>
      <c r="CI11" s="45">
        <v>43549</v>
      </c>
      <c r="CJ11" s="45">
        <v>43550</v>
      </c>
      <c r="CK11" s="45">
        <v>43551</v>
      </c>
      <c r="CL11" s="45">
        <v>43552</v>
      </c>
      <c r="CM11" s="45">
        <v>43553</v>
      </c>
      <c r="CN11" s="45">
        <v>43554</v>
      </c>
      <c r="CO11" s="45">
        <v>43555</v>
      </c>
      <c r="CP11" s="45">
        <v>43556</v>
      </c>
      <c r="CQ11" s="45">
        <v>43557</v>
      </c>
      <c r="CR11" s="45">
        <v>43558</v>
      </c>
      <c r="CS11" s="45">
        <v>43559</v>
      </c>
      <c r="CT11" s="45">
        <v>43560</v>
      </c>
      <c r="CU11" s="45">
        <v>43561</v>
      </c>
      <c r="CV11" s="45">
        <v>43562</v>
      </c>
      <c r="CW11" s="45">
        <v>43563</v>
      </c>
      <c r="CX11" s="45">
        <v>43564</v>
      </c>
      <c r="CY11" s="45">
        <v>43565</v>
      </c>
      <c r="CZ11" s="45">
        <v>43566</v>
      </c>
      <c r="DA11" s="45">
        <v>43567</v>
      </c>
      <c r="DB11" s="45">
        <v>43568</v>
      </c>
      <c r="DC11" s="45">
        <v>43569</v>
      </c>
      <c r="DD11" s="45">
        <v>43570</v>
      </c>
      <c r="DE11" s="45">
        <v>43571</v>
      </c>
      <c r="DF11" s="45">
        <v>43572</v>
      </c>
      <c r="DG11" s="45">
        <v>43573</v>
      </c>
      <c r="DH11" s="45">
        <v>43574</v>
      </c>
      <c r="DI11" s="45">
        <v>43575</v>
      </c>
      <c r="DJ11" s="45">
        <v>43576</v>
      </c>
      <c r="DK11" s="45">
        <v>43577</v>
      </c>
      <c r="DL11" s="45">
        <v>43578</v>
      </c>
      <c r="DM11" s="45">
        <v>43579</v>
      </c>
      <c r="DN11" s="45">
        <v>43580</v>
      </c>
      <c r="DO11" s="45">
        <v>43581</v>
      </c>
      <c r="DP11" s="45">
        <v>43582</v>
      </c>
      <c r="DQ11" s="45">
        <v>43583</v>
      </c>
      <c r="DR11" s="45">
        <v>43584</v>
      </c>
      <c r="DS11" s="45">
        <v>43585</v>
      </c>
      <c r="DT11" s="45">
        <v>43586</v>
      </c>
      <c r="DU11" s="45">
        <v>43587</v>
      </c>
      <c r="DV11" s="45">
        <v>43588</v>
      </c>
      <c r="DW11" s="45">
        <v>43589</v>
      </c>
      <c r="DX11" s="45">
        <v>43590</v>
      </c>
      <c r="DY11" s="45">
        <v>43591</v>
      </c>
      <c r="DZ11" s="45">
        <v>43592</v>
      </c>
      <c r="EA11" s="45">
        <v>43593</v>
      </c>
      <c r="EB11" s="45">
        <v>43594</v>
      </c>
      <c r="EC11" s="45">
        <v>43595</v>
      </c>
      <c r="ED11" s="45">
        <v>43596</v>
      </c>
      <c r="EE11" s="45">
        <v>43597</v>
      </c>
      <c r="EF11" s="45">
        <v>43598</v>
      </c>
      <c r="EG11" s="45">
        <v>43599</v>
      </c>
      <c r="EH11" s="45">
        <v>43600</v>
      </c>
      <c r="EI11" s="45">
        <v>43601</v>
      </c>
      <c r="EJ11" s="45">
        <v>43602</v>
      </c>
      <c r="EK11" s="45">
        <v>43603</v>
      </c>
      <c r="EL11" s="45">
        <v>43604</v>
      </c>
      <c r="EM11" s="45">
        <v>43605</v>
      </c>
      <c r="EN11" s="45">
        <v>43606</v>
      </c>
      <c r="EO11" s="45">
        <v>43607</v>
      </c>
      <c r="EP11" s="45">
        <v>43608</v>
      </c>
      <c r="EQ11" s="45">
        <v>43609</v>
      </c>
      <c r="ER11" s="45">
        <v>43610</v>
      </c>
      <c r="ES11" s="45">
        <v>43611</v>
      </c>
      <c r="ET11" s="45">
        <v>43612</v>
      </c>
      <c r="EU11" s="45">
        <v>43613</v>
      </c>
      <c r="EV11" s="45">
        <v>43614</v>
      </c>
      <c r="EW11" s="45">
        <v>43615</v>
      </c>
      <c r="EX11" s="45">
        <v>43616</v>
      </c>
      <c r="EY11" s="45">
        <v>43617</v>
      </c>
      <c r="EZ11" s="45">
        <v>43618</v>
      </c>
      <c r="FA11" s="45">
        <v>43619</v>
      </c>
      <c r="FB11" s="45">
        <v>43620</v>
      </c>
      <c r="FC11" s="45">
        <v>43621</v>
      </c>
      <c r="FD11" s="45">
        <v>43622</v>
      </c>
      <c r="FE11" s="45">
        <v>43623</v>
      </c>
      <c r="FF11" s="45">
        <v>43624</v>
      </c>
      <c r="FG11" s="45">
        <v>43625</v>
      </c>
      <c r="FH11" s="45">
        <v>43626</v>
      </c>
      <c r="FI11" s="45">
        <v>43627</v>
      </c>
      <c r="FJ11" s="45">
        <v>43628</v>
      </c>
      <c r="FK11" s="45">
        <v>43629</v>
      </c>
      <c r="FL11" s="45">
        <v>43630</v>
      </c>
      <c r="FM11" s="45">
        <v>43631</v>
      </c>
      <c r="FN11" s="45">
        <v>43632</v>
      </c>
      <c r="FO11" s="45">
        <v>43633</v>
      </c>
      <c r="FP11" s="45">
        <v>43634</v>
      </c>
      <c r="FQ11" s="45">
        <v>43635</v>
      </c>
      <c r="FR11" s="45">
        <v>43636</v>
      </c>
      <c r="FS11" s="45">
        <v>43637</v>
      </c>
      <c r="FT11" s="45">
        <v>43638</v>
      </c>
      <c r="FU11" s="45">
        <v>43639</v>
      </c>
      <c r="FV11" s="45">
        <v>43640</v>
      </c>
      <c r="FW11" s="45">
        <v>43641</v>
      </c>
      <c r="FX11" s="45">
        <v>43642</v>
      </c>
      <c r="FY11" s="45">
        <v>43643</v>
      </c>
      <c r="FZ11" s="45">
        <v>43644</v>
      </c>
      <c r="GA11" s="45">
        <v>43645</v>
      </c>
      <c r="GB11" s="45">
        <v>43646</v>
      </c>
      <c r="GC11" s="45">
        <v>43647</v>
      </c>
      <c r="GD11" s="45">
        <v>43648</v>
      </c>
      <c r="GE11" s="45">
        <v>43649</v>
      </c>
      <c r="GF11" s="45">
        <v>43650</v>
      </c>
      <c r="GG11" s="45">
        <v>43651</v>
      </c>
      <c r="GH11" s="45">
        <v>43652</v>
      </c>
      <c r="GI11" s="45">
        <v>43653</v>
      </c>
      <c r="GJ11" s="45">
        <v>43654</v>
      </c>
      <c r="GK11" s="45">
        <v>43655</v>
      </c>
      <c r="GL11" s="45">
        <v>43656</v>
      </c>
      <c r="GM11" s="45">
        <v>43657</v>
      </c>
      <c r="GN11" s="45">
        <v>43658</v>
      </c>
      <c r="GO11" s="45">
        <v>43659</v>
      </c>
      <c r="GP11" s="45">
        <v>43660</v>
      </c>
      <c r="GQ11" s="45">
        <v>43661</v>
      </c>
      <c r="GR11" s="45">
        <v>43662</v>
      </c>
      <c r="GS11" s="45">
        <v>43663</v>
      </c>
      <c r="GT11" s="45">
        <v>43664</v>
      </c>
      <c r="GU11" s="45">
        <v>43665</v>
      </c>
      <c r="GV11" s="45">
        <v>43666</v>
      </c>
      <c r="GW11" s="45">
        <v>43667</v>
      </c>
      <c r="GX11" s="45">
        <v>43668</v>
      </c>
      <c r="GY11" s="45">
        <v>43669</v>
      </c>
      <c r="GZ11" s="45">
        <v>43670</v>
      </c>
      <c r="HA11" s="45">
        <v>43671</v>
      </c>
      <c r="HB11" s="45">
        <v>43672</v>
      </c>
      <c r="HC11" s="45">
        <v>43673</v>
      </c>
      <c r="HD11" s="45">
        <v>43674</v>
      </c>
      <c r="HE11" s="45">
        <v>43675</v>
      </c>
      <c r="HF11" s="45">
        <v>43676</v>
      </c>
      <c r="HG11" s="45">
        <v>43677</v>
      </c>
      <c r="HH11" s="45">
        <v>43678</v>
      </c>
      <c r="HI11" s="45">
        <v>43679</v>
      </c>
      <c r="HJ11" s="45">
        <v>43680</v>
      </c>
      <c r="HK11" s="45">
        <v>43681</v>
      </c>
      <c r="HL11" s="45">
        <v>43682</v>
      </c>
      <c r="HM11" s="45">
        <v>43683</v>
      </c>
      <c r="HN11" s="45">
        <v>43684</v>
      </c>
      <c r="HO11" s="45">
        <v>43685</v>
      </c>
      <c r="HP11" s="45">
        <v>43686</v>
      </c>
      <c r="HQ11" s="45">
        <v>43687</v>
      </c>
      <c r="HR11" s="45">
        <v>43688</v>
      </c>
      <c r="HS11" s="45">
        <v>43689</v>
      </c>
      <c r="HT11" s="45">
        <v>43690</v>
      </c>
      <c r="HU11" s="45">
        <v>43691</v>
      </c>
      <c r="HV11" s="45">
        <v>43692</v>
      </c>
      <c r="HW11" s="45">
        <v>43693</v>
      </c>
      <c r="HX11" s="45">
        <v>43694</v>
      </c>
      <c r="HY11" s="45">
        <v>43695</v>
      </c>
      <c r="HZ11" s="45">
        <v>43696</v>
      </c>
      <c r="IA11" s="45">
        <v>43697</v>
      </c>
      <c r="IB11" s="45">
        <v>43698</v>
      </c>
      <c r="IC11" s="45">
        <v>43699</v>
      </c>
      <c r="ID11" s="45">
        <v>43700</v>
      </c>
      <c r="IE11" s="45">
        <v>43701</v>
      </c>
      <c r="IF11" s="45">
        <v>43702</v>
      </c>
      <c r="IG11" s="45">
        <v>43703</v>
      </c>
      <c r="IH11" s="45">
        <v>43704</v>
      </c>
      <c r="II11" s="45">
        <v>43705</v>
      </c>
      <c r="IJ11" s="45">
        <v>43706</v>
      </c>
      <c r="IK11" s="45">
        <v>43707</v>
      </c>
      <c r="IL11" s="45">
        <v>43708</v>
      </c>
      <c r="IM11" s="45">
        <v>43709</v>
      </c>
      <c r="IN11" s="45">
        <v>43710</v>
      </c>
      <c r="IO11" s="45">
        <v>43711</v>
      </c>
      <c r="IP11" s="45">
        <v>43712</v>
      </c>
      <c r="IQ11" s="45">
        <v>43713</v>
      </c>
      <c r="IR11" s="45">
        <v>43714</v>
      </c>
      <c r="IS11" s="45">
        <v>43715</v>
      </c>
      <c r="IT11" s="45">
        <v>43716</v>
      </c>
      <c r="IU11" s="45">
        <v>43717</v>
      </c>
      <c r="IV11" s="45">
        <v>43718</v>
      </c>
      <c r="IW11" s="45">
        <v>43719</v>
      </c>
      <c r="IX11" s="45">
        <v>43720</v>
      </c>
      <c r="IY11" s="45">
        <v>43721</v>
      </c>
      <c r="IZ11" s="45">
        <v>43722</v>
      </c>
      <c r="JA11" s="45">
        <v>43723</v>
      </c>
      <c r="JB11" s="45">
        <v>43724</v>
      </c>
      <c r="JC11" s="45">
        <v>43725</v>
      </c>
      <c r="JD11" s="45">
        <v>43726</v>
      </c>
      <c r="JE11" s="45">
        <v>43727</v>
      </c>
      <c r="JF11" s="45">
        <v>43728</v>
      </c>
      <c r="JG11" s="45">
        <v>43729</v>
      </c>
      <c r="JH11" s="45">
        <v>43730</v>
      </c>
      <c r="JI11" s="45">
        <v>43731</v>
      </c>
      <c r="JJ11" s="45">
        <v>43732</v>
      </c>
      <c r="JK11" s="45">
        <v>43733</v>
      </c>
      <c r="JL11" s="45">
        <v>43734</v>
      </c>
      <c r="JM11" s="45">
        <v>43735</v>
      </c>
      <c r="JN11" s="45">
        <v>43736</v>
      </c>
      <c r="JO11" s="45">
        <v>43737</v>
      </c>
      <c r="JP11" s="45">
        <v>43738</v>
      </c>
      <c r="JQ11" s="45">
        <v>43739</v>
      </c>
      <c r="JR11" s="45">
        <v>43740</v>
      </c>
      <c r="JS11" s="45">
        <v>43741</v>
      </c>
      <c r="JT11" s="45">
        <v>43742</v>
      </c>
      <c r="JU11" s="45">
        <v>43743</v>
      </c>
      <c r="JV11" s="45">
        <v>43744</v>
      </c>
      <c r="JW11" s="45">
        <v>43745</v>
      </c>
      <c r="JX11" s="45">
        <v>43746</v>
      </c>
      <c r="JY11" s="45">
        <v>43747</v>
      </c>
      <c r="JZ11" s="45">
        <v>43748</v>
      </c>
      <c r="KA11" s="45">
        <v>43749</v>
      </c>
      <c r="KB11" s="45">
        <v>43750</v>
      </c>
      <c r="KC11" s="45">
        <v>43751</v>
      </c>
      <c r="KD11" s="45">
        <v>43752</v>
      </c>
      <c r="KE11" s="45">
        <v>43753</v>
      </c>
      <c r="KF11" s="45">
        <v>43754</v>
      </c>
      <c r="KG11" s="45">
        <v>43755</v>
      </c>
      <c r="KH11" s="45">
        <v>43756</v>
      </c>
      <c r="KI11" s="45">
        <v>43757</v>
      </c>
      <c r="KJ11" s="45">
        <v>43758</v>
      </c>
      <c r="KK11" s="45">
        <v>43759</v>
      </c>
      <c r="KL11" s="45">
        <v>43760</v>
      </c>
      <c r="KM11" s="45">
        <v>43761</v>
      </c>
      <c r="KN11" s="45">
        <v>43762</v>
      </c>
      <c r="KO11" s="45">
        <v>43763</v>
      </c>
      <c r="KP11" s="45">
        <v>43764</v>
      </c>
      <c r="KQ11" s="45">
        <v>43765</v>
      </c>
      <c r="KR11" s="45">
        <v>43766</v>
      </c>
      <c r="KS11" s="45">
        <v>43767</v>
      </c>
      <c r="KT11" s="45">
        <v>43768</v>
      </c>
      <c r="KU11" s="45">
        <v>43769</v>
      </c>
      <c r="KV11" s="45">
        <v>43770</v>
      </c>
      <c r="KW11" s="45">
        <v>43771</v>
      </c>
      <c r="KX11" s="45">
        <v>43772</v>
      </c>
      <c r="KY11" s="45">
        <v>43773</v>
      </c>
      <c r="KZ11" s="45">
        <v>43774</v>
      </c>
      <c r="LA11" s="45">
        <v>43775</v>
      </c>
      <c r="LB11" s="45">
        <v>43776</v>
      </c>
      <c r="LC11" s="45">
        <v>43777</v>
      </c>
      <c r="LD11" s="45">
        <v>43778</v>
      </c>
      <c r="LE11" s="45">
        <v>43779</v>
      </c>
      <c r="LF11" s="45">
        <v>43780</v>
      </c>
      <c r="LG11" s="45">
        <v>43781</v>
      </c>
      <c r="LH11" s="45">
        <v>43782</v>
      </c>
      <c r="LI11" s="45">
        <v>43783</v>
      </c>
      <c r="LJ11" s="45">
        <v>43784</v>
      </c>
      <c r="LK11" s="45">
        <v>43785</v>
      </c>
      <c r="LL11" s="45">
        <v>43786</v>
      </c>
      <c r="LM11" s="45">
        <v>43787</v>
      </c>
      <c r="LN11" s="45">
        <v>43788</v>
      </c>
      <c r="LO11" s="45">
        <v>43789</v>
      </c>
      <c r="LP11" s="45">
        <v>43790</v>
      </c>
      <c r="LQ11" s="45">
        <v>43791</v>
      </c>
      <c r="LR11" s="45">
        <v>43792</v>
      </c>
      <c r="LS11" s="45">
        <v>43793</v>
      </c>
      <c r="LT11" s="45">
        <v>43794</v>
      </c>
      <c r="LU11" s="45">
        <v>43795</v>
      </c>
      <c r="LV11" s="45">
        <v>43796</v>
      </c>
      <c r="LW11" s="45">
        <v>43797</v>
      </c>
      <c r="LX11" s="45">
        <v>43798</v>
      </c>
      <c r="LY11" s="45">
        <v>43799</v>
      </c>
      <c r="LZ11" s="45">
        <v>43800</v>
      </c>
      <c r="MA11" s="45">
        <v>43801</v>
      </c>
      <c r="MB11" s="45">
        <v>43802</v>
      </c>
      <c r="MC11" s="45">
        <v>43803</v>
      </c>
      <c r="MD11" s="45">
        <v>43804</v>
      </c>
      <c r="ME11" s="45">
        <v>43805</v>
      </c>
      <c r="MF11" s="45">
        <v>43806</v>
      </c>
      <c r="MG11" s="45">
        <v>43807</v>
      </c>
      <c r="MH11" s="45">
        <v>43808</v>
      </c>
      <c r="MI11" s="45">
        <v>43809</v>
      </c>
      <c r="MJ11" s="45">
        <v>43810</v>
      </c>
      <c r="MK11" s="45">
        <v>43811</v>
      </c>
      <c r="ML11" s="45">
        <v>43812</v>
      </c>
      <c r="MM11" s="45">
        <v>43813</v>
      </c>
      <c r="MN11" s="45">
        <v>43814</v>
      </c>
      <c r="MO11" s="45">
        <v>43815</v>
      </c>
      <c r="MP11" s="45">
        <v>43816</v>
      </c>
      <c r="MQ11" s="45">
        <v>43817</v>
      </c>
      <c r="MR11" s="45">
        <v>43818</v>
      </c>
      <c r="MS11" s="45">
        <v>43819</v>
      </c>
      <c r="MT11" s="45">
        <v>43820</v>
      </c>
      <c r="MU11" s="45">
        <v>43821</v>
      </c>
      <c r="MV11" s="45">
        <v>43822</v>
      </c>
      <c r="MW11" s="45">
        <v>43823</v>
      </c>
      <c r="MX11" s="45">
        <v>43824</v>
      </c>
      <c r="MY11" s="45">
        <v>43825</v>
      </c>
      <c r="MZ11" s="45">
        <v>43826</v>
      </c>
      <c r="NA11" s="45">
        <v>43827</v>
      </c>
      <c r="NB11" s="45">
        <v>43828</v>
      </c>
      <c r="NC11" s="45">
        <v>43829</v>
      </c>
      <c r="ND11" s="45">
        <v>43830</v>
      </c>
    </row>
    <row r="12" spans="1:368" s="3" customFormat="1"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</row>
    <row r="13" spans="1:368">
      <c r="A13" s="1" t="s">
        <v>75</v>
      </c>
      <c r="B13" s="1" t="s">
        <v>75</v>
      </c>
      <c r="C13" s="1" t="s">
        <v>12</v>
      </c>
      <c r="D13" s="1" t="s">
        <v>0</v>
      </c>
      <c r="E13" s="1" t="s">
        <v>2</v>
      </c>
      <c r="F13" s="1" t="s">
        <v>4</v>
      </c>
      <c r="G13" s="1" t="s">
        <v>4</v>
      </c>
      <c r="K13" s="46" t="s">
        <v>76</v>
      </c>
      <c r="L13" s="1" t="s">
        <v>0</v>
      </c>
      <c r="M13" s="1" t="s">
        <v>2</v>
      </c>
      <c r="N13" s="1" t="s">
        <v>2</v>
      </c>
      <c r="O13" s="1" t="s">
        <v>4</v>
      </c>
      <c r="P13" s="1" t="s">
        <v>10</v>
      </c>
      <c r="T13" s="1" t="s">
        <v>0</v>
      </c>
      <c r="U13" s="1" t="s">
        <v>0</v>
      </c>
      <c r="V13" s="1" t="s">
        <v>2</v>
      </c>
      <c r="W13" s="1" t="s">
        <v>2</v>
      </c>
      <c r="X13" s="1" t="s">
        <v>4</v>
      </c>
      <c r="Y13" s="1" t="s">
        <v>4</v>
      </c>
      <c r="AC13" s="1" t="s">
        <v>0</v>
      </c>
      <c r="AD13" s="1" t="s">
        <v>0</v>
      </c>
      <c r="AE13" s="1" t="s">
        <v>2</v>
      </c>
      <c r="AF13" s="1" t="s">
        <v>2</v>
      </c>
      <c r="AG13" s="1" t="s">
        <v>4</v>
      </c>
      <c r="AL13" s="1" t="s">
        <v>0</v>
      </c>
      <c r="AM13" s="1" t="s">
        <v>0</v>
      </c>
      <c r="AN13" s="1" t="s">
        <v>2</v>
      </c>
      <c r="AO13" s="1" t="s">
        <v>4</v>
      </c>
      <c r="AP13" s="1" t="s">
        <v>4</v>
      </c>
      <c r="AU13" s="1" t="s">
        <v>0</v>
      </c>
      <c r="AV13" s="1" t="s">
        <v>2</v>
      </c>
      <c r="AW13" s="1" t="s">
        <v>2</v>
      </c>
      <c r="AX13" s="1" t="s">
        <v>4</v>
      </c>
      <c r="AY13" s="1" t="s">
        <v>4</v>
      </c>
      <c r="BC13" s="1" t="s">
        <v>0</v>
      </c>
      <c r="BD13" s="1" t="s">
        <v>0</v>
      </c>
      <c r="BE13" s="1" t="s">
        <v>2</v>
      </c>
      <c r="BF13" s="1" t="s">
        <v>2</v>
      </c>
      <c r="BG13" s="1" t="s">
        <v>4</v>
      </c>
      <c r="BH13" s="1" t="s">
        <v>4</v>
      </c>
      <c r="BL13" s="1" t="s">
        <v>0</v>
      </c>
      <c r="BM13" s="1" t="s">
        <v>0</v>
      </c>
      <c r="BN13" s="1" t="s">
        <v>2</v>
      </c>
      <c r="BO13" s="1" t="s">
        <v>2</v>
      </c>
      <c r="BP13" s="1" t="s">
        <v>4</v>
      </c>
      <c r="BU13" s="1" t="s">
        <v>0</v>
      </c>
      <c r="BV13" s="1" t="s">
        <v>0</v>
      </c>
      <c r="BW13" s="1" t="s">
        <v>2</v>
      </c>
      <c r="BX13" s="1" t="s">
        <v>4</v>
      </c>
      <c r="BY13" s="1" t="s">
        <v>4</v>
      </c>
      <c r="CD13" s="1" t="s">
        <v>0</v>
      </c>
      <c r="CE13" s="1" t="s">
        <v>2</v>
      </c>
      <c r="CF13" s="1" t="s">
        <v>2</v>
      </c>
      <c r="CG13" s="1" t="s">
        <v>4</v>
      </c>
      <c r="CH13" s="1" t="s">
        <v>4</v>
      </c>
      <c r="CL13" s="1" t="s">
        <v>0</v>
      </c>
      <c r="CM13" s="1" t="s">
        <v>0</v>
      </c>
      <c r="CN13" s="1" t="s">
        <v>2</v>
      </c>
      <c r="CO13" s="1" t="s">
        <v>2</v>
      </c>
      <c r="CP13" s="1" t="s">
        <v>4</v>
      </c>
      <c r="CQ13" s="1" t="s">
        <v>4</v>
      </c>
      <c r="CU13" s="1" t="s">
        <v>0</v>
      </c>
      <c r="CV13" s="1" t="s">
        <v>0</v>
      </c>
      <c r="CW13" s="1" t="s">
        <v>2</v>
      </c>
      <c r="CX13" s="1" t="s">
        <v>2</v>
      </c>
      <c r="CY13" s="1" t="s">
        <v>4</v>
      </c>
      <c r="DD13" s="1" t="s">
        <v>0</v>
      </c>
      <c r="DE13" s="1" t="s">
        <v>0</v>
      </c>
      <c r="DF13" s="1" t="s">
        <v>2</v>
      </c>
      <c r="DG13" s="1" t="s">
        <v>4</v>
      </c>
      <c r="DH13" s="1" t="s">
        <v>4</v>
      </c>
      <c r="DM13" s="1" t="s">
        <v>0</v>
      </c>
      <c r="DN13" s="1" t="s">
        <v>2</v>
      </c>
      <c r="DO13" s="1" t="s">
        <v>2</v>
      </c>
      <c r="DP13" s="1" t="s">
        <v>4</v>
      </c>
      <c r="DQ13" s="1" t="s">
        <v>4</v>
      </c>
      <c r="DU13" s="1" t="s">
        <v>0</v>
      </c>
      <c r="DV13" s="1" t="s">
        <v>0</v>
      </c>
      <c r="DW13" s="1" t="s">
        <v>2</v>
      </c>
      <c r="DX13" s="1" t="s">
        <v>2</v>
      </c>
      <c r="DY13" s="1" t="s">
        <v>4</v>
      </c>
      <c r="DZ13" s="1" t="s">
        <v>4</v>
      </c>
      <c r="ED13" s="1" t="s">
        <v>0</v>
      </c>
      <c r="EE13" s="1" t="s">
        <v>0</v>
      </c>
      <c r="EF13" s="1" t="s">
        <v>2</v>
      </c>
      <c r="EG13" s="1" t="s">
        <v>2</v>
      </c>
      <c r="EH13" s="1" t="s">
        <v>4</v>
      </c>
      <c r="EM13" s="1" t="s">
        <v>0</v>
      </c>
      <c r="EN13" s="1" t="s">
        <v>0</v>
      </c>
      <c r="EO13" s="1" t="s">
        <v>2</v>
      </c>
      <c r="EP13" s="1" t="s">
        <v>4</v>
      </c>
      <c r="EQ13" s="1" t="s">
        <v>4</v>
      </c>
      <c r="EV13" s="1" t="s">
        <v>0</v>
      </c>
      <c r="EW13" s="1" t="s">
        <v>2</v>
      </c>
      <c r="EX13" s="1" t="s">
        <v>2</v>
      </c>
      <c r="EY13" s="1" t="s">
        <v>4</v>
      </c>
      <c r="EZ13" s="1" t="s">
        <v>4</v>
      </c>
      <c r="FD13" s="1" t="s">
        <v>0</v>
      </c>
      <c r="FE13" s="1" t="s">
        <v>0</v>
      </c>
      <c r="FF13" s="1" t="s">
        <v>2</v>
      </c>
      <c r="FG13" s="1" t="s">
        <v>2</v>
      </c>
      <c r="FH13" s="1" t="s">
        <v>4</v>
      </c>
      <c r="FI13" s="1" t="s">
        <v>4</v>
      </c>
      <c r="FM13" s="1" t="s">
        <v>0</v>
      </c>
      <c r="FN13" s="1" t="s">
        <v>0</v>
      </c>
      <c r="FO13" s="1" t="s">
        <v>2</v>
      </c>
      <c r="FP13" s="1" t="s">
        <v>2</v>
      </c>
      <c r="FQ13" s="1" t="s">
        <v>4</v>
      </c>
      <c r="FV13" s="1" t="s">
        <v>0</v>
      </c>
      <c r="FW13" s="1" t="s">
        <v>0</v>
      </c>
      <c r="FX13" s="1" t="s">
        <v>2</v>
      </c>
      <c r="FY13" s="1" t="s">
        <v>4</v>
      </c>
      <c r="FZ13" s="1" t="s">
        <v>4</v>
      </c>
      <c r="GE13" s="1" t="s">
        <v>0</v>
      </c>
      <c r="GF13" s="1" t="s">
        <v>2</v>
      </c>
      <c r="GG13" s="1" t="s">
        <v>2</v>
      </c>
      <c r="GH13" s="1" t="s">
        <v>4</v>
      </c>
      <c r="GI13" s="1" t="s">
        <v>4</v>
      </c>
      <c r="GM13" s="1" t="s">
        <v>0</v>
      </c>
      <c r="GN13" s="1" t="s">
        <v>0</v>
      </c>
      <c r="GO13" s="1" t="s">
        <v>2</v>
      </c>
      <c r="GP13" s="1" t="s">
        <v>2</v>
      </c>
      <c r="GQ13" s="1" t="s">
        <v>4</v>
      </c>
      <c r="GR13" s="1" t="s">
        <v>4</v>
      </c>
      <c r="GV13" s="1" t="s">
        <v>0</v>
      </c>
      <c r="GW13" s="1" t="s">
        <v>0</v>
      </c>
      <c r="GX13" s="1" t="s">
        <v>2</v>
      </c>
      <c r="GY13" s="1" t="s">
        <v>2</v>
      </c>
      <c r="GZ13" s="1" t="s">
        <v>4</v>
      </c>
      <c r="HE13" s="1" t="s">
        <v>0</v>
      </c>
      <c r="HF13" s="1" t="s">
        <v>0</v>
      </c>
      <c r="HG13" s="1" t="s">
        <v>2</v>
      </c>
      <c r="HH13" s="1" t="s">
        <v>4</v>
      </c>
      <c r="HI13" s="1" t="s">
        <v>4</v>
      </c>
      <c r="HN13" s="1" t="s">
        <v>0</v>
      </c>
      <c r="HO13" s="1" t="s">
        <v>2</v>
      </c>
      <c r="HP13" s="1" t="s">
        <v>2</v>
      </c>
      <c r="HQ13" s="1" t="s">
        <v>4</v>
      </c>
      <c r="HR13" s="1" t="s">
        <v>4</v>
      </c>
      <c r="HV13" s="1" t="s">
        <v>0</v>
      </c>
      <c r="HW13" s="1" t="s">
        <v>0</v>
      </c>
      <c r="HX13" s="1" t="s">
        <v>2</v>
      </c>
      <c r="HY13" s="1" t="s">
        <v>2</v>
      </c>
      <c r="HZ13" s="1" t="s">
        <v>4</v>
      </c>
      <c r="IA13" s="1" t="s">
        <v>4</v>
      </c>
      <c r="IE13" s="1" t="s">
        <v>0</v>
      </c>
      <c r="IF13" s="1" t="s">
        <v>0</v>
      </c>
      <c r="IG13" s="1" t="s">
        <v>2</v>
      </c>
      <c r="IH13" s="1" t="s">
        <v>2</v>
      </c>
      <c r="II13" s="1" t="s">
        <v>4</v>
      </c>
      <c r="IN13" s="1" t="s">
        <v>0</v>
      </c>
      <c r="IO13" s="1" t="s">
        <v>0</v>
      </c>
      <c r="IP13" s="1" t="s">
        <v>2</v>
      </c>
      <c r="IQ13" s="1" t="s">
        <v>4</v>
      </c>
      <c r="IR13" s="1" t="s">
        <v>4</v>
      </c>
      <c r="IW13" s="1" t="s">
        <v>0</v>
      </c>
      <c r="IX13" s="1" t="s">
        <v>2</v>
      </c>
      <c r="IY13" s="1" t="s">
        <v>2</v>
      </c>
      <c r="IZ13" s="1" t="s">
        <v>4</v>
      </c>
      <c r="JA13" s="1" t="s">
        <v>4</v>
      </c>
      <c r="JE13" s="1" t="s">
        <v>0</v>
      </c>
      <c r="JF13" s="1" t="s">
        <v>0</v>
      </c>
      <c r="JG13" s="1" t="s">
        <v>2</v>
      </c>
      <c r="JH13" s="1" t="s">
        <v>2</v>
      </c>
      <c r="JI13" s="1" t="s">
        <v>4</v>
      </c>
      <c r="JJ13" s="1" t="s">
        <v>4</v>
      </c>
      <c r="JN13" s="1" t="s">
        <v>0</v>
      </c>
      <c r="JO13" s="1" t="s">
        <v>0</v>
      </c>
      <c r="JP13" s="1" t="s">
        <v>2</v>
      </c>
      <c r="JQ13" s="1" t="s">
        <v>2</v>
      </c>
      <c r="JR13" s="1" t="s">
        <v>4</v>
      </c>
      <c r="JW13" s="1" t="s">
        <v>0</v>
      </c>
      <c r="JX13" s="1" t="s">
        <v>0</v>
      </c>
      <c r="JY13" s="1" t="s">
        <v>2</v>
      </c>
      <c r="JZ13" s="1" t="s">
        <v>4</v>
      </c>
      <c r="KA13" s="1" t="s">
        <v>4</v>
      </c>
      <c r="KF13" s="1" t="s">
        <v>0</v>
      </c>
      <c r="KG13" s="1" t="s">
        <v>2</v>
      </c>
      <c r="KH13" s="1" t="s">
        <v>2</v>
      </c>
      <c r="KI13" s="1" t="s">
        <v>4</v>
      </c>
      <c r="KJ13" s="1" t="s">
        <v>4</v>
      </c>
      <c r="KN13" s="1" t="s">
        <v>0</v>
      </c>
      <c r="KO13" s="1" t="s">
        <v>0</v>
      </c>
      <c r="KP13" s="1" t="s">
        <v>2</v>
      </c>
      <c r="KQ13" s="1" t="s">
        <v>2</v>
      </c>
      <c r="KR13" s="1" t="s">
        <v>4</v>
      </c>
      <c r="KS13" s="1" t="s">
        <v>4</v>
      </c>
      <c r="KW13" s="1" t="s">
        <v>0</v>
      </c>
      <c r="KX13" s="1" t="s">
        <v>0</v>
      </c>
      <c r="KY13" s="1" t="s">
        <v>2</v>
      </c>
      <c r="KZ13" s="1" t="s">
        <v>2</v>
      </c>
      <c r="LA13" s="1" t="s">
        <v>4</v>
      </c>
      <c r="LF13" s="1" t="s">
        <v>0</v>
      </c>
      <c r="LG13" s="1" t="s">
        <v>0</v>
      </c>
      <c r="LH13" s="1" t="s">
        <v>2</v>
      </c>
      <c r="LI13" s="1" t="s">
        <v>4</v>
      </c>
      <c r="LJ13" s="1" t="s">
        <v>4</v>
      </c>
      <c r="LO13" s="1" t="s">
        <v>0</v>
      </c>
      <c r="LP13" s="1" t="s">
        <v>2</v>
      </c>
      <c r="LQ13" s="1" t="s">
        <v>2</v>
      </c>
      <c r="LR13" s="1" t="s">
        <v>4</v>
      </c>
      <c r="LS13" s="1" t="s">
        <v>4</v>
      </c>
      <c r="LW13" s="1" t="s">
        <v>0</v>
      </c>
      <c r="LX13" s="1" t="s">
        <v>0</v>
      </c>
      <c r="LY13" s="1" t="s">
        <v>2</v>
      </c>
      <c r="LZ13" s="1" t="s">
        <v>2</v>
      </c>
      <c r="MA13" s="1" t="s">
        <v>4</v>
      </c>
      <c r="MB13" s="1" t="s">
        <v>4</v>
      </c>
      <c r="MF13" s="1" t="s">
        <v>0</v>
      </c>
      <c r="MG13" s="1" t="s">
        <v>0</v>
      </c>
      <c r="MH13" s="1" t="s">
        <v>2</v>
      </c>
      <c r="MI13" s="1" t="s">
        <v>2</v>
      </c>
      <c r="MJ13" s="1" t="s">
        <v>4</v>
      </c>
      <c r="MO13" s="1" t="s">
        <v>0</v>
      </c>
      <c r="MP13" s="1" t="s">
        <v>0</v>
      </c>
      <c r="MQ13" s="1" t="s">
        <v>2</v>
      </c>
      <c r="MR13" s="1" t="s">
        <v>4</v>
      </c>
      <c r="MS13" s="1" t="s">
        <v>4</v>
      </c>
      <c r="MX13" s="1" t="s">
        <v>0</v>
      </c>
      <c r="MY13" s="1" t="s">
        <v>2</v>
      </c>
      <c r="MZ13" s="1" t="s">
        <v>2</v>
      </c>
      <c r="NA13" s="1" t="s">
        <v>4</v>
      </c>
      <c r="NB13" s="1" t="s">
        <v>4</v>
      </c>
    </row>
    <row r="14" spans="1:368">
      <c r="A14" s="1" t="s">
        <v>77</v>
      </c>
      <c r="B14" s="1" t="s">
        <v>77</v>
      </c>
      <c r="C14" s="1" t="s">
        <v>6</v>
      </c>
      <c r="D14" s="1" t="s">
        <v>6</v>
      </c>
      <c r="E14" s="1" t="s">
        <v>6</v>
      </c>
      <c r="F14" s="1" t="s">
        <v>6</v>
      </c>
      <c r="G14" s="1" t="s">
        <v>6</v>
      </c>
      <c r="H14" s="1" t="s">
        <v>6</v>
      </c>
      <c r="I14" s="1" t="s">
        <v>6</v>
      </c>
      <c r="J14" s="1" t="s">
        <v>6</v>
      </c>
      <c r="K14" s="1" t="s">
        <v>6</v>
      </c>
      <c r="L14" s="1" t="s">
        <v>6</v>
      </c>
      <c r="M14" s="1" t="s">
        <v>6</v>
      </c>
      <c r="N14" s="1" t="s">
        <v>6</v>
      </c>
      <c r="O14" s="1" t="s">
        <v>2</v>
      </c>
      <c r="P14" s="1" t="s">
        <v>4</v>
      </c>
      <c r="R14" s="1" t="s">
        <v>8</v>
      </c>
      <c r="S14" s="1" t="s">
        <v>8</v>
      </c>
      <c r="T14" s="1" t="s">
        <v>0</v>
      </c>
      <c r="U14" s="1" t="s">
        <v>0</v>
      </c>
      <c r="V14" s="1" t="s">
        <v>2</v>
      </c>
      <c r="W14" s="1" t="s">
        <v>2</v>
      </c>
      <c r="X14" s="1" t="s">
        <v>4</v>
      </c>
      <c r="Y14" s="1" t="s">
        <v>4</v>
      </c>
      <c r="AC14" s="1" t="s">
        <v>0</v>
      </c>
      <c r="AD14" s="1" t="s">
        <v>0</v>
      </c>
      <c r="AE14" s="1" t="s">
        <v>2</v>
      </c>
      <c r="AF14" s="1" t="s">
        <v>2</v>
      </c>
      <c r="AG14" s="1" t="s">
        <v>4</v>
      </c>
      <c r="AL14" s="1" t="s">
        <v>0</v>
      </c>
      <c r="AM14" s="1" t="s">
        <v>0</v>
      </c>
      <c r="AN14" s="1" t="s">
        <v>2</v>
      </c>
      <c r="AO14" s="1" t="s">
        <v>4</v>
      </c>
      <c r="AP14" s="1" t="s">
        <v>4</v>
      </c>
      <c r="AU14" s="1" t="s">
        <v>0</v>
      </c>
      <c r="AV14" s="1" t="s">
        <v>2</v>
      </c>
      <c r="AW14" s="1" t="s">
        <v>2</v>
      </c>
      <c r="AX14" s="1" t="s">
        <v>4</v>
      </c>
      <c r="AY14" s="1" t="s">
        <v>4</v>
      </c>
      <c r="BC14" s="1" t="s">
        <v>0</v>
      </c>
      <c r="BD14" s="1" t="s">
        <v>0</v>
      </c>
      <c r="BE14" s="1" t="s">
        <v>2</v>
      </c>
      <c r="BF14" s="1" t="s">
        <v>2</v>
      </c>
      <c r="BG14" s="1" t="s">
        <v>4</v>
      </c>
      <c r="BH14" s="1" t="s">
        <v>4</v>
      </c>
      <c r="BL14" s="1" t="s">
        <v>0</v>
      </c>
      <c r="BM14" s="1" t="s">
        <v>0</v>
      </c>
      <c r="BN14" s="1" t="s">
        <v>2</v>
      </c>
      <c r="BO14" s="1" t="s">
        <v>2</v>
      </c>
      <c r="BP14" s="1" t="s">
        <v>4</v>
      </c>
      <c r="BU14" s="1" t="s">
        <v>0</v>
      </c>
      <c r="BV14" s="1" t="s">
        <v>0</v>
      </c>
      <c r="BW14" s="1" t="s">
        <v>2</v>
      </c>
      <c r="BX14" s="1" t="s">
        <v>4</v>
      </c>
      <c r="BY14" s="1" t="s">
        <v>4</v>
      </c>
      <c r="CD14" s="1" t="s">
        <v>0</v>
      </c>
      <c r="CE14" s="1" t="s">
        <v>2</v>
      </c>
      <c r="CF14" s="1" t="s">
        <v>2</v>
      </c>
      <c r="CG14" s="1" t="s">
        <v>4</v>
      </c>
      <c r="CH14" s="1" t="s">
        <v>4</v>
      </c>
      <c r="CL14" s="1" t="s">
        <v>0</v>
      </c>
      <c r="CM14" s="1" t="s">
        <v>0</v>
      </c>
      <c r="CN14" s="1" t="s">
        <v>2</v>
      </c>
      <c r="CO14" s="1" t="s">
        <v>2</v>
      </c>
      <c r="CP14" s="1" t="s">
        <v>4</v>
      </c>
      <c r="CQ14" s="1" t="s">
        <v>4</v>
      </c>
      <c r="CU14" s="1" t="s">
        <v>0</v>
      </c>
      <c r="CV14" s="1" t="s">
        <v>0</v>
      </c>
      <c r="CW14" s="1" t="s">
        <v>2</v>
      </c>
      <c r="CX14" s="1" t="s">
        <v>2</v>
      </c>
      <c r="CY14" s="1" t="s">
        <v>4</v>
      </c>
      <c r="DD14" s="1" t="s">
        <v>0</v>
      </c>
      <c r="DE14" s="1" t="s">
        <v>0</v>
      </c>
      <c r="DF14" s="1" t="s">
        <v>2</v>
      </c>
      <c r="DG14" s="1" t="s">
        <v>4</v>
      </c>
      <c r="DH14" s="1" t="s">
        <v>4</v>
      </c>
      <c r="DM14" s="1" t="s">
        <v>0</v>
      </c>
      <c r="DN14" s="1" t="s">
        <v>2</v>
      </c>
      <c r="DO14" s="1" t="s">
        <v>2</v>
      </c>
      <c r="DP14" s="1" t="s">
        <v>4</v>
      </c>
      <c r="DQ14" s="1" t="s">
        <v>4</v>
      </c>
      <c r="DU14" s="1" t="s">
        <v>0</v>
      </c>
      <c r="DV14" s="1" t="s">
        <v>0</v>
      </c>
      <c r="DW14" s="1" t="s">
        <v>2</v>
      </c>
      <c r="DX14" s="1" t="s">
        <v>2</v>
      </c>
      <c r="DY14" s="1" t="s">
        <v>4</v>
      </c>
      <c r="DZ14" s="1" t="s">
        <v>4</v>
      </c>
      <c r="ED14" s="1" t="s">
        <v>0</v>
      </c>
      <c r="EE14" s="1" t="s">
        <v>0</v>
      </c>
      <c r="EF14" s="1" t="s">
        <v>2</v>
      </c>
      <c r="EG14" s="1" t="s">
        <v>2</v>
      </c>
      <c r="EH14" s="1" t="s">
        <v>4</v>
      </c>
      <c r="EM14" s="1" t="s">
        <v>0</v>
      </c>
      <c r="EN14" s="1" t="s">
        <v>0</v>
      </c>
      <c r="EO14" s="1" t="s">
        <v>2</v>
      </c>
      <c r="EP14" s="1" t="s">
        <v>4</v>
      </c>
      <c r="EQ14" s="1" t="s">
        <v>4</v>
      </c>
      <c r="EV14" s="1" t="s">
        <v>0</v>
      </c>
      <c r="EW14" s="1" t="s">
        <v>2</v>
      </c>
      <c r="EX14" s="1" t="s">
        <v>2</v>
      </c>
      <c r="EY14" s="1" t="s">
        <v>4</v>
      </c>
      <c r="EZ14" s="1" t="s">
        <v>4</v>
      </c>
      <c r="FD14" s="1" t="s">
        <v>0</v>
      </c>
      <c r="FE14" s="1" t="s">
        <v>0</v>
      </c>
      <c r="FF14" s="1" t="s">
        <v>2</v>
      </c>
      <c r="FG14" s="1" t="s">
        <v>2</v>
      </c>
      <c r="FH14" s="1" t="s">
        <v>4</v>
      </c>
      <c r="FI14" s="1" t="s">
        <v>4</v>
      </c>
      <c r="FM14" s="1" t="s">
        <v>0</v>
      </c>
      <c r="FN14" s="1" t="s">
        <v>0</v>
      </c>
      <c r="FO14" s="1" t="s">
        <v>2</v>
      </c>
      <c r="FP14" s="1" t="s">
        <v>2</v>
      </c>
      <c r="FQ14" s="1" t="s">
        <v>4</v>
      </c>
      <c r="FV14" s="1" t="s">
        <v>0</v>
      </c>
      <c r="FW14" s="1" t="s">
        <v>0</v>
      </c>
      <c r="FX14" s="1" t="s">
        <v>2</v>
      </c>
      <c r="FY14" s="1" t="s">
        <v>4</v>
      </c>
      <c r="FZ14" s="1" t="s">
        <v>4</v>
      </c>
      <c r="GE14" s="1" t="s">
        <v>0</v>
      </c>
      <c r="GF14" s="1" t="s">
        <v>2</v>
      </c>
      <c r="GG14" s="1" t="s">
        <v>2</v>
      </c>
      <c r="GH14" s="1" t="s">
        <v>4</v>
      </c>
      <c r="GI14" s="1" t="s">
        <v>4</v>
      </c>
      <c r="GM14" s="1" t="s">
        <v>0</v>
      </c>
      <c r="GN14" s="1" t="s">
        <v>0</v>
      </c>
      <c r="GO14" s="1" t="s">
        <v>2</v>
      </c>
      <c r="GP14" s="1" t="s">
        <v>2</v>
      </c>
      <c r="GQ14" s="1" t="s">
        <v>4</v>
      </c>
      <c r="GR14" s="1" t="s">
        <v>4</v>
      </c>
      <c r="GV14" s="1" t="s">
        <v>0</v>
      </c>
      <c r="GW14" s="1" t="s">
        <v>0</v>
      </c>
      <c r="GX14" s="1" t="s">
        <v>2</v>
      </c>
      <c r="GY14" s="1" t="s">
        <v>2</v>
      </c>
      <c r="GZ14" s="1" t="s">
        <v>4</v>
      </c>
      <c r="HE14" s="1" t="s">
        <v>0</v>
      </c>
      <c r="HF14" s="1" t="s">
        <v>0</v>
      </c>
      <c r="HG14" s="1" t="s">
        <v>2</v>
      </c>
      <c r="HH14" s="1" t="s">
        <v>4</v>
      </c>
      <c r="HI14" s="1" t="s">
        <v>4</v>
      </c>
      <c r="HN14" s="1" t="s">
        <v>0</v>
      </c>
      <c r="HO14" s="1" t="s">
        <v>2</v>
      </c>
      <c r="HP14" s="1" t="s">
        <v>2</v>
      </c>
      <c r="HQ14" s="1" t="s">
        <v>4</v>
      </c>
      <c r="HR14" s="1" t="s">
        <v>4</v>
      </c>
      <c r="HV14" s="1" t="s">
        <v>0</v>
      </c>
      <c r="HW14" s="1" t="s">
        <v>0</v>
      </c>
      <c r="HX14" s="1" t="s">
        <v>2</v>
      </c>
      <c r="HY14" s="1" t="s">
        <v>2</v>
      </c>
      <c r="HZ14" s="1" t="s">
        <v>4</v>
      </c>
      <c r="IA14" s="1" t="s">
        <v>4</v>
      </c>
      <c r="IE14" s="1" t="s">
        <v>0</v>
      </c>
      <c r="IF14" s="1" t="s">
        <v>0</v>
      </c>
      <c r="IG14" s="1" t="s">
        <v>2</v>
      </c>
      <c r="IH14" s="1" t="s">
        <v>2</v>
      </c>
      <c r="II14" s="1" t="s">
        <v>4</v>
      </c>
      <c r="IN14" s="1" t="s">
        <v>0</v>
      </c>
      <c r="IO14" s="1" t="s">
        <v>0</v>
      </c>
      <c r="IP14" s="1" t="s">
        <v>2</v>
      </c>
      <c r="IQ14" s="1" t="s">
        <v>4</v>
      </c>
      <c r="IR14" s="1" t="s">
        <v>4</v>
      </c>
      <c r="IW14" s="1" t="s">
        <v>0</v>
      </c>
      <c r="IX14" s="1" t="s">
        <v>2</v>
      </c>
      <c r="IY14" s="1" t="s">
        <v>2</v>
      </c>
      <c r="IZ14" s="1" t="s">
        <v>4</v>
      </c>
      <c r="JA14" s="1" t="s">
        <v>4</v>
      </c>
      <c r="JE14" s="1" t="s">
        <v>0</v>
      </c>
      <c r="JF14" s="1" t="s">
        <v>0</v>
      </c>
      <c r="JG14" s="1" t="s">
        <v>2</v>
      </c>
      <c r="JH14" s="1" t="s">
        <v>2</v>
      </c>
      <c r="JI14" s="1" t="s">
        <v>4</v>
      </c>
      <c r="JJ14" s="1" t="s">
        <v>4</v>
      </c>
      <c r="JN14" s="1" t="s">
        <v>0</v>
      </c>
      <c r="JO14" s="1" t="s">
        <v>0</v>
      </c>
      <c r="JP14" s="1" t="s">
        <v>2</v>
      </c>
      <c r="JQ14" s="1" t="s">
        <v>2</v>
      </c>
      <c r="JR14" s="1" t="s">
        <v>4</v>
      </c>
      <c r="JW14" s="1" t="s">
        <v>0</v>
      </c>
      <c r="JX14" s="1" t="s">
        <v>0</v>
      </c>
      <c r="JY14" s="1" t="s">
        <v>2</v>
      </c>
      <c r="JZ14" s="1" t="s">
        <v>4</v>
      </c>
      <c r="KA14" s="1" t="s">
        <v>4</v>
      </c>
      <c r="KF14" s="1" t="s">
        <v>0</v>
      </c>
      <c r="KG14" s="1" t="s">
        <v>2</v>
      </c>
      <c r="KH14" s="1" t="s">
        <v>2</v>
      </c>
      <c r="KI14" s="1" t="s">
        <v>4</v>
      </c>
      <c r="KJ14" s="1" t="s">
        <v>4</v>
      </c>
      <c r="KN14" s="1" t="s">
        <v>0</v>
      </c>
      <c r="KO14" s="1" t="s">
        <v>0</v>
      </c>
      <c r="KP14" s="1" t="s">
        <v>2</v>
      </c>
      <c r="KQ14" s="1" t="s">
        <v>2</v>
      </c>
      <c r="KR14" s="1" t="s">
        <v>4</v>
      </c>
      <c r="KS14" s="1" t="s">
        <v>4</v>
      </c>
      <c r="KW14" s="1" t="s">
        <v>0</v>
      </c>
      <c r="KX14" s="1" t="s">
        <v>0</v>
      </c>
      <c r="KY14" s="1" t="s">
        <v>2</v>
      </c>
      <c r="KZ14" s="1" t="s">
        <v>2</v>
      </c>
      <c r="LA14" s="1" t="s">
        <v>4</v>
      </c>
      <c r="LF14" s="1" t="s">
        <v>0</v>
      </c>
      <c r="LG14" s="1" t="s">
        <v>0</v>
      </c>
      <c r="LH14" s="1" t="s">
        <v>2</v>
      </c>
      <c r="LI14" s="1" t="s">
        <v>4</v>
      </c>
      <c r="LJ14" s="1" t="s">
        <v>4</v>
      </c>
      <c r="LO14" s="1" t="s">
        <v>0</v>
      </c>
      <c r="LP14" s="1" t="s">
        <v>2</v>
      </c>
      <c r="LQ14" s="1" t="s">
        <v>2</v>
      </c>
      <c r="LR14" s="1" t="s">
        <v>4</v>
      </c>
      <c r="LS14" s="1" t="s">
        <v>4</v>
      </c>
      <c r="LW14" s="1" t="s">
        <v>0</v>
      </c>
      <c r="LX14" s="1" t="s">
        <v>0</v>
      </c>
      <c r="LY14" s="1" t="s">
        <v>2</v>
      </c>
      <c r="LZ14" s="1" t="s">
        <v>2</v>
      </c>
      <c r="MA14" s="1" t="s">
        <v>4</v>
      </c>
      <c r="MB14" s="1" t="s">
        <v>4</v>
      </c>
      <c r="MF14" s="1" t="s">
        <v>0</v>
      </c>
      <c r="MG14" s="1" t="s">
        <v>0</v>
      </c>
      <c r="MH14" s="1" t="s">
        <v>2</v>
      </c>
      <c r="MI14" s="1" t="s">
        <v>2</v>
      </c>
      <c r="MJ14" s="1" t="s">
        <v>4</v>
      </c>
      <c r="MO14" s="1" t="s">
        <v>0</v>
      </c>
      <c r="MP14" s="1" t="s">
        <v>0</v>
      </c>
      <c r="MQ14" s="1" t="s">
        <v>2</v>
      </c>
      <c r="MR14" s="1" t="s">
        <v>4</v>
      </c>
      <c r="MS14" s="1" t="s">
        <v>4</v>
      </c>
      <c r="MX14" s="1" t="s">
        <v>0</v>
      </c>
      <c r="MY14" s="1" t="s">
        <v>2</v>
      </c>
      <c r="MZ14" s="1" t="s">
        <v>2</v>
      </c>
      <c r="NA14" s="1" t="s">
        <v>4</v>
      </c>
      <c r="NB14" s="1" t="s">
        <v>4</v>
      </c>
    </row>
    <row r="15" spans="1:368">
      <c r="A15" s="1" t="s">
        <v>78</v>
      </c>
      <c r="B15" s="1" t="s">
        <v>78</v>
      </c>
      <c r="E15" s="1" t="s">
        <v>8</v>
      </c>
      <c r="F15" s="1" t="s">
        <v>10</v>
      </c>
      <c r="G15" s="1" t="s">
        <v>10</v>
      </c>
      <c r="H15" s="1" t="s">
        <v>10</v>
      </c>
      <c r="I15" s="1" t="s">
        <v>10</v>
      </c>
      <c r="J15" s="1" t="s">
        <v>10</v>
      </c>
      <c r="K15" s="1" t="s">
        <v>10</v>
      </c>
      <c r="O15" s="1" t="s">
        <v>10</v>
      </c>
      <c r="P15" s="1" t="s">
        <v>10</v>
      </c>
      <c r="Q15" s="1" t="s">
        <v>10</v>
      </c>
      <c r="R15" s="1" t="s">
        <v>10</v>
      </c>
      <c r="S15" s="1" t="s">
        <v>10</v>
      </c>
      <c r="X15" s="1" t="s">
        <v>0</v>
      </c>
      <c r="Y15" s="1" t="s">
        <v>0</v>
      </c>
      <c r="Z15" s="1" t="s">
        <v>2</v>
      </c>
      <c r="AA15" s="1" t="s">
        <v>4</v>
      </c>
      <c r="AB15" s="1" t="s">
        <v>4</v>
      </c>
      <c r="AG15" s="1" t="s">
        <v>0</v>
      </c>
      <c r="AH15" s="1" t="s">
        <v>2</v>
      </c>
      <c r="AI15" s="1" t="s">
        <v>2</v>
      </c>
      <c r="AJ15" s="1" t="s">
        <v>4</v>
      </c>
      <c r="AK15" s="1" t="s">
        <v>4</v>
      </c>
      <c r="AO15" s="1" t="s">
        <v>0</v>
      </c>
      <c r="AP15" s="1" t="s">
        <v>0</v>
      </c>
      <c r="AQ15" s="1" t="s">
        <v>2</v>
      </c>
      <c r="AR15" s="1" t="s">
        <v>2</v>
      </c>
      <c r="AS15" s="1" t="s">
        <v>4</v>
      </c>
      <c r="AT15" s="1" t="s">
        <v>4</v>
      </c>
      <c r="AX15" s="1" t="s">
        <v>0</v>
      </c>
      <c r="AY15" s="1" t="s">
        <v>0</v>
      </c>
      <c r="AZ15" s="1" t="s">
        <v>2</v>
      </c>
      <c r="BA15" s="1" t="s">
        <v>2</v>
      </c>
      <c r="BB15" s="1" t="s">
        <v>4</v>
      </c>
      <c r="BG15" s="1" t="s">
        <v>0</v>
      </c>
      <c r="BH15" s="1" t="s">
        <v>0</v>
      </c>
      <c r="BI15" s="1" t="s">
        <v>2</v>
      </c>
      <c r="BJ15" s="1" t="s">
        <v>4</v>
      </c>
      <c r="BK15" s="1" t="s">
        <v>4</v>
      </c>
      <c r="BP15" s="1" t="s">
        <v>0</v>
      </c>
      <c r="BQ15" s="1" t="s">
        <v>2</v>
      </c>
      <c r="BR15" s="1" t="s">
        <v>2</v>
      </c>
      <c r="BS15" s="1" t="s">
        <v>4</v>
      </c>
      <c r="BT15" s="1" t="s">
        <v>4</v>
      </c>
      <c r="BX15" s="1" t="s">
        <v>0</v>
      </c>
      <c r="BY15" s="1" t="s">
        <v>0</v>
      </c>
      <c r="BZ15" s="1" t="s">
        <v>2</v>
      </c>
      <c r="CA15" s="1" t="s">
        <v>2</v>
      </c>
      <c r="CB15" s="1" t="s">
        <v>4</v>
      </c>
      <c r="CC15" s="1" t="s">
        <v>4</v>
      </c>
      <c r="CG15" s="1" t="s">
        <v>0</v>
      </c>
      <c r="CH15" s="1" t="s">
        <v>0</v>
      </c>
      <c r="CI15" s="1" t="s">
        <v>2</v>
      </c>
      <c r="CJ15" s="1" t="s">
        <v>2</v>
      </c>
      <c r="CK15" s="1" t="s">
        <v>4</v>
      </c>
      <c r="CP15" s="1" t="s">
        <v>0</v>
      </c>
      <c r="CQ15" s="1" t="s">
        <v>0</v>
      </c>
      <c r="CR15" s="1" t="s">
        <v>2</v>
      </c>
      <c r="CS15" s="1" t="s">
        <v>4</v>
      </c>
      <c r="CT15" s="1" t="s">
        <v>4</v>
      </c>
      <c r="CY15" s="1" t="s">
        <v>0</v>
      </c>
      <c r="CZ15" s="1" t="s">
        <v>2</v>
      </c>
      <c r="DA15" s="1" t="s">
        <v>2</v>
      </c>
      <c r="DB15" s="1" t="s">
        <v>4</v>
      </c>
      <c r="DC15" s="1" t="s">
        <v>4</v>
      </c>
      <c r="DG15" s="1" t="s">
        <v>0</v>
      </c>
      <c r="DH15" s="1" t="s">
        <v>0</v>
      </c>
      <c r="DI15" s="1" t="s">
        <v>2</v>
      </c>
      <c r="DJ15" s="1" t="s">
        <v>2</v>
      </c>
      <c r="DK15" s="1" t="s">
        <v>4</v>
      </c>
      <c r="DL15" s="1" t="s">
        <v>4</v>
      </c>
      <c r="DP15" s="1" t="s">
        <v>0</v>
      </c>
      <c r="DQ15" s="1" t="s">
        <v>0</v>
      </c>
      <c r="DR15" s="1" t="s">
        <v>2</v>
      </c>
      <c r="DS15" s="1" t="s">
        <v>2</v>
      </c>
      <c r="DT15" s="1" t="s">
        <v>4</v>
      </c>
      <c r="DY15" s="1" t="s">
        <v>0</v>
      </c>
      <c r="DZ15" s="1" t="s">
        <v>0</v>
      </c>
      <c r="EA15" s="1" t="s">
        <v>2</v>
      </c>
      <c r="EB15" s="1" t="s">
        <v>4</v>
      </c>
      <c r="EC15" s="1" t="s">
        <v>4</v>
      </c>
      <c r="EH15" s="1" t="s">
        <v>0</v>
      </c>
      <c r="EI15" s="1" t="s">
        <v>2</v>
      </c>
      <c r="EJ15" s="1" t="s">
        <v>2</v>
      </c>
      <c r="EK15" s="1" t="s">
        <v>4</v>
      </c>
      <c r="EL15" s="1" t="s">
        <v>4</v>
      </c>
      <c r="EP15" s="1" t="s">
        <v>0</v>
      </c>
      <c r="EQ15" s="1" t="s">
        <v>0</v>
      </c>
      <c r="ER15" s="1" t="s">
        <v>2</v>
      </c>
      <c r="ES15" s="1" t="s">
        <v>2</v>
      </c>
      <c r="ET15" s="1" t="s">
        <v>4</v>
      </c>
      <c r="EU15" s="1" t="s">
        <v>4</v>
      </c>
      <c r="EY15" s="1" t="s">
        <v>0</v>
      </c>
      <c r="EZ15" s="1" t="s">
        <v>0</v>
      </c>
      <c r="FA15" s="1" t="s">
        <v>2</v>
      </c>
      <c r="FB15" s="1" t="s">
        <v>2</v>
      </c>
      <c r="FC15" s="1" t="s">
        <v>4</v>
      </c>
      <c r="FH15" s="1" t="s">
        <v>0</v>
      </c>
      <c r="FI15" s="1" t="s">
        <v>0</v>
      </c>
      <c r="FJ15" s="1" t="s">
        <v>2</v>
      </c>
      <c r="FK15" s="1" t="s">
        <v>4</v>
      </c>
      <c r="FL15" s="1" t="s">
        <v>4</v>
      </c>
      <c r="FQ15" s="1" t="s">
        <v>0</v>
      </c>
      <c r="FR15" s="1" t="s">
        <v>2</v>
      </c>
      <c r="FS15" s="1" t="s">
        <v>2</v>
      </c>
      <c r="FT15" s="1" t="s">
        <v>4</v>
      </c>
      <c r="FU15" s="1" t="s">
        <v>4</v>
      </c>
      <c r="FY15" s="1" t="s">
        <v>0</v>
      </c>
      <c r="FZ15" s="1" t="s">
        <v>0</v>
      </c>
      <c r="GA15" s="1" t="s">
        <v>2</v>
      </c>
      <c r="GB15" s="1" t="s">
        <v>2</v>
      </c>
      <c r="GC15" s="1" t="s">
        <v>4</v>
      </c>
      <c r="GD15" s="1" t="s">
        <v>4</v>
      </c>
      <c r="GH15" s="1" t="s">
        <v>0</v>
      </c>
      <c r="GI15" s="1" t="s">
        <v>0</v>
      </c>
      <c r="GJ15" s="1" t="s">
        <v>2</v>
      </c>
      <c r="GK15" s="1" t="s">
        <v>2</v>
      </c>
      <c r="GL15" s="1" t="s">
        <v>4</v>
      </c>
      <c r="GQ15" s="1" t="s">
        <v>0</v>
      </c>
      <c r="GR15" s="1" t="s">
        <v>0</v>
      </c>
      <c r="GS15" s="1" t="s">
        <v>2</v>
      </c>
      <c r="GT15" s="1" t="s">
        <v>4</v>
      </c>
      <c r="GU15" s="1" t="s">
        <v>4</v>
      </c>
      <c r="GZ15" s="1" t="s">
        <v>0</v>
      </c>
      <c r="HA15" s="1" t="s">
        <v>2</v>
      </c>
      <c r="HB15" s="1" t="s">
        <v>2</v>
      </c>
      <c r="HC15" s="1" t="s">
        <v>4</v>
      </c>
      <c r="HD15" s="1" t="s">
        <v>4</v>
      </c>
      <c r="HH15" s="1" t="s">
        <v>0</v>
      </c>
      <c r="HI15" s="1" t="s">
        <v>0</v>
      </c>
      <c r="HJ15" s="1" t="s">
        <v>2</v>
      </c>
      <c r="HK15" s="1" t="s">
        <v>2</v>
      </c>
      <c r="HL15" s="1" t="s">
        <v>4</v>
      </c>
      <c r="HM15" s="1" t="s">
        <v>4</v>
      </c>
      <c r="HQ15" s="1" t="s">
        <v>0</v>
      </c>
      <c r="HR15" s="1" t="s">
        <v>0</v>
      </c>
      <c r="HS15" s="1" t="s">
        <v>2</v>
      </c>
      <c r="HT15" s="1" t="s">
        <v>2</v>
      </c>
      <c r="HU15" s="1" t="s">
        <v>4</v>
      </c>
      <c r="HZ15" s="1" t="s">
        <v>0</v>
      </c>
      <c r="IA15" s="1" t="s">
        <v>0</v>
      </c>
      <c r="IB15" s="1" t="s">
        <v>2</v>
      </c>
      <c r="IC15" s="1" t="s">
        <v>4</v>
      </c>
      <c r="ID15" s="1" t="s">
        <v>4</v>
      </c>
      <c r="II15" s="1" t="s">
        <v>0</v>
      </c>
      <c r="IJ15" s="1" t="s">
        <v>2</v>
      </c>
      <c r="IK15" s="1" t="s">
        <v>2</v>
      </c>
      <c r="IL15" s="1" t="s">
        <v>4</v>
      </c>
      <c r="IM15" s="1" t="s">
        <v>4</v>
      </c>
      <c r="IQ15" s="1" t="s">
        <v>0</v>
      </c>
      <c r="IR15" s="1" t="s">
        <v>0</v>
      </c>
      <c r="IS15" s="1" t="s">
        <v>2</v>
      </c>
      <c r="IT15" s="1" t="s">
        <v>2</v>
      </c>
      <c r="IU15" s="1" t="s">
        <v>4</v>
      </c>
      <c r="IV15" s="1" t="s">
        <v>4</v>
      </c>
      <c r="IZ15" s="1" t="s">
        <v>0</v>
      </c>
      <c r="JA15" s="1" t="s">
        <v>0</v>
      </c>
      <c r="JB15" s="1" t="s">
        <v>2</v>
      </c>
      <c r="JC15" s="1" t="s">
        <v>2</v>
      </c>
      <c r="JD15" s="1" t="s">
        <v>4</v>
      </c>
      <c r="JI15" s="1" t="s">
        <v>0</v>
      </c>
      <c r="JJ15" s="1" t="s">
        <v>0</v>
      </c>
      <c r="JK15" s="1" t="s">
        <v>2</v>
      </c>
      <c r="JL15" s="1" t="s">
        <v>4</v>
      </c>
      <c r="JM15" s="1" t="s">
        <v>4</v>
      </c>
      <c r="JR15" s="1" t="s">
        <v>0</v>
      </c>
      <c r="JS15" s="1" t="s">
        <v>2</v>
      </c>
      <c r="JT15" s="1" t="s">
        <v>2</v>
      </c>
      <c r="JU15" s="1" t="s">
        <v>4</v>
      </c>
      <c r="JV15" s="1" t="s">
        <v>4</v>
      </c>
      <c r="JZ15" s="1" t="s">
        <v>0</v>
      </c>
      <c r="KA15" s="1" t="s">
        <v>0</v>
      </c>
      <c r="KB15" s="1" t="s">
        <v>2</v>
      </c>
      <c r="KC15" s="1" t="s">
        <v>2</v>
      </c>
      <c r="KD15" s="1" t="s">
        <v>4</v>
      </c>
      <c r="KE15" s="1" t="s">
        <v>4</v>
      </c>
      <c r="KI15" s="1" t="s">
        <v>0</v>
      </c>
      <c r="KJ15" s="1" t="s">
        <v>0</v>
      </c>
      <c r="KK15" s="1" t="s">
        <v>2</v>
      </c>
      <c r="KL15" s="1" t="s">
        <v>2</v>
      </c>
      <c r="KM15" s="1" t="s">
        <v>4</v>
      </c>
      <c r="KR15" s="1" t="s">
        <v>0</v>
      </c>
      <c r="KS15" s="1" t="s">
        <v>0</v>
      </c>
      <c r="KT15" s="1" t="s">
        <v>2</v>
      </c>
      <c r="KU15" s="1" t="s">
        <v>4</v>
      </c>
      <c r="KV15" s="1" t="s">
        <v>4</v>
      </c>
      <c r="LA15" s="1" t="s">
        <v>0</v>
      </c>
      <c r="LB15" s="1" t="s">
        <v>2</v>
      </c>
      <c r="LC15" s="1" t="s">
        <v>2</v>
      </c>
      <c r="LD15" s="1" t="s">
        <v>4</v>
      </c>
      <c r="LE15" s="1" t="s">
        <v>4</v>
      </c>
      <c r="LI15" s="1" t="s">
        <v>0</v>
      </c>
      <c r="LJ15" s="1" t="s">
        <v>0</v>
      </c>
      <c r="LK15" s="1" t="s">
        <v>2</v>
      </c>
      <c r="LL15" s="1" t="s">
        <v>2</v>
      </c>
      <c r="LM15" s="1" t="s">
        <v>4</v>
      </c>
      <c r="LN15" s="1" t="s">
        <v>4</v>
      </c>
      <c r="LR15" s="1" t="s">
        <v>0</v>
      </c>
      <c r="LS15" s="1" t="s">
        <v>0</v>
      </c>
      <c r="LT15" s="1" t="s">
        <v>2</v>
      </c>
      <c r="LU15" s="1" t="s">
        <v>2</v>
      </c>
      <c r="LV15" s="1" t="s">
        <v>4</v>
      </c>
      <c r="MA15" s="1" t="s">
        <v>0</v>
      </c>
      <c r="MB15" s="1" t="s">
        <v>0</v>
      </c>
      <c r="MC15" s="1" t="s">
        <v>2</v>
      </c>
      <c r="MD15" s="1" t="s">
        <v>4</v>
      </c>
      <c r="ME15" s="1" t="s">
        <v>4</v>
      </c>
      <c r="MJ15" s="1" t="s">
        <v>0</v>
      </c>
      <c r="MK15" s="1" t="s">
        <v>2</v>
      </c>
      <c r="ML15" s="1" t="s">
        <v>2</v>
      </c>
      <c r="MM15" s="1" t="s">
        <v>4</v>
      </c>
      <c r="MN15" s="1" t="s">
        <v>4</v>
      </c>
      <c r="MR15" s="1" t="s">
        <v>0</v>
      </c>
      <c r="MS15" s="1" t="s">
        <v>0</v>
      </c>
      <c r="MT15" s="1" t="s">
        <v>2</v>
      </c>
      <c r="MU15" s="1" t="s">
        <v>2</v>
      </c>
      <c r="MV15" s="1" t="s">
        <v>4</v>
      </c>
      <c r="MW15" s="1" t="s">
        <v>4</v>
      </c>
      <c r="NA15" s="1" t="s">
        <v>0</v>
      </c>
      <c r="NB15" s="1" t="s">
        <v>0</v>
      </c>
      <c r="NC15" s="1" t="s">
        <v>2</v>
      </c>
      <c r="ND15" s="1" t="s">
        <v>2</v>
      </c>
    </row>
    <row r="16" spans="1:368">
      <c r="A16" s="1" t="s">
        <v>79</v>
      </c>
      <c r="B16" s="1" t="s">
        <v>79</v>
      </c>
      <c r="C16" s="1" t="s">
        <v>12</v>
      </c>
      <c r="D16" s="1" t="s">
        <v>0</v>
      </c>
      <c r="E16" s="1" t="s">
        <v>2</v>
      </c>
      <c r="F16" s="5" t="s">
        <v>80</v>
      </c>
      <c r="G16" s="46" t="s">
        <v>81</v>
      </c>
      <c r="H16" s="46" t="s">
        <v>82</v>
      </c>
      <c r="N16" s="1" t="s">
        <v>0</v>
      </c>
      <c r="O16" s="1" t="s">
        <v>0</v>
      </c>
      <c r="P16" s="1" t="s">
        <v>8</v>
      </c>
      <c r="Q16" s="1" t="s">
        <v>2</v>
      </c>
      <c r="R16" s="1" t="s">
        <v>2</v>
      </c>
      <c r="S16" s="1" t="s">
        <v>4</v>
      </c>
      <c r="X16" s="1" t="s">
        <v>0</v>
      </c>
      <c r="Y16" s="1" t="s">
        <v>0</v>
      </c>
      <c r="Z16" s="1" t="s">
        <v>2</v>
      </c>
      <c r="AA16" s="1" t="s">
        <v>4</v>
      </c>
      <c r="AB16" s="1" t="s">
        <v>4</v>
      </c>
      <c r="AG16" s="1" t="s">
        <v>0</v>
      </c>
      <c r="AH16" s="1" t="s">
        <v>2</v>
      </c>
      <c r="AI16" s="1" t="s">
        <v>2</v>
      </c>
      <c r="AJ16" s="1" t="s">
        <v>4</v>
      </c>
      <c r="AK16" s="1" t="s">
        <v>4</v>
      </c>
      <c r="AO16" s="1" t="s">
        <v>0</v>
      </c>
      <c r="AP16" s="1" t="s">
        <v>0</v>
      </c>
      <c r="AQ16" s="1" t="s">
        <v>2</v>
      </c>
      <c r="AR16" s="1" t="s">
        <v>2</v>
      </c>
      <c r="AS16" s="1" t="s">
        <v>4</v>
      </c>
      <c r="AT16" s="1" t="s">
        <v>4</v>
      </c>
      <c r="AX16" s="1" t="s">
        <v>0</v>
      </c>
      <c r="AY16" s="1" t="s">
        <v>0</v>
      </c>
      <c r="AZ16" s="1" t="s">
        <v>2</v>
      </c>
      <c r="BA16" s="1" t="s">
        <v>2</v>
      </c>
      <c r="BB16" s="1" t="s">
        <v>4</v>
      </c>
      <c r="BG16" s="1" t="s">
        <v>0</v>
      </c>
      <c r="BH16" s="1" t="s">
        <v>0</v>
      </c>
      <c r="BI16" s="1" t="s">
        <v>2</v>
      </c>
      <c r="BJ16" s="1" t="s">
        <v>4</v>
      </c>
      <c r="BK16" s="1" t="s">
        <v>4</v>
      </c>
    </row>
    <row r="17" spans="1:368">
      <c r="A17" s="1" t="s">
        <v>83</v>
      </c>
      <c r="B17" s="1" t="s">
        <v>83</v>
      </c>
      <c r="E17" s="1" t="s">
        <v>6</v>
      </c>
      <c r="F17" s="1" t="s">
        <v>6</v>
      </c>
      <c r="G17" s="1" t="s">
        <v>6</v>
      </c>
      <c r="H17" s="1" t="s">
        <v>4</v>
      </c>
      <c r="I17" s="1" t="s">
        <v>4</v>
      </c>
      <c r="J17" s="46" t="s">
        <v>84</v>
      </c>
      <c r="M17" s="1" t="s">
        <v>0</v>
      </c>
      <c r="N17" s="46" t="s">
        <v>0</v>
      </c>
      <c r="O17" s="1" t="s">
        <v>2</v>
      </c>
      <c r="P17" s="1" t="s">
        <v>2</v>
      </c>
      <c r="Q17" s="1" t="s">
        <v>4</v>
      </c>
      <c r="R17" s="1" t="s">
        <v>4</v>
      </c>
      <c r="V17" s="1" t="s">
        <v>0</v>
      </c>
      <c r="W17" s="1" t="s">
        <v>0</v>
      </c>
      <c r="X17" s="1" t="s">
        <v>2</v>
      </c>
      <c r="Y17" s="1" t="s">
        <v>2</v>
      </c>
      <c r="Z17" s="1" t="s">
        <v>4</v>
      </c>
      <c r="AE17" s="1" t="s">
        <v>0</v>
      </c>
      <c r="AF17" s="1" t="s">
        <v>0</v>
      </c>
      <c r="AG17" s="1" t="s">
        <v>2</v>
      </c>
      <c r="AH17" s="1" t="s">
        <v>4</v>
      </c>
      <c r="AI17" s="1" t="s">
        <v>4</v>
      </c>
      <c r="AN17" s="1" t="s">
        <v>0</v>
      </c>
      <c r="AO17" s="1" t="s">
        <v>2</v>
      </c>
      <c r="AP17" s="1" t="s">
        <v>2</v>
      </c>
      <c r="AQ17" s="1" t="s">
        <v>4</v>
      </c>
      <c r="AR17" s="1" t="s">
        <v>4</v>
      </c>
      <c r="AV17" s="1" t="s">
        <v>0</v>
      </c>
      <c r="AW17" s="1" t="s">
        <v>0</v>
      </c>
      <c r="AX17" s="1" t="s">
        <v>2</v>
      </c>
      <c r="AY17" s="1" t="s">
        <v>2</v>
      </c>
      <c r="AZ17" s="1" t="s">
        <v>4</v>
      </c>
      <c r="BA17" s="1" t="s">
        <v>4</v>
      </c>
      <c r="BE17" s="1" t="s">
        <v>0</v>
      </c>
      <c r="BF17" s="1" t="s">
        <v>0</v>
      </c>
      <c r="BG17" s="1" t="s">
        <v>2</v>
      </c>
      <c r="BH17" s="1" t="s">
        <v>2</v>
      </c>
      <c r="BI17" s="1" t="s">
        <v>4</v>
      </c>
      <c r="BN17" s="1" t="s">
        <v>0</v>
      </c>
      <c r="BO17" s="1" t="s">
        <v>0</v>
      </c>
      <c r="BP17" s="1" t="s">
        <v>2</v>
      </c>
      <c r="BQ17" s="1" t="s">
        <v>4</v>
      </c>
      <c r="BR17" s="1" t="s">
        <v>4</v>
      </c>
      <c r="BW17" s="1" t="s">
        <v>0</v>
      </c>
      <c r="BX17" s="1" t="s">
        <v>2</v>
      </c>
      <c r="BY17" s="1" t="s">
        <v>2</v>
      </c>
      <c r="BZ17" s="1" t="s">
        <v>4</v>
      </c>
      <c r="CA17" s="1" t="s">
        <v>4</v>
      </c>
      <c r="CE17" s="1" t="s">
        <v>0</v>
      </c>
      <c r="CF17" s="1" t="s">
        <v>0</v>
      </c>
      <c r="CG17" s="1" t="s">
        <v>2</v>
      </c>
      <c r="CH17" s="1" t="s">
        <v>2</v>
      </c>
      <c r="CI17" s="1" t="s">
        <v>4</v>
      </c>
      <c r="CJ17" s="1" t="s">
        <v>4</v>
      </c>
      <c r="CN17" s="1" t="s">
        <v>0</v>
      </c>
      <c r="CO17" s="1" t="s">
        <v>0</v>
      </c>
      <c r="CP17" s="1" t="s">
        <v>2</v>
      </c>
      <c r="CQ17" s="1" t="s">
        <v>2</v>
      </c>
      <c r="CR17" s="1" t="s">
        <v>4</v>
      </c>
      <c r="CW17" s="1" t="s">
        <v>0</v>
      </c>
      <c r="CX17" s="1" t="s">
        <v>0</v>
      </c>
      <c r="CY17" s="1" t="s">
        <v>2</v>
      </c>
      <c r="CZ17" s="1" t="s">
        <v>4</v>
      </c>
      <c r="DA17" s="1" t="s">
        <v>4</v>
      </c>
      <c r="DF17" s="1" t="s">
        <v>0</v>
      </c>
      <c r="DG17" s="1" t="s">
        <v>2</v>
      </c>
      <c r="DH17" s="1" t="s">
        <v>2</v>
      </c>
      <c r="DI17" s="1" t="s">
        <v>4</v>
      </c>
      <c r="DJ17" s="1" t="s">
        <v>4</v>
      </c>
      <c r="DN17" s="1" t="s">
        <v>0</v>
      </c>
      <c r="DO17" s="1" t="s">
        <v>0</v>
      </c>
      <c r="DP17" s="1" t="s">
        <v>2</v>
      </c>
      <c r="DQ17" s="1" t="s">
        <v>2</v>
      </c>
      <c r="DR17" s="1" t="s">
        <v>4</v>
      </c>
      <c r="DS17" s="1" t="s">
        <v>4</v>
      </c>
      <c r="DW17" s="1" t="s">
        <v>0</v>
      </c>
      <c r="DX17" s="1" t="s">
        <v>0</v>
      </c>
      <c r="DY17" s="1" t="s">
        <v>2</v>
      </c>
      <c r="DZ17" s="1" t="s">
        <v>2</v>
      </c>
      <c r="EA17" s="1" t="s">
        <v>4</v>
      </c>
      <c r="EF17" s="1" t="s">
        <v>0</v>
      </c>
      <c r="EG17" s="1" t="s">
        <v>0</v>
      </c>
      <c r="EH17" s="1" t="s">
        <v>2</v>
      </c>
      <c r="EI17" s="1" t="s">
        <v>4</v>
      </c>
      <c r="EJ17" s="1" t="s">
        <v>4</v>
      </c>
      <c r="EO17" s="1" t="s">
        <v>0</v>
      </c>
      <c r="EP17" s="1" t="s">
        <v>2</v>
      </c>
      <c r="EQ17" s="1" t="s">
        <v>2</v>
      </c>
      <c r="ER17" s="1" t="s">
        <v>4</v>
      </c>
      <c r="ES17" s="1" t="s">
        <v>4</v>
      </c>
      <c r="EW17" s="1" t="s">
        <v>0</v>
      </c>
      <c r="EX17" s="1" t="s">
        <v>0</v>
      </c>
      <c r="EY17" s="1" t="s">
        <v>2</v>
      </c>
      <c r="EZ17" s="1" t="s">
        <v>2</v>
      </c>
      <c r="FA17" s="1" t="s">
        <v>4</v>
      </c>
      <c r="FB17" s="1" t="s">
        <v>4</v>
      </c>
      <c r="FF17" s="1" t="s">
        <v>0</v>
      </c>
      <c r="FG17" s="1" t="s">
        <v>0</v>
      </c>
      <c r="FH17" s="1" t="s">
        <v>2</v>
      </c>
      <c r="FI17" s="1" t="s">
        <v>2</v>
      </c>
      <c r="FJ17" s="1" t="s">
        <v>4</v>
      </c>
      <c r="FO17" s="1" t="s">
        <v>0</v>
      </c>
      <c r="FP17" s="1" t="s">
        <v>0</v>
      </c>
      <c r="FQ17" s="1" t="s">
        <v>2</v>
      </c>
      <c r="FR17" s="1" t="s">
        <v>4</v>
      </c>
      <c r="FS17" s="1" t="s">
        <v>4</v>
      </c>
      <c r="FX17" s="1" t="s">
        <v>0</v>
      </c>
      <c r="FY17" s="1" t="s">
        <v>2</v>
      </c>
      <c r="FZ17" s="1" t="s">
        <v>2</v>
      </c>
      <c r="GA17" s="1" t="s">
        <v>4</v>
      </c>
      <c r="GB17" s="1" t="s">
        <v>4</v>
      </c>
      <c r="GF17" s="1" t="s">
        <v>0</v>
      </c>
      <c r="GG17" s="1" t="s">
        <v>0</v>
      </c>
      <c r="GH17" s="1" t="s">
        <v>2</v>
      </c>
      <c r="GI17" s="1" t="s">
        <v>2</v>
      </c>
      <c r="GJ17" s="1" t="s">
        <v>4</v>
      </c>
      <c r="GK17" s="1" t="s">
        <v>4</v>
      </c>
      <c r="GO17" s="1" t="s">
        <v>0</v>
      </c>
      <c r="GP17" s="1" t="s">
        <v>0</v>
      </c>
      <c r="GQ17" s="1" t="s">
        <v>2</v>
      </c>
      <c r="GR17" s="1" t="s">
        <v>2</v>
      </c>
      <c r="GS17" s="1" t="s">
        <v>4</v>
      </c>
      <c r="GX17" s="1" t="s">
        <v>0</v>
      </c>
      <c r="GY17" s="1" t="s">
        <v>0</v>
      </c>
      <c r="GZ17" s="1" t="s">
        <v>2</v>
      </c>
      <c r="HA17" s="1" t="s">
        <v>4</v>
      </c>
      <c r="HB17" s="1" t="s">
        <v>4</v>
      </c>
      <c r="HG17" s="1" t="s">
        <v>0</v>
      </c>
      <c r="HH17" s="1" t="s">
        <v>2</v>
      </c>
      <c r="HI17" s="1" t="s">
        <v>2</v>
      </c>
      <c r="HJ17" s="1" t="s">
        <v>4</v>
      </c>
      <c r="HK17" s="1" t="s">
        <v>4</v>
      </c>
      <c r="HO17" s="1" t="s">
        <v>0</v>
      </c>
      <c r="HP17" s="1" t="s">
        <v>0</v>
      </c>
      <c r="HQ17" s="1" t="s">
        <v>2</v>
      </c>
      <c r="HR17" s="1" t="s">
        <v>2</v>
      </c>
      <c r="HS17" s="1" t="s">
        <v>4</v>
      </c>
      <c r="HT17" s="1" t="s">
        <v>4</v>
      </c>
      <c r="HX17" s="1" t="s">
        <v>0</v>
      </c>
      <c r="HY17" s="1" t="s">
        <v>0</v>
      </c>
      <c r="HZ17" s="1" t="s">
        <v>2</v>
      </c>
      <c r="IA17" s="1" t="s">
        <v>2</v>
      </c>
      <c r="IB17" s="1" t="s">
        <v>4</v>
      </c>
      <c r="IG17" s="1" t="s">
        <v>0</v>
      </c>
      <c r="IH17" s="1" t="s">
        <v>0</v>
      </c>
      <c r="II17" s="1" t="s">
        <v>2</v>
      </c>
      <c r="IJ17" s="1" t="s">
        <v>4</v>
      </c>
      <c r="IK17" s="1" t="s">
        <v>4</v>
      </c>
      <c r="IP17" s="1" t="s">
        <v>0</v>
      </c>
      <c r="IQ17" s="1" t="s">
        <v>2</v>
      </c>
      <c r="IR17" s="1" t="s">
        <v>2</v>
      </c>
      <c r="IS17" s="1" t="s">
        <v>4</v>
      </c>
      <c r="IT17" s="1" t="s">
        <v>4</v>
      </c>
      <c r="IX17" s="1" t="s">
        <v>0</v>
      </c>
      <c r="IY17" s="1" t="s">
        <v>0</v>
      </c>
      <c r="IZ17" s="1" t="s">
        <v>2</v>
      </c>
      <c r="JA17" s="1" t="s">
        <v>2</v>
      </c>
      <c r="JB17" s="1" t="s">
        <v>4</v>
      </c>
      <c r="JC17" s="1" t="s">
        <v>4</v>
      </c>
      <c r="JG17" s="1" t="s">
        <v>0</v>
      </c>
      <c r="JH17" s="1" t="s">
        <v>0</v>
      </c>
      <c r="JI17" s="1" t="s">
        <v>2</v>
      </c>
      <c r="JJ17" s="1" t="s">
        <v>2</v>
      </c>
      <c r="JK17" s="1" t="s">
        <v>4</v>
      </c>
      <c r="JP17" s="1" t="s">
        <v>0</v>
      </c>
      <c r="JQ17" s="1" t="s">
        <v>0</v>
      </c>
      <c r="JR17" s="1" t="s">
        <v>2</v>
      </c>
      <c r="JS17" s="1" t="s">
        <v>4</v>
      </c>
      <c r="JT17" s="1" t="s">
        <v>4</v>
      </c>
      <c r="JX17" s="1" t="s">
        <v>0</v>
      </c>
      <c r="JY17" s="1" t="s">
        <v>2</v>
      </c>
      <c r="JZ17" s="1" t="s">
        <v>2</v>
      </c>
      <c r="KA17" s="1" t="s">
        <v>4</v>
      </c>
      <c r="KB17" s="1" t="s">
        <v>4</v>
      </c>
      <c r="KF17" s="1" t="s">
        <v>0</v>
      </c>
      <c r="KG17" s="1" t="s">
        <v>0</v>
      </c>
      <c r="KH17" s="1" t="s">
        <v>2</v>
      </c>
      <c r="KI17" s="1" t="s">
        <v>2</v>
      </c>
      <c r="KJ17" s="1" t="s">
        <v>4</v>
      </c>
      <c r="KK17" s="1" t="s">
        <v>4</v>
      </c>
      <c r="KO17" s="1" t="s">
        <v>0</v>
      </c>
      <c r="KP17" s="1" t="s">
        <v>0</v>
      </c>
      <c r="KQ17" s="1" t="s">
        <v>2</v>
      </c>
      <c r="KR17" s="1" t="s">
        <v>2</v>
      </c>
      <c r="KS17" s="1" t="s">
        <v>4</v>
      </c>
      <c r="KX17" s="1" t="s">
        <v>0</v>
      </c>
      <c r="KY17" s="1" t="s">
        <v>0</v>
      </c>
      <c r="KZ17" s="1" t="s">
        <v>2</v>
      </c>
      <c r="LA17" s="1" t="s">
        <v>4</v>
      </c>
      <c r="LB17" s="1" t="s">
        <v>4</v>
      </c>
      <c r="LH17" s="1" t="s">
        <v>0</v>
      </c>
      <c r="LI17" s="1" t="s">
        <v>2</v>
      </c>
      <c r="LJ17" s="1" t="s">
        <v>2</v>
      </c>
      <c r="LK17" s="1" t="s">
        <v>4</v>
      </c>
      <c r="LL17" s="1" t="s">
        <v>4</v>
      </c>
      <c r="LP17" s="1" t="s">
        <v>0</v>
      </c>
      <c r="LQ17" s="1" t="s">
        <v>0</v>
      </c>
      <c r="LR17" s="1" t="s">
        <v>2</v>
      </c>
      <c r="LS17" s="1" t="s">
        <v>2</v>
      </c>
      <c r="LT17" s="1" t="s">
        <v>4</v>
      </c>
      <c r="LU17" s="1" t="s">
        <v>4</v>
      </c>
      <c r="LY17" s="1" t="s">
        <v>0</v>
      </c>
      <c r="LZ17" s="1" t="s">
        <v>0</v>
      </c>
      <c r="MA17" s="1" t="s">
        <v>2</v>
      </c>
      <c r="MB17" s="1" t="s">
        <v>2</v>
      </c>
      <c r="MC17" s="1" t="s">
        <v>4</v>
      </c>
      <c r="MH17" s="1" t="s">
        <v>0</v>
      </c>
      <c r="MI17" s="1" t="s">
        <v>0</v>
      </c>
      <c r="MJ17" s="1" t="s">
        <v>2</v>
      </c>
      <c r="MK17" s="1" t="s">
        <v>4</v>
      </c>
      <c r="ML17" s="1" t="s">
        <v>4</v>
      </c>
      <c r="MQ17" s="1" t="s">
        <v>0</v>
      </c>
      <c r="MR17" s="1" t="s">
        <v>2</v>
      </c>
      <c r="MS17" s="1" t="s">
        <v>2</v>
      </c>
      <c r="MT17" s="1" t="s">
        <v>4</v>
      </c>
      <c r="MU17" s="1" t="s">
        <v>4</v>
      </c>
      <c r="MY17" s="1" t="s">
        <v>0</v>
      </c>
      <c r="MZ17" s="1" t="s">
        <v>0</v>
      </c>
      <c r="NA17" s="1" t="s">
        <v>2</v>
      </c>
      <c r="NB17" s="1" t="s">
        <v>2</v>
      </c>
      <c r="NC17" s="1" t="s">
        <v>4</v>
      </c>
      <c r="ND17" s="1" t="s">
        <v>4</v>
      </c>
    </row>
    <row r="18" spans="1:368">
      <c r="A18" s="1" t="s">
        <v>85</v>
      </c>
      <c r="B18" s="1" t="s">
        <v>85</v>
      </c>
      <c r="C18" s="1" t="s">
        <v>4</v>
      </c>
      <c r="D18" s="1" t="s">
        <v>4</v>
      </c>
      <c r="H18" s="1" t="s">
        <v>0</v>
      </c>
      <c r="I18" s="46" t="s">
        <v>82</v>
      </c>
      <c r="J18" s="1" t="s">
        <v>2</v>
      </c>
      <c r="K18" s="46" t="s">
        <v>84</v>
      </c>
      <c r="L18" s="1" t="s">
        <v>4</v>
      </c>
      <c r="Q18" s="1" t="s">
        <v>0</v>
      </c>
      <c r="R18" s="1" t="s">
        <v>0</v>
      </c>
      <c r="S18" s="1" t="s">
        <v>2</v>
      </c>
      <c r="T18" s="1" t="s">
        <v>4</v>
      </c>
      <c r="U18" s="1" t="s">
        <v>4</v>
      </c>
      <c r="Z18" s="1" t="s">
        <v>0</v>
      </c>
      <c r="AA18" s="1" t="s">
        <v>2</v>
      </c>
      <c r="AB18" s="1" t="s">
        <v>2</v>
      </c>
      <c r="AC18" s="1" t="s">
        <v>4</v>
      </c>
      <c r="AD18" s="1" t="s">
        <v>4</v>
      </c>
      <c r="AH18" s="1" t="s">
        <v>0</v>
      </c>
      <c r="AI18" s="1" t="s">
        <v>0</v>
      </c>
      <c r="AJ18" s="1" t="s">
        <v>2</v>
      </c>
      <c r="AK18" s="1" t="s">
        <v>2</v>
      </c>
      <c r="AL18" s="1" t="s">
        <v>4</v>
      </c>
      <c r="AM18" s="1" t="s">
        <v>4</v>
      </c>
      <c r="AQ18" s="1" t="s">
        <v>0</v>
      </c>
      <c r="AR18" s="1" t="s">
        <v>0</v>
      </c>
      <c r="AS18" s="1" t="s">
        <v>2</v>
      </c>
      <c r="AT18" s="1" t="s">
        <v>2</v>
      </c>
      <c r="AU18" s="1" t="s">
        <v>4</v>
      </c>
      <c r="AZ18" s="1" t="s">
        <v>0</v>
      </c>
      <c r="BA18" s="1" t="s">
        <v>0</v>
      </c>
      <c r="BB18" s="1" t="s">
        <v>2</v>
      </c>
      <c r="BC18" s="1" t="s">
        <v>4</v>
      </c>
      <c r="BD18" s="1" t="s">
        <v>4</v>
      </c>
      <c r="BI18" s="1" t="s">
        <v>0</v>
      </c>
      <c r="BJ18" s="1" t="s">
        <v>2</v>
      </c>
      <c r="BK18" s="1" t="s">
        <v>2</v>
      </c>
      <c r="BL18" s="1" t="s">
        <v>4</v>
      </c>
      <c r="BM18" s="1" t="s">
        <v>4</v>
      </c>
      <c r="BQ18" s="1" t="s">
        <v>0</v>
      </c>
      <c r="BR18" s="1" t="s">
        <v>0</v>
      </c>
      <c r="BS18" s="1" t="s">
        <v>2</v>
      </c>
      <c r="BT18" s="1" t="s">
        <v>2</v>
      </c>
      <c r="BU18" s="1" t="s">
        <v>4</v>
      </c>
      <c r="BV18" s="1" t="s">
        <v>4</v>
      </c>
      <c r="BZ18" s="1" t="s">
        <v>0</v>
      </c>
      <c r="CA18" s="1" t="s">
        <v>0</v>
      </c>
      <c r="CB18" s="1" t="s">
        <v>2</v>
      </c>
      <c r="CC18" s="1" t="s">
        <v>2</v>
      </c>
      <c r="CD18" s="1" t="s">
        <v>4</v>
      </c>
      <c r="CI18" s="1" t="s">
        <v>0</v>
      </c>
      <c r="CJ18" s="1" t="s">
        <v>0</v>
      </c>
      <c r="CK18" s="1" t="s">
        <v>2</v>
      </c>
      <c r="CL18" s="1" t="s">
        <v>4</v>
      </c>
      <c r="CM18" s="1" t="s">
        <v>4</v>
      </c>
      <c r="CR18" s="1" t="s">
        <v>0</v>
      </c>
      <c r="CS18" s="1" t="s">
        <v>2</v>
      </c>
      <c r="CT18" s="1" t="s">
        <v>2</v>
      </c>
      <c r="CU18" s="1" t="s">
        <v>4</v>
      </c>
      <c r="CV18" s="1" t="s">
        <v>4</v>
      </c>
      <c r="CZ18" s="1" t="s">
        <v>0</v>
      </c>
      <c r="DA18" s="1" t="s">
        <v>0</v>
      </c>
      <c r="DB18" s="1" t="s">
        <v>2</v>
      </c>
      <c r="DC18" s="1" t="s">
        <v>2</v>
      </c>
      <c r="DD18" s="1" t="s">
        <v>4</v>
      </c>
      <c r="DE18" s="1" t="s">
        <v>4</v>
      </c>
      <c r="DI18" s="1" t="s">
        <v>0</v>
      </c>
      <c r="DJ18" s="1" t="s">
        <v>0</v>
      </c>
      <c r="DK18" s="1" t="s">
        <v>2</v>
      </c>
      <c r="DL18" s="1" t="s">
        <v>2</v>
      </c>
      <c r="DM18" s="1" t="s">
        <v>4</v>
      </c>
      <c r="DR18" s="1" t="s">
        <v>0</v>
      </c>
      <c r="DS18" s="1" t="s">
        <v>0</v>
      </c>
      <c r="DT18" s="1" t="s">
        <v>2</v>
      </c>
      <c r="DU18" s="1" t="s">
        <v>4</v>
      </c>
      <c r="DV18" s="1" t="s">
        <v>4</v>
      </c>
      <c r="EA18" s="1" t="s">
        <v>0</v>
      </c>
      <c r="EB18" s="1" t="s">
        <v>2</v>
      </c>
      <c r="EC18" s="1" t="s">
        <v>2</v>
      </c>
      <c r="ED18" s="1" t="s">
        <v>4</v>
      </c>
      <c r="EE18" s="1" t="s">
        <v>4</v>
      </c>
      <c r="EI18" s="1" t="s">
        <v>0</v>
      </c>
      <c r="EJ18" s="1" t="s">
        <v>0</v>
      </c>
      <c r="EK18" s="1" t="s">
        <v>2</v>
      </c>
      <c r="EL18" s="1" t="s">
        <v>2</v>
      </c>
      <c r="EM18" s="1" t="s">
        <v>4</v>
      </c>
      <c r="EN18" s="1" t="s">
        <v>4</v>
      </c>
      <c r="ER18" s="1" t="s">
        <v>0</v>
      </c>
      <c r="ES18" s="1" t="s">
        <v>0</v>
      </c>
      <c r="ET18" s="1" t="s">
        <v>2</v>
      </c>
      <c r="EU18" s="1" t="s">
        <v>2</v>
      </c>
      <c r="EV18" s="1" t="s">
        <v>4</v>
      </c>
      <c r="FA18" s="1" t="s">
        <v>0</v>
      </c>
      <c r="FB18" s="1" t="s">
        <v>0</v>
      </c>
      <c r="FC18" s="1" t="s">
        <v>2</v>
      </c>
      <c r="FD18" s="1" t="s">
        <v>4</v>
      </c>
      <c r="FE18" s="1" t="s">
        <v>4</v>
      </c>
      <c r="FJ18" s="1" t="s">
        <v>0</v>
      </c>
      <c r="FK18" s="1" t="s">
        <v>2</v>
      </c>
      <c r="FL18" s="1" t="s">
        <v>2</v>
      </c>
      <c r="FM18" s="1" t="s">
        <v>4</v>
      </c>
      <c r="FN18" s="1" t="s">
        <v>4</v>
      </c>
      <c r="FR18" s="1" t="s">
        <v>0</v>
      </c>
      <c r="FS18" s="1" t="s">
        <v>0</v>
      </c>
      <c r="FT18" s="1" t="s">
        <v>2</v>
      </c>
      <c r="FU18" s="1" t="s">
        <v>2</v>
      </c>
      <c r="FV18" s="1" t="s">
        <v>4</v>
      </c>
      <c r="FW18" s="1" t="s">
        <v>4</v>
      </c>
      <c r="GA18" s="1" t="s">
        <v>0</v>
      </c>
      <c r="GB18" s="1" t="s">
        <v>0</v>
      </c>
      <c r="GC18" s="1" t="s">
        <v>2</v>
      </c>
      <c r="GD18" s="1" t="s">
        <v>2</v>
      </c>
      <c r="GE18" s="1" t="s">
        <v>4</v>
      </c>
      <c r="GJ18" s="1" t="s">
        <v>0</v>
      </c>
      <c r="GK18" s="1" t="s">
        <v>0</v>
      </c>
      <c r="GL18" s="1" t="s">
        <v>2</v>
      </c>
      <c r="GM18" s="1" t="s">
        <v>4</v>
      </c>
      <c r="GN18" s="1" t="s">
        <v>4</v>
      </c>
      <c r="GS18" s="1" t="s">
        <v>0</v>
      </c>
      <c r="GT18" s="1" t="s">
        <v>2</v>
      </c>
      <c r="GU18" s="1" t="s">
        <v>2</v>
      </c>
      <c r="GV18" s="1" t="s">
        <v>4</v>
      </c>
      <c r="GW18" s="1" t="s">
        <v>4</v>
      </c>
      <c r="HA18" s="1" t="s">
        <v>0</v>
      </c>
      <c r="HB18" s="1" t="s">
        <v>0</v>
      </c>
      <c r="HC18" s="1" t="s">
        <v>2</v>
      </c>
      <c r="HD18" s="1" t="s">
        <v>2</v>
      </c>
      <c r="HE18" s="1" t="s">
        <v>4</v>
      </c>
      <c r="HF18" s="1" t="s">
        <v>4</v>
      </c>
      <c r="HJ18" s="1" t="s">
        <v>0</v>
      </c>
      <c r="HK18" s="1" t="s">
        <v>0</v>
      </c>
      <c r="HL18" s="1" t="s">
        <v>2</v>
      </c>
      <c r="HM18" s="1" t="s">
        <v>2</v>
      </c>
      <c r="HN18" s="1" t="s">
        <v>4</v>
      </c>
      <c r="HS18" s="1" t="s">
        <v>0</v>
      </c>
      <c r="HT18" s="1" t="s">
        <v>0</v>
      </c>
      <c r="HU18" s="1" t="s">
        <v>2</v>
      </c>
      <c r="HV18" s="1" t="s">
        <v>4</v>
      </c>
      <c r="HW18" s="1" t="s">
        <v>4</v>
      </c>
      <c r="IB18" s="1" t="s">
        <v>0</v>
      </c>
      <c r="IC18" s="1" t="s">
        <v>2</v>
      </c>
      <c r="ID18" s="1" t="s">
        <v>2</v>
      </c>
      <c r="IE18" s="1" t="s">
        <v>4</v>
      </c>
      <c r="IF18" s="1" t="s">
        <v>4</v>
      </c>
      <c r="IJ18" s="1" t="s">
        <v>0</v>
      </c>
      <c r="IK18" s="1" t="s">
        <v>0</v>
      </c>
      <c r="IL18" s="1" t="s">
        <v>2</v>
      </c>
      <c r="IM18" s="1" t="s">
        <v>2</v>
      </c>
      <c r="IN18" s="1" t="s">
        <v>4</v>
      </c>
      <c r="IO18" s="1" t="s">
        <v>4</v>
      </c>
      <c r="IS18" s="1" t="s">
        <v>0</v>
      </c>
      <c r="IT18" s="1" t="s">
        <v>0</v>
      </c>
      <c r="IU18" s="1" t="s">
        <v>2</v>
      </c>
      <c r="IV18" s="1" t="s">
        <v>2</v>
      </c>
      <c r="IW18" s="1" t="s">
        <v>4</v>
      </c>
      <c r="JB18" s="1" t="s">
        <v>0</v>
      </c>
      <c r="JC18" s="1" t="s">
        <v>0</v>
      </c>
      <c r="JD18" s="1" t="s">
        <v>2</v>
      </c>
      <c r="JE18" s="1" t="s">
        <v>4</v>
      </c>
      <c r="JF18" s="1" t="s">
        <v>4</v>
      </c>
      <c r="JK18" s="1" t="s">
        <v>0</v>
      </c>
      <c r="JL18" s="1" t="s">
        <v>2</v>
      </c>
      <c r="JM18" s="1" t="s">
        <v>2</v>
      </c>
      <c r="JN18" s="1" t="s">
        <v>4</v>
      </c>
      <c r="JO18" s="1" t="s">
        <v>4</v>
      </c>
      <c r="JS18" s="1" t="s">
        <v>0</v>
      </c>
      <c r="JT18" s="1" t="s">
        <v>0</v>
      </c>
      <c r="JU18" s="1" t="s">
        <v>2</v>
      </c>
      <c r="JV18" s="1" t="s">
        <v>2</v>
      </c>
      <c r="JW18" s="1" t="s">
        <v>4</v>
      </c>
      <c r="JX18" s="1" t="s">
        <v>4</v>
      </c>
      <c r="KB18" s="1" t="s">
        <v>0</v>
      </c>
      <c r="KC18" s="1" t="s">
        <v>0</v>
      </c>
      <c r="KD18" s="1" t="s">
        <v>2</v>
      </c>
      <c r="KE18" s="1" t="s">
        <v>2</v>
      </c>
      <c r="KF18" s="1" t="s">
        <v>4</v>
      </c>
      <c r="KK18" s="1" t="s">
        <v>0</v>
      </c>
      <c r="KL18" s="1" t="s">
        <v>0</v>
      </c>
      <c r="KM18" s="1" t="s">
        <v>2</v>
      </c>
      <c r="KN18" s="1" t="s">
        <v>4</v>
      </c>
      <c r="KO18" s="1" t="s">
        <v>4</v>
      </c>
      <c r="KT18" s="1" t="s">
        <v>0</v>
      </c>
      <c r="KU18" s="1" t="s">
        <v>2</v>
      </c>
      <c r="KV18" s="1" t="s">
        <v>2</v>
      </c>
      <c r="KW18" s="1" t="s">
        <v>4</v>
      </c>
      <c r="KX18" s="1" t="s">
        <v>4</v>
      </c>
      <c r="LB18" s="1" t="s">
        <v>0</v>
      </c>
      <c r="LC18" s="1" t="s">
        <v>0</v>
      </c>
      <c r="LD18" s="1" t="s">
        <v>2</v>
      </c>
      <c r="LE18" s="1" t="s">
        <v>2</v>
      </c>
      <c r="LF18" s="1" t="s">
        <v>4</v>
      </c>
      <c r="LG18" s="1" t="s">
        <v>4</v>
      </c>
      <c r="LK18" s="1" t="s">
        <v>0</v>
      </c>
      <c r="LL18" s="1" t="s">
        <v>0</v>
      </c>
      <c r="LM18" s="1" t="s">
        <v>2</v>
      </c>
      <c r="LN18" s="1" t="s">
        <v>2</v>
      </c>
      <c r="LO18" s="1" t="s">
        <v>4</v>
      </c>
      <c r="LT18" s="1" t="s">
        <v>0</v>
      </c>
      <c r="LU18" s="1" t="s">
        <v>0</v>
      </c>
      <c r="LV18" s="1" t="s">
        <v>2</v>
      </c>
      <c r="LW18" s="1" t="s">
        <v>4</v>
      </c>
      <c r="LX18" s="1" t="s">
        <v>4</v>
      </c>
      <c r="MC18" s="1" t="s">
        <v>0</v>
      </c>
      <c r="MD18" s="1" t="s">
        <v>2</v>
      </c>
      <c r="ME18" s="1" t="s">
        <v>2</v>
      </c>
      <c r="MF18" s="1" t="s">
        <v>4</v>
      </c>
      <c r="MG18" s="1" t="s">
        <v>4</v>
      </c>
      <c r="MK18" s="1" t="s">
        <v>0</v>
      </c>
      <c r="ML18" s="1" t="s">
        <v>0</v>
      </c>
      <c r="MM18" s="1" t="s">
        <v>2</v>
      </c>
      <c r="MN18" s="1" t="s">
        <v>2</v>
      </c>
      <c r="MO18" s="1" t="s">
        <v>4</v>
      </c>
      <c r="MP18" s="1" t="s">
        <v>4</v>
      </c>
      <c r="MT18" s="1" t="s">
        <v>0</v>
      </c>
      <c r="MU18" s="1" t="s">
        <v>0</v>
      </c>
      <c r="MV18" s="1" t="s">
        <v>2</v>
      </c>
      <c r="MW18" s="1" t="s">
        <v>2</v>
      </c>
      <c r="MX18" s="1" t="s">
        <v>4</v>
      </c>
      <c r="NC18" s="1" t="s">
        <v>0</v>
      </c>
      <c r="ND18" s="1" t="s">
        <v>0</v>
      </c>
    </row>
    <row r="19" spans="1:368">
      <c r="A19" s="1" t="s">
        <v>86</v>
      </c>
      <c r="B19" s="1" t="s">
        <v>86</v>
      </c>
      <c r="C19" s="1" t="s">
        <v>12</v>
      </c>
      <c r="D19" s="1" t="s">
        <v>2</v>
      </c>
      <c r="E19" s="1" t="s">
        <v>4</v>
      </c>
      <c r="F19" s="6" t="s">
        <v>87</v>
      </c>
      <c r="I19" s="46" t="s">
        <v>76</v>
      </c>
      <c r="J19" s="1" t="s">
        <v>0</v>
      </c>
      <c r="K19" s="46" t="s">
        <v>82</v>
      </c>
      <c r="L19" s="1" t="s">
        <v>2</v>
      </c>
      <c r="M19" s="1" t="s">
        <v>4</v>
      </c>
      <c r="N19" s="1" t="s">
        <v>4</v>
      </c>
      <c r="S19" s="1" t="s">
        <v>0</v>
      </c>
      <c r="T19" s="1" t="s">
        <v>2</v>
      </c>
      <c r="U19" s="1" t="s">
        <v>2</v>
      </c>
      <c r="V19" s="1" t="s">
        <v>4</v>
      </c>
      <c r="W19" s="1" t="s">
        <v>4</v>
      </c>
      <c r="AA19" s="1" t="s">
        <v>0</v>
      </c>
      <c r="AB19" s="1" t="s">
        <v>0</v>
      </c>
      <c r="AC19" s="1" t="s">
        <v>2</v>
      </c>
      <c r="AD19" s="1" t="s">
        <v>2</v>
      </c>
      <c r="AE19" s="1" t="s">
        <v>4</v>
      </c>
      <c r="AF19" s="1" t="s">
        <v>4</v>
      </c>
      <c r="AJ19" s="1" t="s">
        <v>0</v>
      </c>
      <c r="AK19" s="1" t="s">
        <v>0</v>
      </c>
      <c r="AL19" s="1" t="s">
        <v>2</v>
      </c>
      <c r="AM19" s="1" t="s">
        <v>2</v>
      </c>
      <c r="AN19" s="1" t="s">
        <v>4</v>
      </c>
      <c r="AS19" s="1" t="s">
        <v>0</v>
      </c>
      <c r="AT19" s="1" t="s">
        <v>0</v>
      </c>
      <c r="AU19" s="1" t="s">
        <v>2</v>
      </c>
      <c r="AV19" s="1" t="s">
        <v>4</v>
      </c>
      <c r="AW19" s="1" t="s">
        <v>4</v>
      </c>
      <c r="BB19" s="1" t="s">
        <v>0</v>
      </c>
      <c r="BC19" s="1" t="s">
        <v>2</v>
      </c>
      <c r="BD19" s="1" t="s">
        <v>2</v>
      </c>
      <c r="BE19" s="1" t="s">
        <v>4</v>
      </c>
      <c r="BF19" s="1" t="s">
        <v>4</v>
      </c>
      <c r="BJ19" s="1" t="s">
        <v>0</v>
      </c>
      <c r="BK19" s="1" t="s">
        <v>0</v>
      </c>
      <c r="BL19" s="1" t="s">
        <v>2</v>
      </c>
      <c r="BM19" s="1" t="s">
        <v>2</v>
      </c>
      <c r="BN19" s="1" t="s">
        <v>4</v>
      </c>
      <c r="BO19" s="1" t="s">
        <v>4</v>
      </c>
      <c r="BS19" s="1" t="s">
        <v>0</v>
      </c>
      <c r="BT19" s="1" t="s">
        <v>0</v>
      </c>
      <c r="BU19" s="1" t="s">
        <v>2</v>
      </c>
      <c r="BV19" s="1" t="s">
        <v>2</v>
      </c>
      <c r="BW19" s="1" t="s">
        <v>4</v>
      </c>
      <c r="CB19" s="1" t="s">
        <v>0</v>
      </c>
      <c r="CC19" s="1" t="s">
        <v>0</v>
      </c>
      <c r="CD19" s="1" t="s">
        <v>2</v>
      </c>
      <c r="CE19" s="1" t="s">
        <v>4</v>
      </c>
      <c r="CF19" s="1" t="s">
        <v>4</v>
      </c>
      <c r="CK19" s="1" t="s">
        <v>0</v>
      </c>
      <c r="CL19" s="1" t="s">
        <v>2</v>
      </c>
      <c r="CM19" s="1" t="s">
        <v>2</v>
      </c>
      <c r="CN19" s="1" t="s">
        <v>4</v>
      </c>
      <c r="CO19" s="1" t="s">
        <v>4</v>
      </c>
      <c r="CS19" s="1" t="s">
        <v>0</v>
      </c>
      <c r="CT19" s="1" t="s">
        <v>0</v>
      </c>
      <c r="CU19" s="1" t="s">
        <v>2</v>
      </c>
      <c r="CV19" s="1" t="s">
        <v>2</v>
      </c>
      <c r="CW19" s="1" t="s">
        <v>4</v>
      </c>
      <c r="CX19" s="1" t="s">
        <v>4</v>
      </c>
      <c r="DB19" s="1" t="s">
        <v>0</v>
      </c>
      <c r="DC19" s="1" t="s">
        <v>0</v>
      </c>
      <c r="DD19" s="1" t="s">
        <v>2</v>
      </c>
      <c r="DE19" s="1" t="s">
        <v>2</v>
      </c>
      <c r="DF19" s="1" t="s">
        <v>4</v>
      </c>
      <c r="DK19" s="1" t="s">
        <v>0</v>
      </c>
      <c r="DL19" s="1" t="s">
        <v>0</v>
      </c>
      <c r="DM19" s="1" t="s">
        <v>2</v>
      </c>
      <c r="DN19" s="1" t="s">
        <v>4</v>
      </c>
      <c r="DO19" s="1" t="s">
        <v>4</v>
      </c>
      <c r="DT19" s="1" t="s">
        <v>0</v>
      </c>
      <c r="DU19" s="1" t="s">
        <v>2</v>
      </c>
      <c r="DV19" s="1" t="s">
        <v>2</v>
      </c>
      <c r="DW19" s="1" t="s">
        <v>4</v>
      </c>
      <c r="DX19" s="1" t="s">
        <v>4</v>
      </c>
      <c r="EB19" s="1" t="s">
        <v>0</v>
      </c>
      <c r="EC19" s="1" t="s">
        <v>0</v>
      </c>
      <c r="ED19" s="1" t="s">
        <v>2</v>
      </c>
      <c r="EE19" s="1" t="s">
        <v>2</v>
      </c>
      <c r="EF19" s="1" t="s">
        <v>4</v>
      </c>
      <c r="EG19" s="1" t="s">
        <v>4</v>
      </c>
      <c r="EK19" s="1" t="s">
        <v>0</v>
      </c>
      <c r="EL19" s="1" t="s">
        <v>0</v>
      </c>
      <c r="EM19" s="1" t="s">
        <v>2</v>
      </c>
      <c r="EN19" s="1" t="s">
        <v>2</v>
      </c>
      <c r="EO19" s="1" t="s">
        <v>4</v>
      </c>
      <c r="ET19" s="1" t="s">
        <v>0</v>
      </c>
      <c r="EU19" s="1" t="s">
        <v>0</v>
      </c>
      <c r="EV19" s="1" t="s">
        <v>2</v>
      </c>
      <c r="EW19" s="1" t="s">
        <v>4</v>
      </c>
      <c r="EX19" s="1" t="s">
        <v>4</v>
      </c>
      <c r="FC19" s="1" t="s">
        <v>0</v>
      </c>
      <c r="FD19" s="1" t="s">
        <v>2</v>
      </c>
      <c r="FE19" s="1" t="s">
        <v>2</v>
      </c>
      <c r="FF19" s="1" t="s">
        <v>4</v>
      </c>
      <c r="FG19" s="1" t="s">
        <v>4</v>
      </c>
      <c r="FK19" s="1" t="s">
        <v>0</v>
      </c>
      <c r="FL19" s="1" t="s">
        <v>0</v>
      </c>
      <c r="FM19" s="1" t="s">
        <v>2</v>
      </c>
      <c r="FN19" s="1" t="s">
        <v>2</v>
      </c>
      <c r="FO19" s="1" t="s">
        <v>4</v>
      </c>
      <c r="FP19" s="1" t="s">
        <v>4</v>
      </c>
      <c r="FT19" s="1" t="s">
        <v>0</v>
      </c>
      <c r="FU19" s="1" t="s">
        <v>0</v>
      </c>
      <c r="FV19" s="1" t="s">
        <v>2</v>
      </c>
      <c r="FW19" s="1" t="s">
        <v>2</v>
      </c>
      <c r="FX19" s="1" t="s">
        <v>4</v>
      </c>
      <c r="GC19" s="1" t="s">
        <v>0</v>
      </c>
      <c r="GD19" s="1" t="s">
        <v>0</v>
      </c>
      <c r="GE19" s="1" t="s">
        <v>2</v>
      </c>
      <c r="GF19" s="1" t="s">
        <v>4</v>
      </c>
      <c r="GG19" s="1" t="s">
        <v>4</v>
      </c>
      <c r="GL19" s="1" t="s">
        <v>0</v>
      </c>
      <c r="GM19" s="1" t="s">
        <v>2</v>
      </c>
      <c r="GN19" s="1" t="s">
        <v>2</v>
      </c>
      <c r="GO19" s="1" t="s">
        <v>4</v>
      </c>
      <c r="GP19" s="1" t="s">
        <v>4</v>
      </c>
      <c r="GT19" s="1" t="s">
        <v>0</v>
      </c>
      <c r="GU19" s="1" t="s">
        <v>0</v>
      </c>
      <c r="GV19" s="1" t="s">
        <v>2</v>
      </c>
      <c r="GW19" s="1" t="s">
        <v>2</v>
      </c>
      <c r="GX19" s="1" t="s">
        <v>4</v>
      </c>
      <c r="GY19" s="1" t="s">
        <v>4</v>
      </c>
      <c r="HC19" s="1" t="s">
        <v>0</v>
      </c>
      <c r="HD19" s="1" t="s">
        <v>0</v>
      </c>
      <c r="HE19" s="1" t="s">
        <v>2</v>
      </c>
      <c r="HF19" s="1" t="s">
        <v>2</v>
      </c>
      <c r="HG19" s="1" t="s">
        <v>4</v>
      </c>
      <c r="HL19" s="1" t="s">
        <v>0</v>
      </c>
      <c r="HM19" s="1" t="s">
        <v>0</v>
      </c>
      <c r="HN19" s="1" t="s">
        <v>2</v>
      </c>
      <c r="HO19" s="1" t="s">
        <v>4</v>
      </c>
      <c r="HP19" s="1" t="s">
        <v>4</v>
      </c>
      <c r="HU19" s="1" t="s">
        <v>0</v>
      </c>
      <c r="HV19" s="1" t="s">
        <v>2</v>
      </c>
      <c r="HW19" s="1" t="s">
        <v>2</v>
      </c>
      <c r="HX19" s="1" t="s">
        <v>4</v>
      </c>
      <c r="HY19" s="1" t="s">
        <v>4</v>
      </c>
      <c r="IC19" s="1" t="s">
        <v>0</v>
      </c>
      <c r="ID19" s="1" t="s">
        <v>0</v>
      </c>
      <c r="IE19" s="1" t="s">
        <v>2</v>
      </c>
      <c r="IF19" s="1" t="s">
        <v>2</v>
      </c>
      <c r="IG19" s="1" t="s">
        <v>4</v>
      </c>
      <c r="IH19" s="1" t="s">
        <v>4</v>
      </c>
      <c r="IL19" s="1" t="s">
        <v>0</v>
      </c>
      <c r="IM19" s="1" t="s">
        <v>0</v>
      </c>
      <c r="IN19" s="1" t="s">
        <v>2</v>
      </c>
      <c r="IO19" s="1" t="s">
        <v>2</v>
      </c>
      <c r="IP19" s="1" t="s">
        <v>4</v>
      </c>
      <c r="IU19" s="1" t="s">
        <v>0</v>
      </c>
      <c r="IV19" s="1" t="s">
        <v>0</v>
      </c>
      <c r="IW19" s="1" t="s">
        <v>2</v>
      </c>
      <c r="IX19" s="1" t="s">
        <v>4</v>
      </c>
      <c r="IY19" s="1" t="s">
        <v>4</v>
      </c>
      <c r="JD19" s="1" t="s">
        <v>0</v>
      </c>
      <c r="JE19" s="1" t="s">
        <v>2</v>
      </c>
      <c r="JF19" s="1" t="s">
        <v>2</v>
      </c>
      <c r="JG19" s="1" t="s">
        <v>4</v>
      </c>
      <c r="JH19" s="1" t="s">
        <v>4</v>
      </c>
      <c r="JL19" s="1" t="s">
        <v>0</v>
      </c>
      <c r="JM19" s="1" t="s">
        <v>0</v>
      </c>
      <c r="JN19" s="1" t="s">
        <v>2</v>
      </c>
      <c r="JO19" s="1" t="s">
        <v>2</v>
      </c>
      <c r="JP19" s="1" t="s">
        <v>4</v>
      </c>
      <c r="JQ19" s="1" t="s">
        <v>4</v>
      </c>
      <c r="JU19" s="1" t="s">
        <v>0</v>
      </c>
      <c r="JV19" s="1" t="s">
        <v>0</v>
      </c>
      <c r="JW19" s="1" t="s">
        <v>2</v>
      </c>
      <c r="JX19" s="1" t="s">
        <v>2</v>
      </c>
      <c r="JY19" s="1" t="s">
        <v>4</v>
      </c>
      <c r="KD19" s="1" t="s">
        <v>0</v>
      </c>
      <c r="KE19" s="1" t="s">
        <v>0</v>
      </c>
      <c r="KF19" s="1" t="s">
        <v>2</v>
      </c>
      <c r="KG19" s="1" t="s">
        <v>4</v>
      </c>
      <c r="KH19" s="1" t="s">
        <v>4</v>
      </c>
      <c r="KM19" s="1" t="s">
        <v>0</v>
      </c>
      <c r="KN19" s="1" t="s">
        <v>2</v>
      </c>
      <c r="KO19" s="1" t="s">
        <v>2</v>
      </c>
      <c r="KP19" s="1" t="s">
        <v>4</v>
      </c>
      <c r="KQ19" s="1" t="s">
        <v>4</v>
      </c>
      <c r="KU19" s="1" t="s">
        <v>0</v>
      </c>
      <c r="KV19" s="1" t="s">
        <v>0</v>
      </c>
      <c r="KW19" s="1" t="s">
        <v>2</v>
      </c>
      <c r="KX19" s="1" t="s">
        <v>2</v>
      </c>
      <c r="KY19" s="1" t="s">
        <v>4</v>
      </c>
      <c r="KZ19" s="1" t="s">
        <v>4</v>
      </c>
      <c r="LD19" s="1" t="s">
        <v>0</v>
      </c>
      <c r="LE19" s="1" t="s">
        <v>0</v>
      </c>
      <c r="LF19" s="1" t="s">
        <v>2</v>
      </c>
      <c r="LG19" s="1" t="s">
        <v>2</v>
      </c>
      <c r="LH19" s="1" t="s">
        <v>4</v>
      </c>
      <c r="LM19" s="1" t="s">
        <v>0</v>
      </c>
      <c r="LN19" s="1" t="s">
        <v>0</v>
      </c>
      <c r="LO19" s="1" t="s">
        <v>2</v>
      </c>
      <c r="LP19" s="1" t="s">
        <v>4</v>
      </c>
      <c r="LQ19" s="1" t="s">
        <v>4</v>
      </c>
      <c r="LV19" s="1" t="s">
        <v>0</v>
      </c>
      <c r="LW19" s="1" t="s">
        <v>2</v>
      </c>
      <c r="LX19" s="1" t="s">
        <v>2</v>
      </c>
      <c r="LY19" s="1" t="s">
        <v>4</v>
      </c>
      <c r="LZ19" s="1" t="s">
        <v>4</v>
      </c>
      <c r="MD19" s="1" t="s">
        <v>0</v>
      </c>
      <c r="ME19" s="1" t="s">
        <v>0</v>
      </c>
      <c r="MF19" s="1" t="s">
        <v>2</v>
      </c>
      <c r="MG19" s="1" t="s">
        <v>2</v>
      </c>
      <c r="MH19" s="1" t="s">
        <v>4</v>
      </c>
      <c r="MI19" s="1" t="s">
        <v>4</v>
      </c>
      <c r="MM19" s="1" t="s">
        <v>0</v>
      </c>
      <c r="MN19" s="1" t="s">
        <v>0</v>
      </c>
      <c r="MO19" s="1" t="s">
        <v>2</v>
      </c>
      <c r="MP19" s="1" t="s">
        <v>2</v>
      </c>
      <c r="MQ19" s="1" t="s">
        <v>4</v>
      </c>
      <c r="MV19" s="1" t="s">
        <v>0</v>
      </c>
      <c r="MW19" s="1" t="s">
        <v>0</v>
      </c>
      <c r="MX19" s="1" t="s">
        <v>2</v>
      </c>
      <c r="MY19" s="1" t="s">
        <v>4</v>
      </c>
      <c r="MZ19" s="1" t="s">
        <v>4</v>
      </c>
    </row>
    <row r="20" spans="1:368">
      <c r="A20" s="1" t="s">
        <v>88</v>
      </c>
      <c r="B20" s="1" t="s">
        <v>88</v>
      </c>
      <c r="C20" s="1" t="s">
        <v>8</v>
      </c>
      <c r="D20" s="1" t="s">
        <v>8</v>
      </c>
      <c r="E20" s="1" t="s">
        <v>8</v>
      </c>
      <c r="H20" s="1" t="s">
        <v>8</v>
      </c>
      <c r="I20" s="1" t="s">
        <v>8</v>
      </c>
      <c r="J20" s="1" t="s">
        <v>8</v>
      </c>
      <c r="K20" s="1" t="s">
        <v>8</v>
      </c>
      <c r="L20" s="1" t="s">
        <v>8</v>
      </c>
      <c r="O20" s="1" t="s">
        <v>8</v>
      </c>
      <c r="P20" s="1" t="s">
        <v>8</v>
      </c>
      <c r="Q20" s="1" t="s">
        <v>8</v>
      </c>
      <c r="R20" s="1" t="s">
        <v>8</v>
      </c>
      <c r="S20" s="1" t="s">
        <v>8</v>
      </c>
      <c r="V20" s="1" t="s">
        <v>8</v>
      </c>
      <c r="W20" s="1" t="s">
        <v>8</v>
      </c>
      <c r="X20" s="1" t="s">
        <v>8</v>
      </c>
      <c r="Y20" s="1" t="s">
        <v>8</v>
      </c>
      <c r="Z20" s="1" t="s">
        <v>8</v>
      </c>
      <c r="AC20" s="1" t="s">
        <v>8</v>
      </c>
      <c r="AD20" s="1" t="s">
        <v>8</v>
      </c>
      <c r="AE20" s="1" t="s">
        <v>8</v>
      </c>
      <c r="AF20" s="1" t="s">
        <v>8</v>
      </c>
      <c r="AG20" s="1" t="s">
        <v>8</v>
      </c>
      <c r="AJ20" s="1" t="s">
        <v>8</v>
      </c>
      <c r="AK20" s="1" t="s">
        <v>8</v>
      </c>
      <c r="AL20" s="1" t="s">
        <v>8</v>
      </c>
      <c r="AM20" s="1" t="s">
        <v>8</v>
      </c>
      <c r="AN20" s="1" t="s">
        <v>8</v>
      </c>
      <c r="AQ20" s="1" t="s">
        <v>8</v>
      </c>
      <c r="AR20" s="1" t="s">
        <v>8</v>
      </c>
      <c r="AS20" s="1" t="s">
        <v>8</v>
      </c>
      <c r="AT20" s="1" t="s">
        <v>8</v>
      </c>
      <c r="AU20" s="1" t="s">
        <v>8</v>
      </c>
      <c r="AX20" s="1" t="s">
        <v>8</v>
      </c>
      <c r="AY20" s="1" t="s">
        <v>8</v>
      </c>
      <c r="AZ20" s="1" t="s">
        <v>8</v>
      </c>
      <c r="BA20" s="1" t="s">
        <v>8</v>
      </c>
      <c r="BB20" s="1" t="s">
        <v>8</v>
      </c>
      <c r="BE20" s="1" t="s">
        <v>8</v>
      </c>
      <c r="BF20" s="1" t="s">
        <v>8</v>
      </c>
      <c r="BG20" s="1" t="s">
        <v>8</v>
      </c>
      <c r="BH20" s="1" t="s">
        <v>8</v>
      </c>
      <c r="BI20" s="1" t="s">
        <v>8</v>
      </c>
      <c r="BL20" s="1" t="s">
        <v>8</v>
      </c>
      <c r="BM20" s="1" t="s">
        <v>8</v>
      </c>
      <c r="BN20" s="1" t="s">
        <v>8</v>
      </c>
      <c r="BO20" s="1" t="s">
        <v>8</v>
      </c>
      <c r="BP20" s="1" t="s">
        <v>8</v>
      </c>
      <c r="BS20" s="1" t="s">
        <v>8</v>
      </c>
      <c r="BT20" s="1" t="s">
        <v>8</v>
      </c>
      <c r="BU20" s="1" t="s">
        <v>8</v>
      </c>
      <c r="BV20" s="1" t="s">
        <v>8</v>
      </c>
      <c r="BW20" s="1" t="s">
        <v>8</v>
      </c>
      <c r="BZ20" s="1" t="s">
        <v>8</v>
      </c>
      <c r="CA20" s="1" t="s">
        <v>8</v>
      </c>
      <c r="CB20" s="1" t="s">
        <v>8</v>
      </c>
      <c r="CC20" s="1" t="s">
        <v>8</v>
      </c>
      <c r="CD20" s="1" t="s">
        <v>8</v>
      </c>
      <c r="CG20" s="1" t="s">
        <v>8</v>
      </c>
      <c r="CH20" s="1" t="s">
        <v>8</v>
      </c>
      <c r="CI20" s="1" t="s">
        <v>8</v>
      </c>
      <c r="CJ20" s="1" t="s">
        <v>8</v>
      </c>
      <c r="CK20" s="1" t="s">
        <v>8</v>
      </c>
      <c r="CN20" s="1" t="s">
        <v>8</v>
      </c>
      <c r="CO20" s="1" t="s">
        <v>8</v>
      </c>
      <c r="CP20" s="1" t="s">
        <v>8</v>
      </c>
      <c r="CQ20" s="1" t="s">
        <v>8</v>
      </c>
      <c r="CR20" s="1" t="s">
        <v>8</v>
      </c>
      <c r="CU20" s="1" t="s">
        <v>8</v>
      </c>
      <c r="CV20" s="1" t="s">
        <v>8</v>
      </c>
      <c r="CW20" s="1" t="s">
        <v>8</v>
      </c>
      <c r="CX20" s="1" t="s">
        <v>8</v>
      </c>
      <c r="CY20" s="1" t="s">
        <v>8</v>
      </c>
      <c r="DB20" s="1" t="s">
        <v>8</v>
      </c>
      <c r="DC20" s="1" t="s">
        <v>8</v>
      </c>
      <c r="DD20" s="1" t="s">
        <v>8</v>
      </c>
      <c r="DE20" s="1" t="s">
        <v>8</v>
      </c>
      <c r="DF20" s="1" t="s">
        <v>8</v>
      </c>
      <c r="DI20" s="1" t="s">
        <v>8</v>
      </c>
      <c r="DJ20" s="1" t="s">
        <v>8</v>
      </c>
      <c r="DK20" s="1" t="s">
        <v>8</v>
      </c>
      <c r="DL20" s="1" t="s">
        <v>8</v>
      </c>
      <c r="DM20" s="1" t="s">
        <v>8</v>
      </c>
      <c r="DP20" s="1" t="s">
        <v>8</v>
      </c>
      <c r="DQ20" s="1" t="s">
        <v>8</v>
      </c>
      <c r="DR20" s="1" t="s">
        <v>8</v>
      </c>
      <c r="DS20" s="1" t="s">
        <v>8</v>
      </c>
      <c r="DT20" s="1" t="s">
        <v>8</v>
      </c>
      <c r="DW20" s="1" t="s">
        <v>8</v>
      </c>
      <c r="DX20" s="1" t="s">
        <v>8</v>
      </c>
      <c r="DY20" s="1" t="s">
        <v>8</v>
      </c>
      <c r="DZ20" s="1" t="s">
        <v>8</v>
      </c>
      <c r="EA20" s="1" t="s">
        <v>8</v>
      </c>
      <c r="ED20" s="1" t="s">
        <v>8</v>
      </c>
      <c r="EE20" s="1" t="s">
        <v>8</v>
      </c>
      <c r="EF20" s="1" t="s">
        <v>8</v>
      </c>
      <c r="EG20" s="1" t="s">
        <v>8</v>
      </c>
      <c r="EH20" s="1" t="s">
        <v>8</v>
      </c>
      <c r="EK20" s="1" t="s">
        <v>8</v>
      </c>
      <c r="EL20" s="1" t="s">
        <v>8</v>
      </c>
      <c r="EM20" s="1" t="s">
        <v>8</v>
      </c>
      <c r="EN20" s="1" t="s">
        <v>8</v>
      </c>
      <c r="EO20" s="1" t="s">
        <v>8</v>
      </c>
      <c r="ER20" s="1" t="s">
        <v>8</v>
      </c>
      <c r="ES20" s="1" t="s">
        <v>8</v>
      </c>
      <c r="ET20" s="1" t="s">
        <v>8</v>
      </c>
      <c r="EU20" s="1" t="s">
        <v>8</v>
      </c>
      <c r="EV20" s="1" t="s">
        <v>8</v>
      </c>
      <c r="EY20" s="1" t="s">
        <v>8</v>
      </c>
      <c r="EZ20" s="1" t="s">
        <v>8</v>
      </c>
      <c r="FA20" s="1" t="s">
        <v>8</v>
      </c>
      <c r="FB20" s="1" t="s">
        <v>8</v>
      </c>
      <c r="FC20" s="1" t="s">
        <v>8</v>
      </c>
      <c r="FF20" s="1" t="s">
        <v>8</v>
      </c>
      <c r="FG20" s="1" t="s">
        <v>8</v>
      </c>
      <c r="FH20" s="1" t="s">
        <v>8</v>
      </c>
      <c r="FI20" s="1" t="s">
        <v>8</v>
      </c>
      <c r="FJ20" s="1" t="s">
        <v>8</v>
      </c>
      <c r="FM20" s="1" t="s">
        <v>8</v>
      </c>
      <c r="FN20" s="1" t="s">
        <v>8</v>
      </c>
      <c r="FO20" s="1" t="s">
        <v>8</v>
      </c>
      <c r="FP20" s="1" t="s">
        <v>8</v>
      </c>
      <c r="FQ20" s="1" t="s">
        <v>8</v>
      </c>
      <c r="FT20" s="1" t="s">
        <v>8</v>
      </c>
      <c r="FU20" s="1" t="s">
        <v>8</v>
      </c>
      <c r="FV20" s="1" t="s">
        <v>8</v>
      </c>
      <c r="FW20" s="1" t="s">
        <v>8</v>
      </c>
      <c r="FX20" s="1" t="s">
        <v>8</v>
      </c>
      <c r="GA20" s="1" t="s">
        <v>8</v>
      </c>
      <c r="GB20" s="1" t="s">
        <v>8</v>
      </c>
      <c r="GC20" s="1" t="s">
        <v>8</v>
      </c>
      <c r="GD20" s="1" t="s">
        <v>8</v>
      </c>
      <c r="GE20" s="1" t="s">
        <v>8</v>
      </c>
      <c r="GH20" s="1" t="s">
        <v>8</v>
      </c>
      <c r="GI20" s="1" t="s">
        <v>8</v>
      </c>
      <c r="GJ20" s="1" t="s">
        <v>8</v>
      </c>
      <c r="GK20" s="1" t="s">
        <v>8</v>
      </c>
      <c r="GL20" s="1" t="s">
        <v>8</v>
      </c>
      <c r="GO20" s="1" t="s">
        <v>8</v>
      </c>
      <c r="GP20" s="1" t="s">
        <v>8</v>
      </c>
      <c r="GQ20" s="1" t="s">
        <v>8</v>
      </c>
      <c r="GR20" s="1" t="s">
        <v>8</v>
      </c>
      <c r="GS20" s="1" t="s">
        <v>8</v>
      </c>
      <c r="GV20" s="1" t="s">
        <v>8</v>
      </c>
      <c r="GW20" s="1" t="s">
        <v>8</v>
      </c>
      <c r="GX20" s="1" t="s">
        <v>8</v>
      </c>
      <c r="GY20" s="1" t="s">
        <v>8</v>
      </c>
      <c r="GZ20" s="1" t="s">
        <v>8</v>
      </c>
      <c r="HC20" s="1" t="s">
        <v>8</v>
      </c>
      <c r="HD20" s="1" t="s">
        <v>8</v>
      </c>
      <c r="HE20" s="1" t="s">
        <v>8</v>
      </c>
      <c r="HF20" s="1" t="s">
        <v>8</v>
      </c>
      <c r="HG20" s="1" t="s">
        <v>8</v>
      </c>
      <c r="HJ20" s="1" t="s">
        <v>8</v>
      </c>
      <c r="HK20" s="1" t="s">
        <v>8</v>
      </c>
      <c r="HL20" s="1" t="s">
        <v>8</v>
      </c>
      <c r="HM20" s="1" t="s">
        <v>8</v>
      </c>
      <c r="HN20" s="1" t="s">
        <v>8</v>
      </c>
      <c r="HQ20" s="1" t="s">
        <v>8</v>
      </c>
      <c r="HR20" s="1" t="s">
        <v>8</v>
      </c>
      <c r="HS20" s="1" t="s">
        <v>8</v>
      </c>
      <c r="HT20" s="1" t="s">
        <v>8</v>
      </c>
      <c r="HU20" s="1" t="s">
        <v>8</v>
      </c>
      <c r="HX20" s="1" t="s">
        <v>8</v>
      </c>
      <c r="HY20" s="1" t="s">
        <v>8</v>
      </c>
      <c r="HZ20" s="1" t="s">
        <v>8</v>
      </c>
      <c r="IA20" s="1" t="s">
        <v>8</v>
      </c>
      <c r="IB20" s="1" t="s">
        <v>8</v>
      </c>
      <c r="IE20" s="1" t="s">
        <v>8</v>
      </c>
      <c r="IF20" s="1" t="s">
        <v>8</v>
      </c>
      <c r="IG20" s="1" t="s">
        <v>8</v>
      </c>
      <c r="IH20" s="1" t="s">
        <v>8</v>
      </c>
      <c r="II20" s="1" t="s">
        <v>8</v>
      </c>
      <c r="IL20" s="1" t="s">
        <v>8</v>
      </c>
      <c r="IM20" s="1" t="s">
        <v>8</v>
      </c>
      <c r="IN20" s="1" t="s">
        <v>8</v>
      </c>
      <c r="IO20" s="1" t="s">
        <v>8</v>
      </c>
      <c r="IP20" s="1" t="s">
        <v>8</v>
      </c>
      <c r="IS20" s="1" t="s">
        <v>8</v>
      </c>
      <c r="IT20" s="1" t="s">
        <v>8</v>
      </c>
      <c r="IU20" s="1" t="s">
        <v>8</v>
      </c>
      <c r="IV20" s="1" t="s">
        <v>8</v>
      </c>
      <c r="IW20" s="1" t="s">
        <v>8</v>
      </c>
      <c r="IZ20" s="1" t="s">
        <v>8</v>
      </c>
      <c r="JA20" s="1" t="s">
        <v>8</v>
      </c>
      <c r="JB20" s="1" t="s">
        <v>8</v>
      </c>
      <c r="JC20" s="1" t="s">
        <v>8</v>
      </c>
      <c r="JD20" s="1" t="s">
        <v>8</v>
      </c>
      <c r="JG20" s="1" t="s">
        <v>8</v>
      </c>
      <c r="JH20" s="1" t="s">
        <v>8</v>
      </c>
      <c r="JI20" s="1" t="s">
        <v>8</v>
      </c>
      <c r="JJ20" s="1" t="s">
        <v>8</v>
      </c>
      <c r="JK20" s="1" t="s">
        <v>8</v>
      </c>
      <c r="JN20" s="1" t="s">
        <v>8</v>
      </c>
      <c r="JO20" s="1" t="s">
        <v>8</v>
      </c>
      <c r="JP20" s="1" t="s">
        <v>8</v>
      </c>
      <c r="JQ20" s="1" t="s">
        <v>8</v>
      </c>
      <c r="JR20" s="1" t="s">
        <v>8</v>
      </c>
      <c r="JU20" s="1" t="s">
        <v>8</v>
      </c>
      <c r="JV20" s="1" t="s">
        <v>8</v>
      </c>
      <c r="JW20" s="1" t="s">
        <v>8</v>
      </c>
      <c r="JX20" s="1" t="s">
        <v>8</v>
      </c>
      <c r="JY20" s="1" t="s">
        <v>8</v>
      </c>
      <c r="KB20" s="1" t="s">
        <v>8</v>
      </c>
      <c r="KC20" s="1" t="s">
        <v>8</v>
      </c>
      <c r="KD20" s="1" t="s">
        <v>8</v>
      </c>
      <c r="KE20" s="1" t="s">
        <v>8</v>
      </c>
      <c r="KF20" s="1" t="s">
        <v>8</v>
      </c>
      <c r="KI20" s="1" t="s">
        <v>8</v>
      </c>
      <c r="KJ20" s="1" t="s">
        <v>8</v>
      </c>
      <c r="KK20" s="1" t="s">
        <v>8</v>
      </c>
      <c r="KL20" s="1" t="s">
        <v>8</v>
      </c>
      <c r="KM20" s="1" t="s">
        <v>8</v>
      </c>
      <c r="KP20" s="1" t="s">
        <v>8</v>
      </c>
      <c r="KQ20" s="1" t="s">
        <v>8</v>
      </c>
      <c r="KR20" s="1" t="s">
        <v>8</v>
      </c>
      <c r="KS20" s="1" t="s">
        <v>8</v>
      </c>
      <c r="KT20" s="1" t="s">
        <v>8</v>
      </c>
      <c r="KW20" s="1" t="s">
        <v>8</v>
      </c>
      <c r="KX20" s="1" t="s">
        <v>8</v>
      </c>
      <c r="KY20" s="1" t="s">
        <v>8</v>
      </c>
      <c r="KZ20" s="1" t="s">
        <v>8</v>
      </c>
      <c r="LA20" s="1" t="s">
        <v>8</v>
      </c>
      <c r="LD20" s="1" t="s">
        <v>8</v>
      </c>
      <c r="LE20" s="1" t="s">
        <v>8</v>
      </c>
      <c r="LF20" s="1" t="s">
        <v>8</v>
      </c>
      <c r="LG20" s="1" t="s">
        <v>8</v>
      </c>
      <c r="LH20" s="1" t="s">
        <v>8</v>
      </c>
      <c r="LK20" s="1" t="s">
        <v>8</v>
      </c>
      <c r="LL20" s="1" t="s">
        <v>8</v>
      </c>
      <c r="LM20" s="1" t="s">
        <v>8</v>
      </c>
      <c r="LN20" s="1" t="s">
        <v>8</v>
      </c>
      <c r="LO20" s="1" t="s">
        <v>8</v>
      </c>
      <c r="LR20" s="1" t="s">
        <v>8</v>
      </c>
      <c r="LS20" s="1" t="s">
        <v>8</v>
      </c>
      <c r="LT20" s="1" t="s">
        <v>8</v>
      </c>
      <c r="LU20" s="1" t="s">
        <v>8</v>
      </c>
      <c r="LV20" s="1" t="s">
        <v>8</v>
      </c>
      <c r="LY20" s="1" t="s">
        <v>8</v>
      </c>
      <c r="LZ20" s="1" t="s">
        <v>8</v>
      </c>
      <c r="MA20" s="1" t="s">
        <v>8</v>
      </c>
      <c r="MB20" s="1" t="s">
        <v>8</v>
      </c>
      <c r="MC20" s="1" t="s">
        <v>8</v>
      </c>
      <c r="MF20" s="1" t="s">
        <v>8</v>
      </c>
      <c r="MG20" s="1" t="s">
        <v>8</v>
      </c>
      <c r="MH20" s="1" t="s">
        <v>8</v>
      </c>
      <c r="MI20" s="1" t="s">
        <v>8</v>
      </c>
      <c r="MJ20" s="1" t="s">
        <v>8</v>
      </c>
      <c r="MM20" s="1" t="s">
        <v>8</v>
      </c>
      <c r="MN20" s="1" t="s">
        <v>8</v>
      </c>
      <c r="MO20" s="1" t="s">
        <v>8</v>
      </c>
      <c r="MP20" s="1" t="s">
        <v>8</v>
      </c>
      <c r="MQ20" s="1" t="s">
        <v>8</v>
      </c>
      <c r="MT20" s="1" t="s">
        <v>8</v>
      </c>
      <c r="MU20" s="1" t="s">
        <v>8</v>
      </c>
      <c r="MV20" s="1" t="s">
        <v>8</v>
      </c>
      <c r="MW20" s="1" t="s">
        <v>8</v>
      </c>
      <c r="NA20" s="1" t="s">
        <v>8</v>
      </c>
      <c r="NB20" s="1" t="s">
        <v>8</v>
      </c>
      <c r="NC20" s="1" t="s">
        <v>8</v>
      </c>
      <c r="ND20" s="1" t="s">
        <v>8</v>
      </c>
    </row>
    <row r="21" spans="1:368">
      <c r="A21" s="1" t="s">
        <v>89</v>
      </c>
      <c r="B21" s="1" t="s">
        <v>89</v>
      </c>
      <c r="C21" s="1" t="s">
        <v>8</v>
      </c>
      <c r="D21" s="1" t="s">
        <v>8</v>
      </c>
      <c r="H21" s="1" t="s">
        <v>8</v>
      </c>
      <c r="I21" s="1" t="s">
        <v>8</v>
      </c>
      <c r="J21" s="1" t="s">
        <v>8</v>
      </c>
      <c r="K21" s="1" t="s">
        <v>8</v>
      </c>
      <c r="O21" s="1" t="s">
        <v>8</v>
      </c>
      <c r="P21" s="1" t="s">
        <v>8</v>
      </c>
      <c r="Q21" s="1" t="s">
        <v>8</v>
      </c>
      <c r="R21" s="1" t="s">
        <v>8</v>
      </c>
      <c r="V21" s="1" t="s">
        <v>8</v>
      </c>
      <c r="W21" s="1" t="s">
        <v>8</v>
      </c>
      <c r="X21" s="1" t="s">
        <v>8</v>
      </c>
      <c r="Y21" s="1" t="s">
        <v>6</v>
      </c>
      <c r="AC21" s="1" t="s">
        <v>8</v>
      </c>
      <c r="AD21" s="1" t="s">
        <v>8</v>
      </c>
      <c r="AE21" s="1" t="s">
        <v>8</v>
      </c>
      <c r="AF21" s="1" t="s">
        <v>8</v>
      </c>
      <c r="AJ21" s="1" t="s">
        <v>8</v>
      </c>
      <c r="AK21" s="1" t="s">
        <v>8</v>
      </c>
      <c r="AL21" s="1" t="s">
        <v>8</v>
      </c>
      <c r="AM21" s="1" t="s">
        <v>8</v>
      </c>
      <c r="AQ21" s="1" t="s">
        <v>8</v>
      </c>
      <c r="AR21" s="1" t="s">
        <v>8</v>
      </c>
      <c r="AS21" s="1" t="s">
        <v>8</v>
      </c>
      <c r="AT21" s="1" t="s">
        <v>8</v>
      </c>
      <c r="AX21" s="1" t="s">
        <v>8</v>
      </c>
      <c r="AY21" s="1" t="s">
        <v>8</v>
      </c>
      <c r="AZ21" s="1" t="s">
        <v>8</v>
      </c>
      <c r="BA21" s="1" t="s">
        <v>8</v>
      </c>
      <c r="BB21" s="1" t="s">
        <v>8</v>
      </c>
      <c r="BE21" s="1" t="s">
        <v>8</v>
      </c>
      <c r="BF21" s="1" t="s">
        <v>8</v>
      </c>
      <c r="BG21" s="1" t="s">
        <v>8</v>
      </c>
      <c r="BH21" s="1" t="s">
        <v>8</v>
      </c>
      <c r="BL21" s="1" t="s">
        <v>8</v>
      </c>
      <c r="BM21" s="1" t="s">
        <v>8</v>
      </c>
      <c r="BN21" s="1" t="s">
        <v>8</v>
      </c>
      <c r="BO21" s="1" t="s">
        <v>8</v>
      </c>
      <c r="BS21" s="1" t="s">
        <v>8</v>
      </c>
      <c r="BT21" s="1" t="s">
        <v>8</v>
      </c>
      <c r="BU21" s="1" t="s">
        <v>8</v>
      </c>
      <c r="BV21" s="1" t="s">
        <v>8</v>
      </c>
      <c r="BZ21" s="1" t="s">
        <v>8</v>
      </c>
      <c r="CA21" s="1" t="s">
        <v>8</v>
      </c>
      <c r="CB21" s="1" t="s">
        <v>8</v>
      </c>
      <c r="CC21" s="1" t="s">
        <v>8</v>
      </c>
      <c r="CG21" s="1" t="s">
        <v>8</v>
      </c>
      <c r="CH21" s="1" t="s">
        <v>8</v>
      </c>
      <c r="CI21" s="1" t="s">
        <v>8</v>
      </c>
      <c r="CJ21" s="1" t="s">
        <v>8</v>
      </c>
      <c r="CN21" s="1" t="s">
        <v>8</v>
      </c>
      <c r="CO21" s="1" t="s">
        <v>8</v>
      </c>
      <c r="CP21" s="1" t="s">
        <v>8</v>
      </c>
      <c r="CQ21" s="1" t="s">
        <v>8</v>
      </c>
      <c r="CU21" s="1" t="s">
        <v>8</v>
      </c>
      <c r="CV21" s="1" t="s">
        <v>8</v>
      </c>
      <c r="CW21" s="1" t="s">
        <v>8</v>
      </c>
      <c r="CX21" s="1" t="s">
        <v>8</v>
      </c>
      <c r="DB21" s="1" t="s">
        <v>8</v>
      </c>
      <c r="DC21" s="1" t="s">
        <v>8</v>
      </c>
      <c r="DD21" s="1" t="s">
        <v>8</v>
      </c>
      <c r="DE21" s="1" t="s">
        <v>8</v>
      </c>
      <c r="DI21" s="1" t="s">
        <v>8</v>
      </c>
      <c r="DJ21" s="1" t="s">
        <v>8</v>
      </c>
      <c r="DK21" s="1" t="s">
        <v>8</v>
      </c>
      <c r="DL21" s="1" t="s">
        <v>8</v>
      </c>
      <c r="DP21" s="1" t="s">
        <v>8</v>
      </c>
      <c r="DQ21" s="1" t="s">
        <v>8</v>
      </c>
      <c r="DR21" s="1" t="s">
        <v>8</v>
      </c>
      <c r="DS21" s="1" t="s">
        <v>8</v>
      </c>
      <c r="DW21" s="1" t="s">
        <v>8</v>
      </c>
      <c r="DX21" s="1" t="s">
        <v>8</v>
      </c>
      <c r="DY21" s="1" t="s">
        <v>8</v>
      </c>
      <c r="DZ21" s="1" t="s">
        <v>8</v>
      </c>
      <c r="ED21" s="1" t="s">
        <v>8</v>
      </c>
      <c r="EE21" s="1" t="s">
        <v>8</v>
      </c>
      <c r="EF21" s="1" t="s">
        <v>8</v>
      </c>
      <c r="EG21" s="1" t="s">
        <v>8</v>
      </c>
      <c r="EK21" s="1" t="s">
        <v>8</v>
      </c>
      <c r="EL21" s="1" t="s">
        <v>8</v>
      </c>
      <c r="EM21" s="1" t="s">
        <v>8</v>
      </c>
      <c r="EN21" s="1" t="s">
        <v>8</v>
      </c>
      <c r="ER21" s="1" t="s">
        <v>8</v>
      </c>
      <c r="ES21" s="1" t="s">
        <v>8</v>
      </c>
      <c r="ET21" s="1" t="s">
        <v>8</v>
      </c>
      <c r="EU21" s="1" t="s">
        <v>8</v>
      </c>
      <c r="EY21" s="1" t="s">
        <v>8</v>
      </c>
      <c r="EZ21" s="1" t="s">
        <v>8</v>
      </c>
      <c r="FA21" s="1" t="s">
        <v>8</v>
      </c>
      <c r="FB21" s="1" t="s">
        <v>8</v>
      </c>
      <c r="FF21" s="1" t="s">
        <v>8</v>
      </c>
      <c r="FG21" s="1" t="s">
        <v>8</v>
      </c>
      <c r="FH21" s="1" t="s">
        <v>8</v>
      </c>
      <c r="FI21" s="1" t="s">
        <v>8</v>
      </c>
      <c r="FM21" s="1" t="s">
        <v>8</v>
      </c>
      <c r="FN21" s="1" t="s">
        <v>8</v>
      </c>
      <c r="FO21" s="1" t="s">
        <v>8</v>
      </c>
      <c r="FP21" s="1" t="s">
        <v>8</v>
      </c>
      <c r="FT21" s="1" t="s">
        <v>8</v>
      </c>
      <c r="FU21" s="1" t="s">
        <v>8</v>
      </c>
      <c r="FV21" s="1" t="s">
        <v>8</v>
      </c>
      <c r="FW21" s="1" t="s">
        <v>8</v>
      </c>
      <c r="GA21" s="1" t="s">
        <v>8</v>
      </c>
      <c r="GB21" s="1" t="s">
        <v>8</v>
      </c>
      <c r="GC21" s="1" t="s">
        <v>8</v>
      </c>
      <c r="GD21" s="1" t="s">
        <v>8</v>
      </c>
      <c r="GH21" s="1" t="s">
        <v>8</v>
      </c>
      <c r="GI21" s="1" t="s">
        <v>8</v>
      </c>
      <c r="GJ21" s="1" t="s">
        <v>8</v>
      </c>
      <c r="GK21" s="1" t="s">
        <v>8</v>
      </c>
      <c r="GO21" s="1" t="s">
        <v>8</v>
      </c>
      <c r="GP21" s="1" t="s">
        <v>8</v>
      </c>
      <c r="GQ21" s="1" t="s">
        <v>8</v>
      </c>
      <c r="GR21" s="1" t="s">
        <v>8</v>
      </c>
      <c r="GV21" s="1" t="s">
        <v>8</v>
      </c>
      <c r="GW21" s="1" t="s">
        <v>8</v>
      </c>
      <c r="GX21" s="1" t="s">
        <v>8</v>
      </c>
      <c r="GY21" s="1" t="s">
        <v>8</v>
      </c>
      <c r="HC21" s="1" t="s">
        <v>8</v>
      </c>
      <c r="HD21" s="1" t="s">
        <v>8</v>
      </c>
      <c r="HE21" s="1" t="s">
        <v>8</v>
      </c>
      <c r="HF21" s="1" t="s">
        <v>8</v>
      </c>
      <c r="HJ21" s="1" t="s">
        <v>8</v>
      </c>
      <c r="HK21" s="1" t="s">
        <v>8</v>
      </c>
      <c r="HL21" s="1" t="s">
        <v>8</v>
      </c>
      <c r="HM21" s="1" t="s">
        <v>8</v>
      </c>
      <c r="HQ21" s="1" t="s">
        <v>8</v>
      </c>
      <c r="HR21" s="1" t="s">
        <v>8</v>
      </c>
      <c r="HS21" s="1" t="s">
        <v>8</v>
      </c>
      <c r="HT21" s="1" t="s">
        <v>8</v>
      </c>
      <c r="HX21" s="1" t="s">
        <v>8</v>
      </c>
      <c r="HY21" s="1" t="s">
        <v>8</v>
      </c>
      <c r="HZ21" s="1" t="s">
        <v>8</v>
      </c>
      <c r="IA21" s="1" t="s">
        <v>8</v>
      </c>
      <c r="IE21" s="1" t="s">
        <v>8</v>
      </c>
      <c r="IF21" s="1" t="s">
        <v>8</v>
      </c>
      <c r="IG21" s="1" t="s">
        <v>8</v>
      </c>
      <c r="IH21" s="1" t="s">
        <v>8</v>
      </c>
      <c r="IL21" s="1" t="s">
        <v>8</v>
      </c>
      <c r="IM21" s="1" t="s">
        <v>8</v>
      </c>
      <c r="IN21" s="1" t="s">
        <v>8</v>
      </c>
      <c r="IO21" s="1" t="s">
        <v>8</v>
      </c>
      <c r="IS21" s="1" t="s">
        <v>8</v>
      </c>
      <c r="IT21" s="1" t="s">
        <v>8</v>
      </c>
      <c r="IU21" s="1" t="s">
        <v>8</v>
      </c>
      <c r="IV21" s="1" t="s">
        <v>8</v>
      </c>
      <c r="IZ21" s="1" t="s">
        <v>8</v>
      </c>
      <c r="JA21" s="1" t="s">
        <v>8</v>
      </c>
      <c r="JB21" s="1" t="s">
        <v>8</v>
      </c>
      <c r="JC21" s="1" t="s">
        <v>8</v>
      </c>
      <c r="JG21" s="1" t="s">
        <v>8</v>
      </c>
      <c r="JH21" s="1" t="s">
        <v>8</v>
      </c>
      <c r="JI21" s="1" t="s">
        <v>8</v>
      </c>
      <c r="JJ21" s="1" t="s">
        <v>8</v>
      </c>
      <c r="JN21" s="1" t="s">
        <v>8</v>
      </c>
      <c r="JO21" s="1" t="s">
        <v>8</v>
      </c>
      <c r="JP21" s="1" t="s">
        <v>8</v>
      </c>
      <c r="JQ21" s="1" t="s">
        <v>8</v>
      </c>
      <c r="JU21" s="1" t="s">
        <v>8</v>
      </c>
      <c r="JV21" s="1" t="s">
        <v>8</v>
      </c>
      <c r="JW21" s="1" t="s">
        <v>8</v>
      </c>
      <c r="JX21" s="1" t="s">
        <v>8</v>
      </c>
      <c r="KB21" s="1" t="s">
        <v>8</v>
      </c>
      <c r="KC21" s="1" t="s">
        <v>8</v>
      </c>
      <c r="KD21" s="1" t="s">
        <v>8</v>
      </c>
      <c r="KE21" s="1" t="s">
        <v>8</v>
      </c>
      <c r="KI21" s="1" t="s">
        <v>8</v>
      </c>
      <c r="KJ21" s="1" t="s">
        <v>8</v>
      </c>
      <c r="KK21" s="1" t="s">
        <v>8</v>
      </c>
      <c r="KL21" s="1" t="s">
        <v>8</v>
      </c>
      <c r="KP21" s="1" t="s">
        <v>8</v>
      </c>
      <c r="KQ21" s="1" t="s">
        <v>8</v>
      </c>
      <c r="KR21" s="1" t="s">
        <v>8</v>
      </c>
      <c r="KS21" s="1" t="s">
        <v>8</v>
      </c>
      <c r="KW21" s="1" t="s">
        <v>8</v>
      </c>
      <c r="KX21" s="1" t="s">
        <v>8</v>
      </c>
      <c r="KY21" s="1" t="s">
        <v>8</v>
      </c>
      <c r="KZ21" s="1" t="s">
        <v>8</v>
      </c>
      <c r="LD21" s="1" t="s">
        <v>8</v>
      </c>
      <c r="LE21" s="1" t="s">
        <v>8</v>
      </c>
      <c r="LF21" s="1" t="s">
        <v>8</v>
      </c>
      <c r="LG21" s="1" t="s">
        <v>8</v>
      </c>
      <c r="LK21" s="1" t="s">
        <v>8</v>
      </c>
      <c r="LL21" s="1" t="s">
        <v>8</v>
      </c>
      <c r="LM21" s="1" t="s">
        <v>8</v>
      </c>
      <c r="LN21" s="1" t="s">
        <v>8</v>
      </c>
      <c r="LR21" s="1" t="s">
        <v>8</v>
      </c>
      <c r="LS21" s="1" t="s">
        <v>8</v>
      </c>
      <c r="LT21" s="1" t="s">
        <v>8</v>
      </c>
      <c r="LU21" s="1" t="s">
        <v>8</v>
      </c>
      <c r="LY21" s="1" t="s">
        <v>8</v>
      </c>
      <c r="LZ21" s="1" t="s">
        <v>8</v>
      </c>
      <c r="MA21" s="1" t="s">
        <v>8</v>
      </c>
      <c r="MB21" s="1" t="s">
        <v>8</v>
      </c>
      <c r="MF21" s="1" t="s">
        <v>8</v>
      </c>
      <c r="MG21" s="1" t="s">
        <v>8</v>
      </c>
      <c r="MH21" s="1" t="s">
        <v>8</v>
      </c>
      <c r="MI21" s="1" t="s">
        <v>8</v>
      </c>
      <c r="MM21" s="1" t="s">
        <v>8</v>
      </c>
      <c r="MN21" s="1" t="s">
        <v>8</v>
      </c>
      <c r="MO21" s="1" t="s">
        <v>8</v>
      </c>
      <c r="MP21" s="1" t="s">
        <v>8</v>
      </c>
      <c r="MT21" s="1" t="s">
        <v>8</v>
      </c>
      <c r="MU21" s="1" t="s">
        <v>8</v>
      </c>
      <c r="MV21" s="1" t="s">
        <v>8</v>
      </c>
      <c r="MW21" s="1" t="s">
        <v>8</v>
      </c>
      <c r="NA21" s="1" t="s">
        <v>8</v>
      </c>
      <c r="NB21" s="1" t="s">
        <v>8</v>
      </c>
      <c r="NC21" s="1" t="s">
        <v>8</v>
      </c>
      <c r="ND21" s="1" t="s">
        <v>8</v>
      </c>
    </row>
    <row r="22" spans="1:368">
      <c r="A22" s="1" t="s">
        <v>90</v>
      </c>
      <c r="B22" s="1" t="s">
        <v>90</v>
      </c>
      <c r="C22" s="1" t="s">
        <v>8</v>
      </c>
      <c r="D22" s="1" t="s">
        <v>8</v>
      </c>
      <c r="E22" s="1" t="s">
        <v>8</v>
      </c>
      <c r="H22" s="1" t="s">
        <v>8</v>
      </c>
      <c r="J22" s="1" t="s">
        <v>8</v>
      </c>
      <c r="K22" s="1" t="s">
        <v>8</v>
      </c>
      <c r="L22" s="1" t="s">
        <v>8</v>
      </c>
      <c r="O22" s="1" t="s">
        <v>8</v>
      </c>
      <c r="Q22" s="1" t="s">
        <v>8</v>
      </c>
      <c r="R22" s="1" t="s">
        <v>8</v>
      </c>
      <c r="S22" s="1" t="s">
        <v>8</v>
      </c>
      <c r="V22" s="1" t="s">
        <v>8</v>
      </c>
      <c r="X22" s="1" t="s">
        <v>8</v>
      </c>
      <c r="Y22" s="1" t="s">
        <v>8</v>
      </c>
      <c r="Z22" s="1" t="s">
        <v>8</v>
      </c>
      <c r="AC22" s="1" t="s">
        <v>8</v>
      </c>
      <c r="AE22" s="1" t="s">
        <v>8</v>
      </c>
      <c r="AF22" s="1" t="s">
        <v>8</v>
      </c>
      <c r="AG22" s="1" t="s">
        <v>8</v>
      </c>
      <c r="AJ22" s="1" t="s">
        <v>8</v>
      </c>
      <c r="AL22" s="1" t="s">
        <v>8</v>
      </c>
      <c r="AM22" s="1" t="s">
        <v>8</v>
      </c>
      <c r="AN22" s="1" t="s">
        <v>8</v>
      </c>
      <c r="AQ22" s="1" t="s">
        <v>8</v>
      </c>
      <c r="AS22" s="1" t="s">
        <v>8</v>
      </c>
      <c r="AT22" s="1" t="s">
        <v>8</v>
      </c>
      <c r="AU22" s="1" t="s">
        <v>8</v>
      </c>
      <c r="AX22" s="1" t="s">
        <v>8</v>
      </c>
      <c r="AZ22" s="1" t="s">
        <v>8</v>
      </c>
      <c r="BA22" s="1" t="s">
        <v>8</v>
      </c>
      <c r="BB22" s="1" t="s">
        <v>8</v>
      </c>
      <c r="BE22" s="1" t="s">
        <v>8</v>
      </c>
      <c r="BG22" s="1" t="s">
        <v>8</v>
      </c>
      <c r="BH22" s="1" t="s">
        <v>8</v>
      </c>
      <c r="BI22" s="1" t="s">
        <v>8</v>
      </c>
      <c r="BL22" s="1" t="s">
        <v>8</v>
      </c>
      <c r="BN22" s="1" t="s">
        <v>8</v>
      </c>
      <c r="BO22" s="1" t="s">
        <v>8</v>
      </c>
      <c r="BP22" s="1" t="s">
        <v>8</v>
      </c>
      <c r="BS22" s="1" t="s">
        <v>8</v>
      </c>
      <c r="BU22" s="1" t="s">
        <v>8</v>
      </c>
      <c r="BV22" s="1" t="s">
        <v>8</v>
      </c>
      <c r="BW22" s="1" t="s">
        <v>8</v>
      </c>
      <c r="BZ22" s="1" t="s">
        <v>8</v>
      </c>
      <c r="CB22" s="1" t="s">
        <v>8</v>
      </c>
      <c r="CC22" s="1" t="s">
        <v>8</v>
      </c>
      <c r="CD22" s="1" t="s">
        <v>8</v>
      </c>
      <c r="CG22" s="1" t="s">
        <v>8</v>
      </c>
      <c r="CI22" s="1" t="s">
        <v>8</v>
      </c>
      <c r="CJ22" s="1" t="s">
        <v>8</v>
      </c>
      <c r="CK22" s="1" t="s">
        <v>8</v>
      </c>
      <c r="CN22" s="1" t="s">
        <v>8</v>
      </c>
      <c r="CP22" s="1" t="s">
        <v>8</v>
      </c>
      <c r="CQ22" s="1" t="s">
        <v>8</v>
      </c>
      <c r="CR22" s="1" t="s">
        <v>8</v>
      </c>
      <c r="CU22" s="1" t="s">
        <v>8</v>
      </c>
      <c r="CW22" s="1" t="s">
        <v>8</v>
      </c>
      <c r="CX22" s="1" t="s">
        <v>8</v>
      </c>
      <c r="CY22" s="1" t="s">
        <v>8</v>
      </c>
      <c r="DB22" s="1" t="s">
        <v>8</v>
      </c>
      <c r="DD22" s="1" t="s">
        <v>8</v>
      </c>
      <c r="DE22" s="1" t="s">
        <v>8</v>
      </c>
      <c r="DF22" s="1" t="s">
        <v>8</v>
      </c>
      <c r="DI22" s="1" t="s">
        <v>8</v>
      </c>
      <c r="DK22" s="1" t="s">
        <v>8</v>
      </c>
      <c r="DL22" s="1" t="s">
        <v>8</v>
      </c>
      <c r="DM22" s="1" t="s">
        <v>8</v>
      </c>
      <c r="DP22" s="1" t="s">
        <v>8</v>
      </c>
      <c r="DR22" s="1" t="s">
        <v>8</v>
      </c>
      <c r="DS22" s="1" t="s">
        <v>8</v>
      </c>
      <c r="DT22" s="1" t="s">
        <v>8</v>
      </c>
      <c r="DW22" s="1" t="s">
        <v>8</v>
      </c>
      <c r="DY22" s="1" t="s">
        <v>8</v>
      </c>
      <c r="DZ22" s="1" t="s">
        <v>8</v>
      </c>
      <c r="EA22" s="1" t="s">
        <v>8</v>
      </c>
      <c r="ED22" s="1" t="s">
        <v>8</v>
      </c>
      <c r="EF22" s="1" t="s">
        <v>8</v>
      </c>
      <c r="EG22" s="1" t="s">
        <v>8</v>
      </c>
      <c r="EH22" s="1" t="s">
        <v>8</v>
      </c>
      <c r="EK22" s="1" t="s">
        <v>8</v>
      </c>
      <c r="EM22" s="1" t="s">
        <v>8</v>
      </c>
      <c r="EN22" s="1" t="s">
        <v>8</v>
      </c>
      <c r="EO22" s="1" t="s">
        <v>8</v>
      </c>
      <c r="ER22" s="1" t="s">
        <v>8</v>
      </c>
      <c r="ET22" s="1" t="s">
        <v>8</v>
      </c>
      <c r="EU22" s="1" t="s">
        <v>8</v>
      </c>
      <c r="EV22" s="1" t="s">
        <v>8</v>
      </c>
      <c r="EY22" s="1" t="s">
        <v>8</v>
      </c>
      <c r="FA22" s="1" t="s">
        <v>8</v>
      </c>
      <c r="FB22" s="1" t="s">
        <v>8</v>
      </c>
      <c r="FC22" s="1" t="s">
        <v>8</v>
      </c>
      <c r="FF22" s="1" t="s">
        <v>8</v>
      </c>
      <c r="FH22" s="1" t="s">
        <v>8</v>
      </c>
      <c r="FI22" s="1" t="s">
        <v>8</v>
      </c>
      <c r="FJ22" s="1" t="s">
        <v>8</v>
      </c>
      <c r="FM22" s="1" t="s">
        <v>8</v>
      </c>
      <c r="FO22" s="1" t="s">
        <v>8</v>
      </c>
      <c r="FP22" s="1" t="s">
        <v>8</v>
      </c>
      <c r="FQ22" s="1" t="s">
        <v>8</v>
      </c>
      <c r="FT22" s="1" t="s">
        <v>8</v>
      </c>
      <c r="FV22" s="1" t="s">
        <v>8</v>
      </c>
      <c r="FW22" s="1" t="s">
        <v>8</v>
      </c>
      <c r="FX22" s="1" t="s">
        <v>8</v>
      </c>
      <c r="GA22" s="1" t="s">
        <v>8</v>
      </c>
      <c r="GC22" s="1" t="s">
        <v>8</v>
      </c>
      <c r="GD22" s="1" t="s">
        <v>8</v>
      </c>
      <c r="GE22" s="1" t="s">
        <v>8</v>
      </c>
      <c r="GH22" s="1" t="s">
        <v>8</v>
      </c>
      <c r="GJ22" s="1" t="s">
        <v>8</v>
      </c>
      <c r="GK22" s="1" t="s">
        <v>8</v>
      </c>
      <c r="GL22" s="1" t="s">
        <v>8</v>
      </c>
      <c r="GO22" s="1" t="s">
        <v>8</v>
      </c>
      <c r="GQ22" s="1" t="s">
        <v>8</v>
      </c>
      <c r="GR22" s="1" t="s">
        <v>8</v>
      </c>
      <c r="GS22" s="1" t="s">
        <v>8</v>
      </c>
      <c r="GV22" s="1" t="s">
        <v>8</v>
      </c>
      <c r="GX22" s="1" t="s">
        <v>8</v>
      </c>
      <c r="GY22" s="1" t="s">
        <v>8</v>
      </c>
      <c r="GZ22" s="1" t="s">
        <v>8</v>
      </c>
      <c r="HC22" s="1" t="s">
        <v>8</v>
      </c>
      <c r="HE22" s="1" t="s">
        <v>8</v>
      </c>
      <c r="HF22" s="1" t="s">
        <v>8</v>
      </c>
      <c r="HG22" s="1" t="s">
        <v>8</v>
      </c>
      <c r="HJ22" s="1" t="s">
        <v>8</v>
      </c>
      <c r="HL22" s="1" t="s">
        <v>8</v>
      </c>
      <c r="HM22" s="1" t="s">
        <v>8</v>
      </c>
      <c r="HN22" s="1" t="s">
        <v>8</v>
      </c>
      <c r="HQ22" s="1" t="s">
        <v>8</v>
      </c>
      <c r="HS22" s="1" t="s">
        <v>8</v>
      </c>
      <c r="HT22" s="1" t="s">
        <v>8</v>
      </c>
      <c r="HU22" s="1" t="s">
        <v>8</v>
      </c>
      <c r="HX22" s="1" t="s">
        <v>8</v>
      </c>
      <c r="HZ22" s="1" t="s">
        <v>8</v>
      </c>
      <c r="IA22" s="1" t="s">
        <v>8</v>
      </c>
      <c r="IB22" s="1" t="s">
        <v>8</v>
      </c>
      <c r="IE22" s="1" t="s">
        <v>8</v>
      </c>
      <c r="IG22" s="1" t="s">
        <v>8</v>
      </c>
      <c r="IH22" s="1" t="s">
        <v>8</v>
      </c>
      <c r="II22" s="1" t="s">
        <v>8</v>
      </c>
      <c r="IL22" s="1" t="s">
        <v>8</v>
      </c>
      <c r="IN22" s="1" t="s">
        <v>8</v>
      </c>
      <c r="IO22" s="1" t="s">
        <v>8</v>
      </c>
      <c r="IP22" s="1" t="s">
        <v>8</v>
      </c>
      <c r="IS22" s="1" t="s">
        <v>8</v>
      </c>
      <c r="IU22" s="1" t="s">
        <v>8</v>
      </c>
      <c r="IV22" s="1" t="s">
        <v>8</v>
      </c>
      <c r="IW22" s="1" t="s">
        <v>8</v>
      </c>
      <c r="IZ22" s="1" t="s">
        <v>8</v>
      </c>
      <c r="JB22" s="1" t="s">
        <v>8</v>
      </c>
      <c r="JC22" s="1" t="s">
        <v>8</v>
      </c>
      <c r="JD22" s="1" t="s">
        <v>8</v>
      </c>
      <c r="JG22" s="1" t="s">
        <v>8</v>
      </c>
      <c r="JI22" s="1" t="s">
        <v>8</v>
      </c>
      <c r="JJ22" s="1" t="s">
        <v>8</v>
      </c>
      <c r="JK22" s="1" t="s">
        <v>8</v>
      </c>
      <c r="JN22" s="1" t="s">
        <v>8</v>
      </c>
      <c r="JP22" s="1" t="s">
        <v>8</v>
      </c>
      <c r="JQ22" s="1" t="s">
        <v>8</v>
      </c>
      <c r="JR22" s="1" t="s">
        <v>8</v>
      </c>
      <c r="JU22" s="1" t="s">
        <v>8</v>
      </c>
      <c r="JW22" s="1" t="s">
        <v>8</v>
      </c>
      <c r="JX22" s="1" t="s">
        <v>8</v>
      </c>
      <c r="JY22" s="1" t="s">
        <v>8</v>
      </c>
      <c r="KB22" s="1" t="s">
        <v>8</v>
      </c>
      <c r="KD22" s="1" t="s">
        <v>8</v>
      </c>
      <c r="KE22" s="1" t="s">
        <v>8</v>
      </c>
      <c r="KF22" s="1" t="s">
        <v>8</v>
      </c>
      <c r="KI22" s="1" t="s">
        <v>8</v>
      </c>
      <c r="KK22" s="1" t="s">
        <v>8</v>
      </c>
      <c r="KL22" s="1" t="s">
        <v>8</v>
      </c>
      <c r="KM22" s="1" t="s">
        <v>8</v>
      </c>
      <c r="KP22" s="1" t="s">
        <v>8</v>
      </c>
      <c r="KR22" s="1" t="s">
        <v>8</v>
      </c>
      <c r="KS22" s="1" t="s">
        <v>8</v>
      </c>
      <c r="KT22" s="1" t="s">
        <v>8</v>
      </c>
      <c r="KW22" s="1" t="s">
        <v>8</v>
      </c>
      <c r="KY22" s="1" t="s">
        <v>8</v>
      </c>
      <c r="KZ22" s="1" t="s">
        <v>8</v>
      </c>
      <c r="LA22" s="1" t="s">
        <v>8</v>
      </c>
      <c r="LD22" s="1" t="s">
        <v>8</v>
      </c>
      <c r="LF22" s="1" t="s">
        <v>8</v>
      </c>
      <c r="LG22" s="1" t="s">
        <v>8</v>
      </c>
      <c r="LH22" s="1" t="s">
        <v>8</v>
      </c>
      <c r="LK22" s="1" t="s">
        <v>8</v>
      </c>
      <c r="LM22" s="1" t="s">
        <v>8</v>
      </c>
      <c r="LN22" s="1" t="s">
        <v>8</v>
      </c>
      <c r="LO22" s="1" t="s">
        <v>8</v>
      </c>
      <c r="LR22" s="1" t="s">
        <v>8</v>
      </c>
      <c r="LT22" s="1" t="s">
        <v>8</v>
      </c>
      <c r="LU22" s="1" t="s">
        <v>8</v>
      </c>
      <c r="LV22" s="1" t="s">
        <v>8</v>
      </c>
      <c r="LY22" s="1" t="s">
        <v>8</v>
      </c>
      <c r="MA22" s="1" t="s">
        <v>8</v>
      </c>
      <c r="MB22" s="1" t="s">
        <v>8</v>
      </c>
      <c r="MC22" s="1" t="s">
        <v>8</v>
      </c>
      <c r="MF22" s="1" t="s">
        <v>8</v>
      </c>
      <c r="MH22" s="1" t="s">
        <v>8</v>
      </c>
      <c r="MI22" s="1" t="s">
        <v>8</v>
      </c>
      <c r="MJ22" s="1" t="s">
        <v>8</v>
      </c>
      <c r="MM22" s="1" t="s">
        <v>8</v>
      </c>
      <c r="MO22" s="1" t="s">
        <v>8</v>
      </c>
      <c r="MP22" s="1" t="s">
        <v>8</v>
      </c>
      <c r="MQ22" s="1" t="s">
        <v>8</v>
      </c>
      <c r="MT22" s="1" t="s">
        <v>8</v>
      </c>
      <c r="MV22" s="1" t="s">
        <v>8</v>
      </c>
      <c r="MW22" s="1" t="s">
        <v>8</v>
      </c>
      <c r="MX22" s="1" t="s">
        <v>8</v>
      </c>
      <c r="NA22" s="1" t="s">
        <v>8</v>
      </c>
      <c r="NC22" s="1" t="s">
        <v>8</v>
      </c>
      <c r="ND22" s="1" t="s">
        <v>8</v>
      </c>
    </row>
    <row r="23" spans="1:368">
      <c r="A23" s="1" t="s">
        <v>91</v>
      </c>
      <c r="B23" s="1" t="s">
        <v>91</v>
      </c>
      <c r="E23" s="1" t="s">
        <v>0</v>
      </c>
      <c r="F23" s="1" t="s">
        <v>2</v>
      </c>
      <c r="G23" s="1" t="s">
        <v>0</v>
      </c>
      <c r="J23" s="1" t="s">
        <v>8</v>
      </c>
      <c r="K23" s="1" t="s">
        <v>8</v>
      </c>
      <c r="L23" s="1" t="s">
        <v>8</v>
      </c>
      <c r="O23" s="1" t="s">
        <v>8</v>
      </c>
      <c r="P23" s="1" t="s">
        <v>8</v>
      </c>
      <c r="Q23" s="1" t="s">
        <v>8</v>
      </c>
      <c r="R23" s="1" t="s">
        <v>8</v>
      </c>
      <c r="S23" s="1" t="s">
        <v>8</v>
      </c>
      <c r="V23" s="1" t="s">
        <v>8</v>
      </c>
      <c r="W23" s="1" t="s">
        <v>8</v>
      </c>
      <c r="X23" s="1" t="s">
        <v>8</v>
      </c>
      <c r="Y23" s="1" t="s">
        <v>8</v>
      </c>
      <c r="Z23" s="1" t="s">
        <v>8</v>
      </c>
      <c r="AC23" s="1" t="s">
        <v>8</v>
      </c>
      <c r="AD23" s="1" t="s">
        <v>8</v>
      </c>
      <c r="AE23" s="1" t="s">
        <v>8</v>
      </c>
      <c r="AF23" s="1" t="s">
        <v>8</v>
      </c>
      <c r="AG23" s="1" t="s">
        <v>8</v>
      </c>
      <c r="AJ23" s="1" t="s">
        <v>8</v>
      </c>
      <c r="AK23" s="1" t="s">
        <v>8</v>
      </c>
      <c r="AL23" s="1" t="s">
        <v>6</v>
      </c>
      <c r="AM23" s="1" t="s">
        <v>8</v>
      </c>
      <c r="AN23" s="1" t="s">
        <v>8</v>
      </c>
      <c r="AQ23" s="1" t="s">
        <v>8</v>
      </c>
      <c r="AR23" s="1" t="s">
        <v>8</v>
      </c>
      <c r="AS23" s="1" t="s">
        <v>8</v>
      </c>
      <c r="AT23" s="1" t="s">
        <v>8</v>
      </c>
      <c r="AU23" s="1" t="s">
        <v>8</v>
      </c>
      <c r="AX23" s="1" t="s">
        <v>8</v>
      </c>
      <c r="AY23" s="1" t="s">
        <v>8</v>
      </c>
      <c r="AZ23" s="1" t="s">
        <v>8</v>
      </c>
      <c r="BA23" s="1" t="s">
        <v>8</v>
      </c>
      <c r="BB23" s="1" t="s">
        <v>8</v>
      </c>
      <c r="BE23" s="1" t="s">
        <v>6</v>
      </c>
      <c r="BF23" s="1" t="s">
        <v>6</v>
      </c>
      <c r="BG23" s="1" t="s">
        <v>6</v>
      </c>
      <c r="BH23" s="1" t="s">
        <v>8</v>
      </c>
      <c r="BI23" s="1" t="s">
        <v>8</v>
      </c>
      <c r="BL23" s="1" t="s">
        <v>8</v>
      </c>
      <c r="BM23" s="1" t="s">
        <v>8</v>
      </c>
      <c r="BN23" s="1" t="s">
        <v>8</v>
      </c>
      <c r="BO23" s="1" t="s">
        <v>8</v>
      </c>
      <c r="BP23" s="1" t="s">
        <v>8</v>
      </c>
      <c r="BS23" s="1" t="s">
        <v>8</v>
      </c>
      <c r="BT23" s="1" t="s">
        <v>8</v>
      </c>
      <c r="BU23" s="1" t="s">
        <v>8</v>
      </c>
      <c r="BV23" s="1" t="s">
        <v>8</v>
      </c>
      <c r="BW23" s="1" t="s">
        <v>8</v>
      </c>
      <c r="BZ23" s="1" t="s">
        <v>8</v>
      </c>
      <c r="CA23" s="1" t="s">
        <v>8</v>
      </c>
      <c r="CB23" s="1" t="s">
        <v>8</v>
      </c>
      <c r="CC23" s="1" t="s">
        <v>8</v>
      </c>
      <c r="CD23" s="1" t="s">
        <v>8</v>
      </c>
      <c r="CG23" s="1" t="s">
        <v>8</v>
      </c>
      <c r="CH23" s="1" t="s">
        <v>8</v>
      </c>
      <c r="CI23" s="1" t="s">
        <v>8</v>
      </c>
      <c r="CJ23" s="1" t="s">
        <v>8</v>
      </c>
      <c r="CK23" s="1" t="s">
        <v>8</v>
      </c>
      <c r="CN23" s="1" t="s">
        <v>6</v>
      </c>
      <c r="CO23" s="1" t="s">
        <v>6</v>
      </c>
      <c r="CP23" s="1" t="s">
        <v>6</v>
      </c>
      <c r="CQ23" s="1" t="s">
        <v>6</v>
      </c>
      <c r="CR23" s="1" t="s">
        <v>6</v>
      </c>
      <c r="CU23" s="1" t="s">
        <v>6</v>
      </c>
      <c r="CV23" s="1" t="s">
        <v>6</v>
      </c>
      <c r="CW23" s="1" t="s">
        <v>6</v>
      </c>
      <c r="CX23" s="1" t="s">
        <v>8</v>
      </c>
      <c r="CY23" s="1" t="s">
        <v>8</v>
      </c>
      <c r="DB23" s="1" t="s">
        <v>8</v>
      </c>
      <c r="DC23" s="1" t="s">
        <v>8</v>
      </c>
      <c r="DD23" s="1" t="s">
        <v>8</v>
      </c>
      <c r="DE23" s="1" t="s">
        <v>8</v>
      </c>
      <c r="DF23" s="1" t="s">
        <v>8</v>
      </c>
      <c r="DI23" s="1" t="s">
        <v>8</v>
      </c>
      <c r="DJ23" s="1" t="s">
        <v>8</v>
      </c>
      <c r="DK23" s="1" t="s">
        <v>8</v>
      </c>
      <c r="DL23" s="1" t="s">
        <v>8</v>
      </c>
      <c r="DM23" s="1" t="s">
        <v>8</v>
      </c>
      <c r="DP23" s="1" t="s">
        <v>8</v>
      </c>
      <c r="DQ23" s="1" t="s">
        <v>8</v>
      </c>
      <c r="DR23" s="1" t="s">
        <v>8</v>
      </c>
      <c r="DS23" s="1" t="s">
        <v>8</v>
      </c>
      <c r="DT23" s="1" t="s">
        <v>8</v>
      </c>
      <c r="DW23" s="1" t="s">
        <v>8</v>
      </c>
      <c r="DX23" s="1" t="s">
        <v>8</v>
      </c>
      <c r="DY23" s="1" t="s">
        <v>8</v>
      </c>
      <c r="DZ23" s="1" t="s">
        <v>8</v>
      </c>
      <c r="EA23" s="1" t="s">
        <v>8</v>
      </c>
      <c r="ED23" s="1" t="s">
        <v>8</v>
      </c>
      <c r="EE23" s="1" t="s">
        <v>8</v>
      </c>
      <c r="EF23" s="1" t="s">
        <v>8</v>
      </c>
      <c r="EG23" s="1" t="s">
        <v>8</v>
      </c>
      <c r="EH23" s="1" t="s">
        <v>8</v>
      </c>
      <c r="EK23" s="1" t="s">
        <v>8</v>
      </c>
      <c r="EL23" s="1" t="s">
        <v>8</v>
      </c>
      <c r="EM23" s="1" t="s">
        <v>8</v>
      </c>
      <c r="EN23" s="1" t="s">
        <v>8</v>
      </c>
      <c r="EO23" s="1" t="s">
        <v>8</v>
      </c>
      <c r="ER23" s="1" t="s">
        <v>8</v>
      </c>
      <c r="ES23" s="1" t="s">
        <v>8</v>
      </c>
      <c r="ET23" s="1" t="s">
        <v>8</v>
      </c>
      <c r="EU23" s="1" t="s">
        <v>8</v>
      </c>
      <c r="EV23" s="1" t="s">
        <v>8</v>
      </c>
      <c r="EY23" s="1" t="s">
        <v>8</v>
      </c>
      <c r="EZ23" s="1" t="s">
        <v>8</v>
      </c>
      <c r="FA23" s="1" t="s">
        <v>8</v>
      </c>
      <c r="FB23" s="1" t="s">
        <v>8</v>
      </c>
      <c r="FC23" s="1" t="s">
        <v>8</v>
      </c>
      <c r="FF23" s="1" t="s">
        <v>8</v>
      </c>
      <c r="FG23" s="1" t="s">
        <v>8</v>
      </c>
      <c r="FH23" s="1" t="s">
        <v>8</v>
      </c>
      <c r="FI23" s="1" t="s">
        <v>8</v>
      </c>
      <c r="FJ23" s="1" t="s">
        <v>8</v>
      </c>
      <c r="FM23" s="1" t="s">
        <v>8</v>
      </c>
      <c r="FN23" s="1" t="s">
        <v>8</v>
      </c>
      <c r="FO23" s="1" t="s">
        <v>8</v>
      </c>
      <c r="FP23" s="1" t="s">
        <v>8</v>
      </c>
      <c r="FQ23" s="1" t="s">
        <v>8</v>
      </c>
      <c r="FT23" s="1" t="s">
        <v>8</v>
      </c>
      <c r="FU23" s="1" t="s">
        <v>8</v>
      </c>
      <c r="FV23" s="1" t="s">
        <v>8</v>
      </c>
      <c r="FW23" s="1" t="s">
        <v>8</v>
      </c>
      <c r="FX23" s="1" t="s">
        <v>8</v>
      </c>
      <c r="GA23" s="1" t="s">
        <v>8</v>
      </c>
      <c r="GB23" s="1" t="s">
        <v>8</v>
      </c>
      <c r="GC23" s="1" t="s">
        <v>8</v>
      </c>
      <c r="GD23" s="1" t="s">
        <v>8</v>
      </c>
      <c r="GE23" s="1" t="s">
        <v>8</v>
      </c>
      <c r="GH23" s="1" t="s">
        <v>8</v>
      </c>
      <c r="GI23" s="1" t="s">
        <v>8</v>
      </c>
      <c r="GJ23" s="1" t="s">
        <v>8</v>
      </c>
      <c r="GK23" s="1" t="s">
        <v>8</v>
      </c>
      <c r="GL23" s="1" t="s">
        <v>8</v>
      </c>
      <c r="GO23" s="1" t="s">
        <v>8</v>
      </c>
      <c r="GP23" s="1" t="s">
        <v>8</v>
      </c>
      <c r="GQ23" s="1" t="s">
        <v>8</v>
      </c>
      <c r="GR23" s="1" t="s">
        <v>8</v>
      </c>
      <c r="GS23" s="1" t="s">
        <v>8</v>
      </c>
      <c r="GV23" s="1" t="s">
        <v>8</v>
      </c>
      <c r="GW23" s="1" t="s">
        <v>8</v>
      </c>
      <c r="GX23" s="1" t="s">
        <v>8</v>
      </c>
      <c r="GY23" s="1" t="s">
        <v>8</v>
      </c>
      <c r="GZ23" s="1" t="s">
        <v>8</v>
      </c>
      <c r="HC23" s="1" t="s">
        <v>8</v>
      </c>
      <c r="HD23" s="1" t="s">
        <v>8</v>
      </c>
      <c r="HE23" s="1" t="s">
        <v>8</v>
      </c>
      <c r="HF23" s="1" t="s">
        <v>8</v>
      </c>
      <c r="HG23" s="1" t="s">
        <v>8</v>
      </c>
      <c r="HJ23" s="1" t="s">
        <v>8</v>
      </c>
      <c r="HK23" s="1" t="s">
        <v>8</v>
      </c>
      <c r="HL23" s="1" t="s">
        <v>8</v>
      </c>
      <c r="HM23" s="1" t="s">
        <v>8</v>
      </c>
      <c r="HN23" s="1" t="s">
        <v>8</v>
      </c>
      <c r="HQ23" s="1" t="s">
        <v>8</v>
      </c>
      <c r="HR23" s="1" t="s">
        <v>8</v>
      </c>
      <c r="HS23" s="1" t="s">
        <v>8</v>
      </c>
      <c r="HT23" s="1" t="s">
        <v>8</v>
      </c>
      <c r="HU23" s="1" t="s">
        <v>8</v>
      </c>
      <c r="HX23" s="1" t="s">
        <v>8</v>
      </c>
      <c r="HY23" s="1" t="s">
        <v>8</v>
      </c>
      <c r="HZ23" s="1" t="s">
        <v>8</v>
      </c>
      <c r="IA23" s="1" t="s">
        <v>8</v>
      </c>
      <c r="IB23" s="1" t="s">
        <v>8</v>
      </c>
      <c r="IE23" s="1" t="s">
        <v>8</v>
      </c>
      <c r="IF23" s="1" t="s">
        <v>8</v>
      </c>
      <c r="IG23" s="1" t="s">
        <v>8</v>
      </c>
      <c r="IH23" s="1" t="s">
        <v>8</v>
      </c>
      <c r="II23" s="1" t="s">
        <v>8</v>
      </c>
      <c r="IL23" s="1" t="s">
        <v>8</v>
      </c>
      <c r="IM23" s="1" t="s">
        <v>8</v>
      </c>
      <c r="IN23" s="1" t="s">
        <v>8</v>
      </c>
      <c r="IO23" s="1" t="s">
        <v>8</v>
      </c>
      <c r="IP23" s="1" t="s">
        <v>8</v>
      </c>
      <c r="IS23" s="1" t="s">
        <v>8</v>
      </c>
      <c r="IT23" s="1" t="s">
        <v>8</v>
      </c>
      <c r="IU23" s="1" t="s">
        <v>8</v>
      </c>
      <c r="IV23" s="1" t="s">
        <v>8</v>
      </c>
      <c r="IW23" s="1" t="s">
        <v>8</v>
      </c>
      <c r="IZ23" s="1" t="s">
        <v>8</v>
      </c>
      <c r="JA23" s="1" t="s">
        <v>8</v>
      </c>
      <c r="JB23" s="1" t="s">
        <v>8</v>
      </c>
      <c r="JC23" s="1" t="s">
        <v>8</v>
      </c>
      <c r="JD23" s="1" t="s">
        <v>8</v>
      </c>
      <c r="JG23" s="1" t="s">
        <v>8</v>
      </c>
      <c r="JH23" s="1" t="s">
        <v>8</v>
      </c>
      <c r="JI23" s="1" t="s">
        <v>8</v>
      </c>
      <c r="JJ23" s="1" t="s">
        <v>8</v>
      </c>
      <c r="JK23" s="1" t="s">
        <v>8</v>
      </c>
      <c r="JN23" s="1" t="s">
        <v>8</v>
      </c>
      <c r="JO23" s="1" t="s">
        <v>8</v>
      </c>
      <c r="JP23" s="1" t="s">
        <v>8</v>
      </c>
      <c r="JQ23" s="1" t="s">
        <v>8</v>
      </c>
      <c r="JR23" s="1" t="s">
        <v>8</v>
      </c>
      <c r="JU23" s="1" t="s">
        <v>8</v>
      </c>
      <c r="JV23" s="1" t="s">
        <v>8</v>
      </c>
      <c r="JW23" s="1" t="s">
        <v>8</v>
      </c>
      <c r="JX23" s="1" t="s">
        <v>8</v>
      </c>
      <c r="JY23" s="1" t="s">
        <v>8</v>
      </c>
      <c r="KB23" s="1" t="s">
        <v>8</v>
      </c>
      <c r="KC23" s="1" t="s">
        <v>8</v>
      </c>
      <c r="KD23" s="1" t="s">
        <v>8</v>
      </c>
      <c r="KE23" s="1" t="s">
        <v>8</v>
      </c>
      <c r="KF23" s="1" t="s">
        <v>8</v>
      </c>
      <c r="KI23" s="1" t="s">
        <v>8</v>
      </c>
      <c r="KJ23" s="1" t="s">
        <v>8</v>
      </c>
      <c r="KK23" s="1" t="s">
        <v>8</v>
      </c>
      <c r="KL23" s="1" t="s">
        <v>8</v>
      </c>
      <c r="KM23" s="1" t="s">
        <v>8</v>
      </c>
      <c r="KP23" s="1" t="s">
        <v>8</v>
      </c>
      <c r="KQ23" s="1" t="s">
        <v>8</v>
      </c>
      <c r="KR23" s="1" t="s">
        <v>8</v>
      </c>
      <c r="KS23" s="1" t="s">
        <v>8</v>
      </c>
      <c r="KT23" s="1" t="s">
        <v>8</v>
      </c>
      <c r="KW23" s="1" t="s">
        <v>8</v>
      </c>
      <c r="KX23" s="1" t="s">
        <v>8</v>
      </c>
      <c r="KY23" s="1" t="s">
        <v>8</v>
      </c>
      <c r="KZ23" s="1" t="s">
        <v>8</v>
      </c>
      <c r="LA23" s="1" t="s">
        <v>8</v>
      </c>
      <c r="LD23" s="1" t="s">
        <v>8</v>
      </c>
      <c r="LE23" s="1" t="s">
        <v>8</v>
      </c>
      <c r="LF23" s="1" t="s">
        <v>8</v>
      </c>
      <c r="LG23" s="1" t="s">
        <v>8</v>
      </c>
      <c r="LH23" s="1" t="s">
        <v>8</v>
      </c>
      <c r="LK23" s="1" t="s">
        <v>8</v>
      </c>
      <c r="LL23" s="1" t="s">
        <v>8</v>
      </c>
      <c r="LM23" s="1" t="s">
        <v>8</v>
      </c>
      <c r="LN23" s="1" t="s">
        <v>8</v>
      </c>
      <c r="LO23" s="1" t="s">
        <v>8</v>
      </c>
      <c r="LR23" s="1" t="s">
        <v>8</v>
      </c>
      <c r="LS23" s="1" t="s">
        <v>8</v>
      </c>
      <c r="LT23" s="1" t="s">
        <v>8</v>
      </c>
      <c r="LU23" s="1" t="s">
        <v>8</v>
      </c>
      <c r="LV23" s="1" t="s">
        <v>8</v>
      </c>
      <c r="LY23" s="1" t="s">
        <v>8</v>
      </c>
      <c r="LZ23" s="1" t="s">
        <v>8</v>
      </c>
      <c r="MA23" s="1" t="s">
        <v>8</v>
      </c>
      <c r="MB23" s="1" t="s">
        <v>8</v>
      </c>
      <c r="MC23" s="1" t="s">
        <v>8</v>
      </c>
      <c r="MF23" s="1" t="s">
        <v>8</v>
      </c>
      <c r="MG23" s="1" t="s">
        <v>8</v>
      </c>
      <c r="MH23" s="1" t="s">
        <v>8</v>
      </c>
      <c r="MI23" s="1" t="s">
        <v>8</v>
      </c>
      <c r="MJ23" s="1" t="s">
        <v>8</v>
      </c>
      <c r="MM23" s="1" t="s">
        <v>8</v>
      </c>
      <c r="MN23" s="1" t="s">
        <v>8</v>
      </c>
      <c r="MO23" s="1" t="s">
        <v>8</v>
      </c>
      <c r="MP23" s="1" t="s">
        <v>8</v>
      </c>
      <c r="MQ23" s="1" t="s">
        <v>8</v>
      </c>
      <c r="MT23" s="1" t="s">
        <v>8</v>
      </c>
      <c r="MU23" s="1" t="s">
        <v>8</v>
      </c>
      <c r="MV23" s="1" t="s">
        <v>8</v>
      </c>
      <c r="MW23" s="1" t="s">
        <v>8</v>
      </c>
      <c r="NA23" s="1" t="s">
        <v>8</v>
      </c>
      <c r="NB23" s="1" t="s">
        <v>8</v>
      </c>
      <c r="NC23" s="1" t="s">
        <v>8</v>
      </c>
      <c r="ND23" s="1" t="s">
        <v>8</v>
      </c>
    </row>
    <row r="24" spans="1:368">
      <c r="AY24" s="1" t="s">
        <v>92</v>
      </c>
    </row>
    <row r="26" spans="1:368">
      <c r="A26" s="1" t="s">
        <v>93</v>
      </c>
      <c r="B26" s="1" t="s">
        <v>94</v>
      </c>
    </row>
    <row r="27" spans="1:368">
      <c r="A27" s="1" t="s">
        <v>95</v>
      </c>
      <c r="B27" s="1" t="s">
        <v>96</v>
      </c>
    </row>
  </sheetData>
  <conditionalFormatting sqref="A1:XFD1048576">
    <cfRule type="cellIs" dxfId="1100" priority="1" operator="equal">
      <formula>"r"</formula>
    </cfRule>
    <cfRule type="cellIs" dxfId="1099" priority="2" operator="equal">
      <formula>"z"</formula>
    </cfRule>
    <cfRule type="cellIs" dxfId="1098" priority="3" operator="equal">
      <formula>"x"</formula>
    </cfRule>
    <cfRule type="cellIs" dxfId="1097" priority="4" operator="equal">
      <formula>"v"</formula>
    </cfRule>
    <cfRule type="cellIs" dxfId="1096" priority="5" operator="equal">
      <formula>"n"</formula>
    </cfRule>
    <cfRule type="cellIs" dxfId="1095" priority="6" operator="equal">
      <formula>"m"</formula>
    </cfRule>
    <cfRule type="cellIs" dxfId="1094" priority="7" operator="equal">
      <formula>"o"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EA7CE-EDDD-4CA1-AA27-1133D18D60EA}">
  <dimension ref="A1:ND57"/>
  <sheetViews>
    <sheetView topLeftCell="A10" workbookViewId="0">
      <pane xSplit="1" topLeftCell="DF1" activePane="topRight" state="frozen"/>
      <selection pane="topRight" activeCell="A10" sqref="A10"/>
      <selection activeCell="A10" sqref="A10"/>
    </sheetView>
  </sheetViews>
  <sheetFormatPr defaultColWidth="9.140625" defaultRowHeight="13.15"/>
  <cols>
    <col min="1" max="1" width="14.5703125" style="1" bestFit="1" customWidth="1"/>
    <col min="2" max="83" width="9.140625" style="1" customWidth="1"/>
    <col min="84" max="84" width="9.140625" style="1" hidden="1" customWidth="1"/>
    <col min="85" max="86" width="10" style="1" customWidth="1"/>
    <col min="87" max="88" width="11.5703125" style="1" customWidth="1"/>
    <col min="89" max="89" width="10" style="1" customWidth="1"/>
    <col min="90" max="91" width="9.140625" style="1" customWidth="1"/>
    <col min="92" max="96" width="13.5703125" style="1" customWidth="1"/>
    <col min="97" max="98" width="5.85546875" style="1" customWidth="1"/>
    <col min="99" max="103" width="13.5703125" style="1" customWidth="1"/>
    <col min="104" max="105" width="7.42578125" style="1" customWidth="1"/>
    <col min="106" max="149" width="9.140625" style="1"/>
    <col min="150" max="151" width="9.42578125" style="1" bestFit="1" customWidth="1"/>
    <col min="152" max="152" width="12.140625" style="1" bestFit="1" customWidth="1"/>
    <col min="153" max="16384" width="9.140625" style="1"/>
  </cols>
  <sheetData>
    <row r="1" spans="1:368">
      <c r="A1" s="1" t="s">
        <v>0</v>
      </c>
      <c r="B1" s="1" t="s">
        <v>1</v>
      </c>
    </row>
    <row r="2" spans="1:368">
      <c r="A2" s="1" t="s">
        <v>2</v>
      </c>
      <c r="B2" s="1" t="s">
        <v>3</v>
      </c>
    </row>
    <row r="3" spans="1:368">
      <c r="A3" s="1" t="s">
        <v>4</v>
      </c>
      <c r="B3" s="1" t="s">
        <v>5</v>
      </c>
    </row>
    <row r="4" spans="1:368">
      <c r="A4" s="1" t="s">
        <v>6</v>
      </c>
      <c r="B4" s="1" t="s">
        <v>97</v>
      </c>
    </row>
    <row r="5" spans="1:368">
      <c r="A5" s="1" t="s">
        <v>8</v>
      </c>
      <c r="B5" s="1" t="s">
        <v>9</v>
      </c>
    </row>
    <row r="6" spans="1:368">
      <c r="A6" s="1" t="s">
        <v>10</v>
      </c>
      <c r="B6" s="1" t="s">
        <v>98</v>
      </c>
    </row>
    <row r="7" spans="1:368">
      <c r="A7" s="1" t="s">
        <v>12</v>
      </c>
      <c r="B7" s="1" t="s">
        <v>13</v>
      </c>
    </row>
    <row r="9" spans="1:368" s="4" customFormat="1">
      <c r="C9" s="4" t="s">
        <v>14</v>
      </c>
      <c r="H9" s="4" t="s">
        <v>15</v>
      </c>
      <c r="O9" s="4" t="s">
        <v>16</v>
      </c>
      <c r="V9" s="4" t="s">
        <v>17</v>
      </c>
      <c r="AC9" s="4" t="s">
        <v>18</v>
      </c>
      <c r="AJ9" s="4" t="s">
        <v>19</v>
      </c>
      <c r="AQ9" s="4" t="s">
        <v>20</v>
      </c>
      <c r="AX9" s="4" t="s">
        <v>21</v>
      </c>
      <c r="BE9" s="4" t="s">
        <v>22</v>
      </c>
      <c r="BL9" s="4" t="s">
        <v>23</v>
      </c>
      <c r="BS9" s="4" t="s">
        <v>24</v>
      </c>
      <c r="BZ9" s="4" t="s">
        <v>25</v>
      </c>
      <c r="CG9" s="4" t="s">
        <v>26</v>
      </c>
      <c r="CN9" s="4" t="s">
        <v>27</v>
      </c>
      <c r="CU9" s="4" t="s">
        <v>28</v>
      </c>
      <c r="DB9" s="4" t="s">
        <v>29</v>
      </c>
      <c r="DI9" s="4" t="s">
        <v>30</v>
      </c>
      <c r="DP9" s="4" t="s">
        <v>31</v>
      </c>
      <c r="DW9" s="4" t="s">
        <v>32</v>
      </c>
      <c r="ED9" s="4" t="s">
        <v>33</v>
      </c>
      <c r="EK9" s="4" t="s">
        <v>34</v>
      </c>
      <c r="ER9" s="4" t="s">
        <v>35</v>
      </c>
      <c r="EY9" s="4" t="s">
        <v>36</v>
      </c>
      <c r="FF9" s="4" t="s">
        <v>37</v>
      </c>
      <c r="FM9" s="4" t="s">
        <v>38</v>
      </c>
      <c r="FT9" s="4" t="s">
        <v>39</v>
      </c>
      <c r="GA9" s="4" t="s">
        <v>40</v>
      </c>
      <c r="GH9" s="4" t="s">
        <v>41</v>
      </c>
      <c r="GO9" s="4" t="s">
        <v>42</v>
      </c>
      <c r="GV9" s="4" t="s">
        <v>43</v>
      </c>
      <c r="HC9" s="4" t="s">
        <v>44</v>
      </c>
      <c r="HJ9" s="4" t="s">
        <v>45</v>
      </c>
      <c r="HQ9" s="4" t="s">
        <v>46</v>
      </c>
      <c r="HX9" s="4" t="s">
        <v>47</v>
      </c>
      <c r="IE9" s="4" t="s">
        <v>48</v>
      </c>
      <c r="IL9" s="4" t="s">
        <v>49</v>
      </c>
      <c r="IS9" s="4" t="s">
        <v>50</v>
      </c>
      <c r="IZ9" s="4" t="s">
        <v>51</v>
      </c>
      <c r="JG9" s="4" t="s">
        <v>52</v>
      </c>
      <c r="JN9" s="4" t="s">
        <v>53</v>
      </c>
      <c r="JU9" s="4" t="s">
        <v>54</v>
      </c>
      <c r="KB9" s="4" t="s">
        <v>55</v>
      </c>
      <c r="KI9" s="4" t="s">
        <v>56</v>
      </c>
      <c r="KP9" s="4" t="s">
        <v>57</v>
      </c>
      <c r="KW9" s="4" t="s">
        <v>58</v>
      </c>
      <c r="LD9" s="4" t="s">
        <v>59</v>
      </c>
      <c r="LK9" s="4" t="s">
        <v>60</v>
      </c>
      <c r="LR9" s="4" t="s">
        <v>61</v>
      </c>
      <c r="LY9" s="4" t="s">
        <v>62</v>
      </c>
      <c r="MF9" s="4" t="s">
        <v>63</v>
      </c>
      <c r="MM9" s="4" t="s">
        <v>64</v>
      </c>
      <c r="MT9" s="4" t="s">
        <v>65</v>
      </c>
      <c r="NA9" s="4" t="s">
        <v>14</v>
      </c>
    </row>
    <row r="10" spans="1:368" s="2" customFormat="1">
      <c r="C10" s="2" t="s">
        <v>66</v>
      </c>
      <c r="D10" s="2" t="s">
        <v>67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72</v>
      </c>
      <c r="J10" s="2" t="s">
        <v>66</v>
      </c>
      <c r="K10" s="2" t="s">
        <v>73</v>
      </c>
      <c r="L10" s="2" t="s">
        <v>68</v>
      </c>
      <c r="M10" s="2" t="s">
        <v>69</v>
      </c>
      <c r="N10" s="2" t="s">
        <v>70</v>
      </c>
      <c r="O10" s="2" t="s">
        <v>71</v>
      </c>
      <c r="P10" s="2" t="s">
        <v>72</v>
      </c>
      <c r="Q10" s="2" t="s">
        <v>66</v>
      </c>
      <c r="R10" s="2" t="s">
        <v>73</v>
      </c>
      <c r="S10" s="2" t="s">
        <v>68</v>
      </c>
      <c r="T10" s="2" t="s">
        <v>69</v>
      </c>
      <c r="U10" s="2" t="s">
        <v>70</v>
      </c>
      <c r="V10" s="2" t="s">
        <v>71</v>
      </c>
      <c r="W10" s="2" t="s">
        <v>72</v>
      </c>
      <c r="X10" s="2" t="s">
        <v>66</v>
      </c>
      <c r="Y10" s="2" t="s">
        <v>73</v>
      </c>
      <c r="Z10" s="2" t="s">
        <v>68</v>
      </c>
      <c r="AA10" s="2" t="s">
        <v>69</v>
      </c>
      <c r="AB10" s="2" t="s">
        <v>70</v>
      </c>
      <c r="AC10" s="2" t="s">
        <v>71</v>
      </c>
      <c r="AD10" s="2" t="s">
        <v>72</v>
      </c>
      <c r="AE10" s="2" t="s">
        <v>66</v>
      </c>
      <c r="AF10" s="2" t="s">
        <v>73</v>
      </c>
      <c r="AG10" s="2" t="s">
        <v>68</v>
      </c>
      <c r="AH10" s="2" t="s">
        <v>69</v>
      </c>
      <c r="AI10" s="2" t="s">
        <v>70</v>
      </c>
      <c r="AJ10" s="2" t="s">
        <v>71</v>
      </c>
      <c r="AK10" s="2" t="s">
        <v>72</v>
      </c>
      <c r="AL10" s="2" t="s">
        <v>66</v>
      </c>
      <c r="AM10" s="2" t="s">
        <v>73</v>
      </c>
      <c r="AN10" s="2" t="s">
        <v>68</v>
      </c>
      <c r="AO10" s="2" t="s">
        <v>69</v>
      </c>
      <c r="AP10" s="2" t="s">
        <v>70</v>
      </c>
      <c r="AQ10" s="2" t="s">
        <v>71</v>
      </c>
      <c r="AR10" s="2" t="s">
        <v>72</v>
      </c>
      <c r="AS10" s="2" t="s">
        <v>66</v>
      </c>
      <c r="AT10" s="2" t="s">
        <v>73</v>
      </c>
      <c r="AU10" s="2" t="s">
        <v>68</v>
      </c>
      <c r="AV10" s="2" t="s">
        <v>69</v>
      </c>
      <c r="AW10" s="2" t="s">
        <v>70</v>
      </c>
      <c r="AX10" s="2" t="s">
        <v>71</v>
      </c>
      <c r="AY10" s="2" t="s">
        <v>72</v>
      </c>
      <c r="AZ10" s="2" t="s">
        <v>66</v>
      </c>
      <c r="BA10" s="2" t="s">
        <v>73</v>
      </c>
      <c r="BB10" s="2" t="s">
        <v>68</v>
      </c>
      <c r="BC10" s="2" t="s">
        <v>69</v>
      </c>
      <c r="BD10" s="2" t="s">
        <v>70</v>
      </c>
      <c r="BE10" s="2" t="s">
        <v>71</v>
      </c>
      <c r="BF10" s="2" t="s">
        <v>72</v>
      </c>
      <c r="BG10" s="2" t="s">
        <v>66</v>
      </c>
      <c r="BH10" s="2" t="s">
        <v>73</v>
      </c>
      <c r="BI10" s="2" t="s">
        <v>68</v>
      </c>
      <c r="BJ10" s="2" t="s">
        <v>69</v>
      </c>
      <c r="BK10" s="2" t="s">
        <v>70</v>
      </c>
      <c r="BL10" s="2" t="s">
        <v>71</v>
      </c>
      <c r="BM10" s="2" t="s">
        <v>72</v>
      </c>
      <c r="BN10" s="2" t="s">
        <v>66</v>
      </c>
      <c r="BO10" s="2" t="s">
        <v>73</v>
      </c>
      <c r="BP10" s="2" t="s">
        <v>68</v>
      </c>
      <c r="BQ10" s="2" t="s">
        <v>69</v>
      </c>
      <c r="BR10" s="2" t="s">
        <v>70</v>
      </c>
      <c r="BS10" s="2" t="s">
        <v>71</v>
      </c>
      <c r="BT10" s="2" t="s">
        <v>72</v>
      </c>
      <c r="BU10" s="2" t="s">
        <v>66</v>
      </c>
      <c r="BV10" s="2" t="s">
        <v>73</v>
      </c>
      <c r="BW10" s="2" t="s">
        <v>68</v>
      </c>
      <c r="BX10" s="2" t="s">
        <v>69</v>
      </c>
      <c r="BY10" s="2" t="s">
        <v>70</v>
      </c>
      <c r="BZ10" s="2" t="s">
        <v>71</v>
      </c>
      <c r="CA10" s="2" t="s">
        <v>72</v>
      </c>
      <c r="CB10" s="2" t="s">
        <v>66</v>
      </c>
      <c r="CC10" s="2" t="s">
        <v>73</v>
      </c>
      <c r="CD10" s="2" t="s">
        <v>68</v>
      </c>
      <c r="CE10" s="2" t="s">
        <v>69</v>
      </c>
      <c r="CF10" s="2" t="s">
        <v>70</v>
      </c>
      <c r="CG10" s="2" t="s">
        <v>71</v>
      </c>
      <c r="CH10" s="2" t="s">
        <v>72</v>
      </c>
      <c r="CI10" s="2" t="s">
        <v>66</v>
      </c>
      <c r="CJ10" s="2" t="s">
        <v>73</v>
      </c>
      <c r="CK10" s="2" t="s">
        <v>68</v>
      </c>
      <c r="CL10" s="2" t="s">
        <v>69</v>
      </c>
      <c r="CM10" s="2" t="s">
        <v>70</v>
      </c>
      <c r="CN10" s="2" t="s">
        <v>71</v>
      </c>
      <c r="CO10" s="2" t="s">
        <v>72</v>
      </c>
      <c r="CP10" s="2" t="s">
        <v>66</v>
      </c>
      <c r="CQ10" s="2" t="s">
        <v>73</v>
      </c>
      <c r="CR10" s="2" t="s">
        <v>68</v>
      </c>
      <c r="CS10" s="2" t="s">
        <v>69</v>
      </c>
      <c r="CT10" s="2" t="s">
        <v>70</v>
      </c>
      <c r="CU10" s="2" t="s">
        <v>71</v>
      </c>
      <c r="CV10" s="2" t="s">
        <v>72</v>
      </c>
      <c r="CW10" s="2" t="s">
        <v>66</v>
      </c>
      <c r="CX10" s="2" t="s">
        <v>73</v>
      </c>
      <c r="CY10" s="2" t="s">
        <v>68</v>
      </c>
      <c r="CZ10" s="2" t="s">
        <v>69</v>
      </c>
      <c r="DA10" s="2" t="s">
        <v>70</v>
      </c>
      <c r="DB10" s="2" t="s">
        <v>71</v>
      </c>
      <c r="DC10" s="2" t="s">
        <v>72</v>
      </c>
      <c r="DD10" s="2" t="s">
        <v>66</v>
      </c>
      <c r="DE10" s="2" t="s">
        <v>73</v>
      </c>
      <c r="DF10" s="2" t="s">
        <v>68</v>
      </c>
      <c r="DG10" s="2" t="s">
        <v>69</v>
      </c>
      <c r="DH10" s="2" t="s">
        <v>70</v>
      </c>
      <c r="DI10" s="2" t="s">
        <v>71</v>
      </c>
      <c r="DJ10" s="2" t="s">
        <v>72</v>
      </c>
      <c r="DK10" s="2" t="s">
        <v>66</v>
      </c>
      <c r="DL10" s="2" t="s">
        <v>73</v>
      </c>
      <c r="DM10" s="2" t="s">
        <v>68</v>
      </c>
      <c r="DN10" s="2" t="s">
        <v>69</v>
      </c>
      <c r="DO10" s="2" t="s">
        <v>70</v>
      </c>
      <c r="DP10" s="2" t="s">
        <v>71</v>
      </c>
      <c r="DQ10" s="2" t="s">
        <v>72</v>
      </c>
      <c r="DR10" s="2" t="s">
        <v>66</v>
      </c>
      <c r="DS10" s="2" t="s">
        <v>73</v>
      </c>
      <c r="DT10" s="2" t="s">
        <v>68</v>
      </c>
      <c r="DU10" s="2" t="s">
        <v>69</v>
      </c>
      <c r="DV10" s="2" t="s">
        <v>70</v>
      </c>
      <c r="DW10" s="2" t="s">
        <v>71</v>
      </c>
      <c r="DX10" s="2" t="s">
        <v>72</v>
      </c>
      <c r="DY10" s="2" t="s">
        <v>66</v>
      </c>
      <c r="DZ10" s="2" t="s">
        <v>73</v>
      </c>
      <c r="EA10" s="2" t="s">
        <v>68</v>
      </c>
      <c r="EB10" s="2" t="s">
        <v>69</v>
      </c>
      <c r="EC10" s="2" t="s">
        <v>70</v>
      </c>
      <c r="ED10" s="2" t="s">
        <v>71</v>
      </c>
      <c r="EE10" s="2" t="s">
        <v>72</v>
      </c>
      <c r="EF10" s="2" t="s">
        <v>66</v>
      </c>
      <c r="EG10" s="2" t="s">
        <v>73</v>
      </c>
      <c r="EH10" s="2" t="s">
        <v>68</v>
      </c>
      <c r="EI10" s="2" t="s">
        <v>69</v>
      </c>
      <c r="EJ10" s="2" t="s">
        <v>70</v>
      </c>
      <c r="EK10" s="2" t="s">
        <v>71</v>
      </c>
      <c r="EL10" s="2" t="s">
        <v>72</v>
      </c>
      <c r="EM10" s="2" t="s">
        <v>66</v>
      </c>
      <c r="EN10" s="2" t="s">
        <v>73</v>
      </c>
      <c r="EO10" s="2" t="s">
        <v>68</v>
      </c>
      <c r="EP10" s="2" t="s">
        <v>69</v>
      </c>
      <c r="EQ10" s="2" t="s">
        <v>70</v>
      </c>
      <c r="ER10" s="2" t="s">
        <v>71</v>
      </c>
      <c r="ES10" s="2" t="s">
        <v>72</v>
      </c>
      <c r="ET10" s="2" t="s">
        <v>66</v>
      </c>
      <c r="EU10" s="2" t="s">
        <v>73</v>
      </c>
      <c r="EV10" s="2" t="s">
        <v>68</v>
      </c>
      <c r="EW10" s="2" t="s">
        <v>69</v>
      </c>
      <c r="EX10" s="2" t="s">
        <v>70</v>
      </c>
      <c r="EY10" s="2" t="s">
        <v>71</v>
      </c>
      <c r="EZ10" s="2" t="s">
        <v>72</v>
      </c>
      <c r="FA10" s="2" t="s">
        <v>66</v>
      </c>
      <c r="FB10" s="2" t="s">
        <v>73</v>
      </c>
      <c r="FC10" s="2" t="s">
        <v>68</v>
      </c>
      <c r="FD10" s="2" t="s">
        <v>69</v>
      </c>
      <c r="FE10" s="2" t="s">
        <v>70</v>
      </c>
      <c r="FF10" s="2" t="s">
        <v>71</v>
      </c>
      <c r="FG10" s="2" t="s">
        <v>72</v>
      </c>
      <c r="FH10" s="2" t="s">
        <v>66</v>
      </c>
      <c r="FI10" s="2" t="s">
        <v>73</v>
      </c>
      <c r="FJ10" s="2" t="s">
        <v>68</v>
      </c>
      <c r="FK10" s="2" t="s">
        <v>69</v>
      </c>
      <c r="FL10" s="2" t="s">
        <v>70</v>
      </c>
      <c r="FM10" s="2" t="s">
        <v>71</v>
      </c>
      <c r="FN10" s="2" t="s">
        <v>72</v>
      </c>
      <c r="FO10" s="2" t="s">
        <v>66</v>
      </c>
      <c r="FP10" s="2" t="s">
        <v>73</v>
      </c>
      <c r="FQ10" s="2" t="s">
        <v>68</v>
      </c>
      <c r="FR10" s="2" t="s">
        <v>69</v>
      </c>
      <c r="FS10" s="2" t="s">
        <v>70</v>
      </c>
      <c r="FT10" s="2" t="s">
        <v>71</v>
      </c>
      <c r="FU10" s="2" t="s">
        <v>72</v>
      </c>
      <c r="FV10" s="2" t="s">
        <v>66</v>
      </c>
      <c r="FW10" s="2" t="s">
        <v>73</v>
      </c>
      <c r="FX10" s="2" t="s">
        <v>68</v>
      </c>
      <c r="FY10" s="2" t="s">
        <v>69</v>
      </c>
      <c r="FZ10" s="2" t="s">
        <v>70</v>
      </c>
      <c r="GA10" s="2" t="s">
        <v>71</v>
      </c>
      <c r="GB10" s="2" t="s">
        <v>72</v>
      </c>
      <c r="GC10" s="2" t="s">
        <v>66</v>
      </c>
      <c r="GD10" s="2" t="s">
        <v>73</v>
      </c>
      <c r="GE10" s="2" t="s">
        <v>68</v>
      </c>
      <c r="GF10" s="2" t="s">
        <v>69</v>
      </c>
      <c r="GG10" s="2" t="s">
        <v>70</v>
      </c>
      <c r="GH10" s="2" t="s">
        <v>71</v>
      </c>
      <c r="GI10" s="2" t="s">
        <v>72</v>
      </c>
      <c r="GJ10" s="2" t="s">
        <v>66</v>
      </c>
      <c r="GK10" s="2" t="s">
        <v>73</v>
      </c>
      <c r="GL10" s="2" t="s">
        <v>68</v>
      </c>
      <c r="GM10" s="2" t="s">
        <v>69</v>
      </c>
      <c r="GN10" s="2" t="s">
        <v>70</v>
      </c>
      <c r="GO10" s="2" t="s">
        <v>71</v>
      </c>
      <c r="GP10" s="2" t="s">
        <v>72</v>
      </c>
      <c r="GQ10" s="2" t="s">
        <v>66</v>
      </c>
      <c r="GR10" s="2" t="s">
        <v>73</v>
      </c>
      <c r="GS10" s="2" t="s">
        <v>68</v>
      </c>
      <c r="GT10" s="2" t="s">
        <v>69</v>
      </c>
      <c r="GU10" s="2" t="s">
        <v>70</v>
      </c>
      <c r="GV10" s="2" t="s">
        <v>71</v>
      </c>
      <c r="GW10" s="2" t="s">
        <v>72</v>
      </c>
      <c r="GX10" s="2" t="s">
        <v>66</v>
      </c>
      <c r="GY10" s="2" t="s">
        <v>73</v>
      </c>
      <c r="GZ10" s="2" t="s">
        <v>68</v>
      </c>
      <c r="HA10" s="2" t="s">
        <v>69</v>
      </c>
      <c r="HB10" s="2" t="s">
        <v>70</v>
      </c>
      <c r="HC10" s="2" t="s">
        <v>71</v>
      </c>
      <c r="HD10" s="2" t="s">
        <v>72</v>
      </c>
      <c r="HE10" s="2" t="s">
        <v>66</v>
      </c>
      <c r="HF10" s="2" t="s">
        <v>73</v>
      </c>
      <c r="HG10" s="2" t="s">
        <v>68</v>
      </c>
      <c r="HH10" s="2" t="s">
        <v>69</v>
      </c>
      <c r="HI10" s="2" t="s">
        <v>70</v>
      </c>
      <c r="HJ10" s="2" t="s">
        <v>71</v>
      </c>
      <c r="HK10" s="2" t="s">
        <v>72</v>
      </c>
      <c r="HL10" s="2" t="s">
        <v>66</v>
      </c>
      <c r="HM10" s="2" t="s">
        <v>73</v>
      </c>
      <c r="HN10" s="2" t="s">
        <v>68</v>
      </c>
      <c r="HO10" s="2" t="s">
        <v>69</v>
      </c>
      <c r="HP10" s="2" t="s">
        <v>70</v>
      </c>
      <c r="HQ10" s="2" t="s">
        <v>71</v>
      </c>
      <c r="HR10" s="2" t="s">
        <v>72</v>
      </c>
      <c r="HS10" s="2" t="s">
        <v>66</v>
      </c>
      <c r="HT10" s="2" t="s">
        <v>73</v>
      </c>
      <c r="HU10" s="2" t="s">
        <v>68</v>
      </c>
      <c r="HV10" s="2" t="s">
        <v>69</v>
      </c>
      <c r="HW10" s="2" t="s">
        <v>70</v>
      </c>
      <c r="HX10" s="2" t="s">
        <v>71</v>
      </c>
      <c r="HY10" s="2" t="s">
        <v>72</v>
      </c>
      <c r="HZ10" s="2" t="s">
        <v>66</v>
      </c>
      <c r="IA10" s="2" t="s">
        <v>73</v>
      </c>
      <c r="IB10" s="2" t="s">
        <v>68</v>
      </c>
      <c r="IC10" s="2" t="s">
        <v>69</v>
      </c>
      <c r="ID10" s="2" t="s">
        <v>70</v>
      </c>
      <c r="IE10" s="2" t="s">
        <v>71</v>
      </c>
      <c r="IF10" s="2" t="s">
        <v>72</v>
      </c>
      <c r="IG10" s="2" t="s">
        <v>66</v>
      </c>
      <c r="IH10" s="2" t="s">
        <v>73</v>
      </c>
      <c r="II10" s="2" t="s">
        <v>68</v>
      </c>
      <c r="IJ10" s="2" t="s">
        <v>69</v>
      </c>
      <c r="IK10" s="2" t="s">
        <v>70</v>
      </c>
      <c r="IL10" s="2" t="s">
        <v>71</v>
      </c>
      <c r="IM10" s="2" t="s">
        <v>72</v>
      </c>
      <c r="IN10" s="2" t="s">
        <v>66</v>
      </c>
      <c r="IO10" s="2" t="s">
        <v>73</v>
      </c>
      <c r="IP10" s="2" t="s">
        <v>68</v>
      </c>
      <c r="IQ10" s="2" t="s">
        <v>69</v>
      </c>
      <c r="IR10" s="2" t="s">
        <v>70</v>
      </c>
      <c r="IS10" s="2" t="s">
        <v>71</v>
      </c>
      <c r="IT10" s="2" t="s">
        <v>72</v>
      </c>
      <c r="IU10" s="2" t="s">
        <v>66</v>
      </c>
      <c r="IV10" s="2" t="s">
        <v>73</v>
      </c>
      <c r="IW10" s="2" t="s">
        <v>68</v>
      </c>
      <c r="IX10" s="2" t="s">
        <v>69</v>
      </c>
      <c r="IY10" s="2" t="s">
        <v>70</v>
      </c>
      <c r="IZ10" s="2" t="s">
        <v>71</v>
      </c>
      <c r="JA10" s="2" t="s">
        <v>72</v>
      </c>
      <c r="JB10" s="2" t="s">
        <v>66</v>
      </c>
      <c r="JC10" s="2" t="s">
        <v>73</v>
      </c>
      <c r="JD10" s="2" t="s">
        <v>68</v>
      </c>
      <c r="JE10" s="2" t="s">
        <v>69</v>
      </c>
      <c r="JF10" s="2" t="s">
        <v>70</v>
      </c>
      <c r="JG10" s="2" t="s">
        <v>71</v>
      </c>
      <c r="JH10" s="2" t="s">
        <v>72</v>
      </c>
      <c r="JI10" s="2" t="s">
        <v>66</v>
      </c>
      <c r="JJ10" s="2" t="s">
        <v>73</v>
      </c>
      <c r="JK10" s="2" t="s">
        <v>68</v>
      </c>
      <c r="JL10" s="2" t="s">
        <v>69</v>
      </c>
      <c r="JM10" s="2" t="s">
        <v>70</v>
      </c>
      <c r="JN10" s="2" t="s">
        <v>71</v>
      </c>
      <c r="JO10" s="2" t="s">
        <v>72</v>
      </c>
      <c r="JP10" s="2" t="s">
        <v>66</v>
      </c>
      <c r="JQ10" s="2" t="s">
        <v>73</v>
      </c>
      <c r="JR10" s="2" t="s">
        <v>68</v>
      </c>
      <c r="JS10" s="2" t="s">
        <v>69</v>
      </c>
      <c r="JT10" s="2" t="s">
        <v>70</v>
      </c>
      <c r="JU10" s="2" t="s">
        <v>71</v>
      </c>
      <c r="JV10" s="2" t="s">
        <v>72</v>
      </c>
      <c r="JW10" s="2" t="s">
        <v>66</v>
      </c>
      <c r="JX10" s="2" t="s">
        <v>73</v>
      </c>
      <c r="JY10" s="2" t="s">
        <v>68</v>
      </c>
      <c r="JZ10" s="2" t="s">
        <v>69</v>
      </c>
      <c r="KA10" s="2" t="s">
        <v>70</v>
      </c>
      <c r="KB10" s="2" t="s">
        <v>71</v>
      </c>
      <c r="KC10" s="2" t="s">
        <v>72</v>
      </c>
      <c r="KD10" s="2" t="s">
        <v>66</v>
      </c>
      <c r="KE10" s="2" t="s">
        <v>73</v>
      </c>
      <c r="KF10" s="2" t="s">
        <v>68</v>
      </c>
      <c r="KG10" s="2" t="s">
        <v>69</v>
      </c>
      <c r="KH10" s="2" t="s">
        <v>70</v>
      </c>
      <c r="KI10" s="2" t="s">
        <v>71</v>
      </c>
      <c r="KJ10" s="2" t="s">
        <v>72</v>
      </c>
      <c r="KK10" s="2" t="s">
        <v>66</v>
      </c>
      <c r="KL10" s="2" t="s">
        <v>73</v>
      </c>
      <c r="KM10" s="2" t="s">
        <v>68</v>
      </c>
      <c r="KN10" s="2" t="s">
        <v>69</v>
      </c>
      <c r="KO10" s="2" t="s">
        <v>70</v>
      </c>
      <c r="KP10" s="2" t="s">
        <v>71</v>
      </c>
      <c r="KQ10" s="2" t="s">
        <v>72</v>
      </c>
      <c r="KR10" s="2" t="s">
        <v>66</v>
      </c>
      <c r="KS10" s="2" t="s">
        <v>73</v>
      </c>
      <c r="KT10" s="2" t="s">
        <v>68</v>
      </c>
      <c r="KU10" s="2" t="s">
        <v>69</v>
      </c>
      <c r="KV10" s="2" t="s">
        <v>70</v>
      </c>
      <c r="KW10" s="2" t="s">
        <v>71</v>
      </c>
      <c r="KX10" s="2" t="s">
        <v>72</v>
      </c>
      <c r="KY10" s="2" t="s">
        <v>66</v>
      </c>
      <c r="KZ10" s="2" t="s">
        <v>73</v>
      </c>
      <c r="LA10" s="2" t="s">
        <v>68</v>
      </c>
      <c r="LB10" s="2" t="s">
        <v>69</v>
      </c>
      <c r="LC10" s="2" t="s">
        <v>70</v>
      </c>
      <c r="LD10" s="2" t="s">
        <v>71</v>
      </c>
      <c r="LE10" s="2" t="s">
        <v>72</v>
      </c>
      <c r="LF10" s="2" t="s">
        <v>66</v>
      </c>
      <c r="LG10" s="2" t="s">
        <v>73</v>
      </c>
      <c r="LH10" s="2" t="s">
        <v>68</v>
      </c>
      <c r="LI10" s="2" t="s">
        <v>69</v>
      </c>
      <c r="LJ10" s="2" t="s">
        <v>70</v>
      </c>
      <c r="LK10" s="2" t="s">
        <v>71</v>
      </c>
      <c r="LL10" s="2" t="s">
        <v>72</v>
      </c>
      <c r="LM10" s="2" t="s">
        <v>66</v>
      </c>
      <c r="LN10" s="2" t="s">
        <v>73</v>
      </c>
      <c r="LO10" s="2" t="s">
        <v>68</v>
      </c>
      <c r="LP10" s="2" t="s">
        <v>69</v>
      </c>
      <c r="LQ10" s="2" t="s">
        <v>70</v>
      </c>
      <c r="LR10" s="2" t="s">
        <v>71</v>
      </c>
      <c r="LS10" s="2" t="s">
        <v>72</v>
      </c>
      <c r="LT10" s="2" t="s">
        <v>66</v>
      </c>
      <c r="LU10" s="2" t="s">
        <v>73</v>
      </c>
      <c r="LV10" s="2" t="s">
        <v>68</v>
      </c>
      <c r="LW10" s="2" t="s">
        <v>69</v>
      </c>
      <c r="LX10" s="2" t="s">
        <v>70</v>
      </c>
      <c r="LY10" s="2" t="s">
        <v>71</v>
      </c>
      <c r="LZ10" s="2" t="s">
        <v>72</v>
      </c>
      <c r="MA10" s="2" t="s">
        <v>66</v>
      </c>
      <c r="MB10" s="2" t="s">
        <v>73</v>
      </c>
      <c r="MC10" s="2" t="s">
        <v>68</v>
      </c>
      <c r="MD10" s="2" t="s">
        <v>69</v>
      </c>
      <c r="ME10" s="2" t="s">
        <v>70</v>
      </c>
      <c r="MF10" s="2" t="s">
        <v>71</v>
      </c>
      <c r="MG10" s="2" t="s">
        <v>72</v>
      </c>
      <c r="MH10" s="2" t="s">
        <v>66</v>
      </c>
      <c r="MI10" s="2" t="s">
        <v>73</v>
      </c>
      <c r="MJ10" s="2" t="s">
        <v>68</v>
      </c>
      <c r="MK10" s="2" t="s">
        <v>69</v>
      </c>
      <c r="ML10" s="2" t="s">
        <v>70</v>
      </c>
      <c r="MM10" s="2" t="s">
        <v>71</v>
      </c>
      <c r="MN10" s="2" t="s">
        <v>72</v>
      </c>
      <c r="MO10" s="2" t="s">
        <v>66</v>
      </c>
      <c r="MP10" s="2" t="s">
        <v>73</v>
      </c>
      <c r="MQ10" s="2" t="s">
        <v>68</v>
      </c>
      <c r="MR10" s="2" t="s">
        <v>69</v>
      </c>
      <c r="MS10" s="2" t="s">
        <v>70</v>
      </c>
      <c r="MT10" s="2" t="s">
        <v>71</v>
      </c>
      <c r="MU10" s="2" t="s">
        <v>72</v>
      </c>
      <c r="MV10" s="2" t="s">
        <v>66</v>
      </c>
      <c r="MW10" s="2" t="s">
        <v>73</v>
      </c>
      <c r="MX10" s="2" t="s">
        <v>68</v>
      </c>
      <c r="MY10" s="2" t="s">
        <v>69</v>
      </c>
      <c r="MZ10" s="2" t="s">
        <v>70</v>
      </c>
      <c r="NA10" s="2" t="s">
        <v>71</v>
      </c>
      <c r="NB10" s="2" t="s">
        <v>72</v>
      </c>
      <c r="NC10" s="2" t="s">
        <v>66</v>
      </c>
      <c r="ND10" s="2" t="s">
        <v>73</v>
      </c>
    </row>
    <row r="11" spans="1:368" s="3" customFormat="1">
      <c r="C11" s="45">
        <v>43466</v>
      </c>
      <c r="D11" s="45">
        <v>43467</v>
      </c>
      <c r="E11" s="45">
        <v>43468</v>
      </c>
      <c r="F11" s="45">
        <v>43469</v>
      </c>
      <c r="G11" s="45">
        <v>43470</v>
      </c>
      <c r="H11" s="45">
        <v>43471</v>
      </c>
      <c r="I11" s="45">
        <v>43472</v>
      </c>
      <c r="J11" s="45">
        <v>43473</v>
      </c>
      <c r="K11" s="45">
        <v>43474</v>
      </c>
      <c r="L11" s="45">
        <v>43475</v>
      </c>
      <c r="M11" s="45">
        <v>43476</v>
      </c>
      <c r="N11" s="45">
        <v>43477</v>
      </c>
      <c r="O11" s="45">
        <v>43478</v>
      </c>
      <c r="P11" s="45">
        <v>43479</v>
      </c>
      <c r="Q11" s="45">
        <v>43480</v>
      </c>
      <c r="R11" s="45">
        <v>43481</v>
      </c>
      <c r="S11" s="45">
        <v>43482</v>
      </c>
      <c r="T11" s="45">
        <v>43483</v>
      </c>
      <c r="U11" s="45">
        <v>43484</v>
      </c>
      <c r="V11" s="45">
        <v>43485</v>
      </c>
      <c r="W11" s="45">
        <v>43486</v>
      </c>
      <c r="X11" s="45">
        <v>43487</v>
      </c>
      <c r="Y11" s="45">
        <v>43488</v>
      </c>
      <c r="Z11" s="45">
        <v>43489</v>
      </c>
      <c r="AA11" s="45">
        <v>43490</v>
      </c>
      <c r="AB11" s="45">
        <v>43491</v>
      </c>
      <c r="AC11" s="45">
        <v>43492</v>
      </c>
      <c r="AD11" s="45">
        <v>43493</v>
      </c>
      <c r="AE11" s="45">
        <v>43494</v>
      </c>
      <c r="AF11" s="45">
        <v>43495</v>
      </c>
      <c r="AG11" s="45">
        <v>43496</v>
      </c>
      <c r="AH11" s="45">
        <v>43497</v>
      </c>
      <c r="AI11" s="45">
        <v>43498</v>
      </c>
      <c r="AJ11" s="45">
        <v>43499</v>
      </c>
      <c r="AK11" s="45">
        <v>43500</v>
      </c>
      <c r="AL11" s="45">
        <v>43501</v>
      </c>
      <c r="AM11" s="45">
        <v>43502</v>
      </c>
      <c r="AN11" s="45">
        <v>43503</v>
      </c>
      <c r="AO11" s="45">
        <v>43504</v>
      </c>
      <c r="AP11" s="45">
        <v>43505</v>
      </c>
      <c r="AQ11" s="45">
        <v>43506</v>
      </c>
      <c r="AR11" s="45">
        <v>43507</v>
      </c>
      <c r="AS11" s="45">
        <v>43508</v>
      </c>
      <c r="AT11" s="45">
        <v>43509</v>
      </c>
      <c r="AU11" s="45">
        <v>43510</v>
      </c>
      <c r="AV11" s="45">
        <v>43511</v>
      </c>
      <c r="AW11" s="45">
        <v>43512</v>
      </c>
      <c r="AX11" s="45">
        <v>43513</v>
      </c>
      <c r="AY11" s="45">
        <v>43514</v>
      </c>
      <c r="AZ11" s="45">
        <v>43515</v>
      </c>
      <c r="BA11" s="45">
        <v>43516</v>
      </c>
      <c r="BB11" s="45">
        <v>43517</v>
      </c>
      <c r="BC11" s="45">
        <v>43518</v>
      </c>
      <c r="BD11" s="45">
        <v>43519</v>
      </c>
      <c r="BE11" s="45">
        <v>43520</v>
      </c>
      <c r="BF11" s="45">
        <v>43521</v>
      </c>
      <c r="BG11" s="45">
        <v>43522</v>
      </c>
      <c r="BH11" s="45">
        <v>43523</v>
      </c>
      <c r="BI11" s="45">
        <v>43524</v>
      </c>
      <c r="BJ11" s="3" t="s">
        <v>74</v>
      </c>
      <c r="BK11" s="45">
        <v>43525</v>
      </c>
      <c r="BL11" s="45">
        <v>43526</v>
      </c>
      <c r="BM11" s="45">
        <v>43527</v>
      </c>
      <c r="BN11" s="45">
        <v>43528</v>
      </c>
      <c r="BO11" s="45">
        <v>43529</v>
      </c>
      <c r="BP11" s="45">
        <v>43530</v>
      </c>
      <c r="BQ11" s="45">
        <v>43531</v>
      </c>
      <c r="BR11" s="45">
        <v>43532</v>
      </c>
      <c r="BS11" s="45">
        <v>43533</v>
      </c>
      <c r="BT11" s="45">
        <v>43534</v>
      </c>
      <c r="BU11" s="45">
        <v>43535</v>
      </c>
      <c r="BV11" s="45">
        <v>43536</v>
      </c>
      <c r="BW11" s="45">
        <v>43537</v>
      </c>
      <c r="BX11" s="45">
        <v>43538</v>
      </c>
      <c r="BY11" s="45">
        <v>43539</v>
      </c>
      <c r="BZ11" s="45">
        <v>43540</v>
      </c>
      <c r="CA11" s="45">
        <v>43541</v>
      </c>
      <c r="CB11" s="45">
        <v>43542</v>
      </c>
      <c r="CC11" s="45">
        <v>43543</v>
      </c>
      <c r="CD11" s="45">
        <v>43544</v>
      </c>
      <c r="CE11" s="45">
        <v>43545</v>
      </c>
      <c r="CF11" s="45">
        <v>43546</v>
      </c>
      <c r="CG11" s="45">
        <v>43547</v>
      </c>
      <c r="CH11" s="45">
        <v>43548</v>
      </c>
      <c r="CI11" s="45">
        <v>43549</v>
      </c>
      <c r="CJ11" s="45">
        <v>43550</v>
      </c>
      <c r="CK11" s="45">
        <v>43551</v>
      </c>
      <c r="CL11" s="45">
        <v>43552</v>
      </c>
      <c r="CM11" s="45">
        <v>43553</v>
      </c>
      <c r="CN11" s="45">
        <v>43554</v>
      </c>
      <c r="CO11" s="45">
        <v>43555</v>
      </c>
      <c r="CP11" s="45">
        <v>43556</v>
      </c>
      <c r="CQ11" s="45">
        <v>43557</v>
      </c>
      <c r="CR11" s="45">
        <v>43558</v>
      </c>
      <c r="CS11" s="45">
        <v>43559</v>
      </c>
      <c r="CT11" s="45">
        <v>43560</v>
      </c>
      <c r="CU11" s="45">
        <v>43561</v>
      </c>
      <c r="CV11" s="45">
        <v>43562</v>
      </c>
      <c r="CW11" s="45">
        <v>43563</v>
      </c>
      <c r="CX11" s="45">
        <v>43564</v>
      </c>
      <c r="CY11" s="45">
        <v>43565</v>
      </c>
      <c r="CZ11" s="45">
        <v>43566</v>
      </c>
      <c r="DA11" s="45">
        <v>43567</v>
      </c>
      <c r="DB11" s="45">
        <v>43568</v>
      </c>
      <c r="DC11" s="45">
        <v>43569</v>
      </c>
      <c r="DD11" s="45">
        <v>43570</v>
      </c>
      <c r="DE11" s="45">
        <v>43571</v>
      </c>
      <c r="DF11" s="45">
        <v>43572</v>
      </c>
      <c r="DG11" s="45">
        <v>43573</v>
      </c>
      <c r="DH11" s="45">
        <v>43574</v>
      </c>
      <c r="DI11" s="45">
        <v>43575</v>
      </c>
      <c r="DJ11" s="45">
        <v>43576</v>
      </c>
      <c r="DK11" s="45">
        <v>43577</v>
      </c>
      <c r="DL11" s="45">
        <v>43578</v>
      </c>
      <c r="DM11" s="45">
        <v>43579</v>
      </c>
      <c r="DN11" s="45">
        <v>43580</v>
      </c>
      <c r="DO11" s="45">
        <v>43581</v>
      </c>
      <c r="DP11" s="45">
        <v>43582</v>
      </c>
      <c r="DQ11" s="45">
        <v>43583</v>
      </c>
      <c r="DR11" s="45">
        <v>43584</v>
      </c>
      <c r="DS11" s="45">
        <v>43585</v>
      </c>
      <c r="DT11" s="45">
        <v>43586</v>
      </c>
      <c r="DU11" s="45">
        <v>43587</v>
      </c>
      <c r="DV11" s="45">
        <v>43588</v>
      </c>
      <c r="DW11" s="45">
        <v>43589</v>
      </c>
      <c r="DX11" s="45">
        <v>43590</v>
      </c>
      <c r="DY11" s="45">
        <v>43591</v>
      </c>
      <c r="DZ11" s="45">
        <v>43592</v>
      </c>
      <c r="EA11" s="45">
        <v>43593</v>
      </c>
      <c r="EB11" s="45">
        <v>43594</v>
      </c>
      <c r="EC11" s="45">
        <v>43595</v>
      </c>
      <c r="ED11" s="45">
        <v>43596</v>
      </c>
      <c r="EE11" s="45">
        <v>43597</v>
      </c>
      <c r="EF11" s="45">
        <v>43598</v>
      </c>
      <c r="EG11" s="45">
        <v>43599</v>
      </c>
      <c r="EH11" s="45">
        <v>43600</v>
      </c>
      <c r="EI11" s="45">
        <v>43601</v>
      </c>
      <c r="EJ11" s="45">
        <v>43602</v>
      </c>
      <c r="EK11" s="45">
        <v>43603</v>
      </c>
      <c r="EL11" s="45">
        <v>43604</v>
      </c>
      <c r="EM11" s="45">
        <v>43605</v>
      </c>
      <c r="EN11" s="45">
        <v>43606</v>
      </c>
      <c r="EO11" s="45">
        <v>43607</v>
      </c>
      <c r="EP11" s="45">
        <v>43608</v>
      </c>
      <c r="EQ11" s="45">
        <v>43609</v>
      </c>
      <c r="ER11" s="45">
        <v>43610</v>
      </c>
      <c r="ES11" s="45">
        <v>43611</v>
      </c>
      <c r="ET11" s="45">
        <v>43612</v>
      </c>
      <c r="EU11" s="45">
        <v>43613</v>
      </c>
      <c r="EV11" s="45">
        <v>43614</v>
      </c>
      <c r="EW11" s="45">
        <v>43615</v>
      </c>
      <c r="EX11" s="45">
        <v>43616</v>
      </c>
      <c r="EY11" s="45">
        <v>43617</v>
      </c>
      <c r="EZ11" s="45">
        <v>43618</v>
      </c>
      <c r="FA11" s="45">
        <v>43619</v>
      </c>
      <c r="FB11" s="45">
        <v>43620</v>
      </c>
      <c r="FC11" s="45">
        <v>43621</v>
      </c>
      <c r="FD11" s="45">
        <v>43622</v>
      </c>
      <c r="FE11" s="45">
        <v>43623</v>
      </c>
      <c r="FF11" s="45">
        <v>43624</v>
      </c>
      <c r="FG11" s="45">
        <v>43625</v>
      </c>
      <c r="FH11" s="45">
        <v>43626</v>
      </c>
      <c r="FI11" s="45">
        <v>43627</v>
      </c>
      <c r="FJ11" s="45">
        <v>43628</v>
      </c>
      <c r="FK11" s="45">
        <v>43629</v>
      </c>
      <c r="FL11" s="45">
        <v>43630</v>
      </c>
      <c r="FM11" s="45">
        <v>43631</v>
      </c>
      <c r="FN11" s="45">
        <v>43632</v>
      </c>
      <c r="FO11" s="45">
        <v>43633</v>
      </c>
      <c r="FP11" s="45">
        <v>43634</v>
      </c>
      <c r="FQ11" s="45">
        <v>43635</v>
      </c>
      <c r="FR11" s="45">
        <v>43636</v>
      </c>
      <c r="FS11" s="45">
        <v>43637</v>
      </c>
      <c r="FT11" s="45">
        <v>43638</v>
      </c>
      <c r="FU11" s="45">
        <v>43639</v>
      </c>
      <c r="FV11" s="45">
        <v>43640</v>
      </c>
      <c r="FW11" s="45">
        <v>43641</v>
      </c>
      <c r="FX11" s="45">
        <v>43642</v>
      </c>
      <c r="FY11" s="45">
        <v>43643</v>
      </c>
      <c r="FZ11" s="45">
        <v>43644</v>
      </c>
      <c r="GA11" s="45">
        <v>43645</v>
      </c>
      <c r="GB11" s="45">
        <v>43646</v>
      </c>
      <c r="GC11" s="45">
        <v>43647</v>
      </c>
      <c r="GD11" s="45">
        <v>43648</v>
      </c>
      <c r="GE11" s="45">
        <v>43649</v>
      </c>
      <c r="GF11" s="45">
        <v>43650</v>
      </c>
      <c r="GG11" s="45">
        <v>43651</v>
      </c>
      <c r="GH11" s="45">
        <v>43652</v>
      </c>
      <c r="GI11" s="45">
        <v>43653</v>
      </c>
      <c r="GJ11" s="45">
        <v>43654</v>
      </c>
      <c r="GK11" s="45">
        <v>43655</v>
      </c>
      <c r="GL11" s="45">
        <v>43656</v>
      </c>
      <c r="GM11" s="45">
        <v>43657</v>
      </c>
      <c r="GN11" s="45">
        <v>43658</v>
      </c>
      <c r="GO11" s="45">
        <v>43659</v>
      </c>
      <c r="GP11" s="45">
        <v>43660</v>
      </c>
      <c r="GQ11" s="45">
        <v>43661</v>
      </c>
      <c r="GR11" s="45">
        <v>43662</v>
      </c>
      <c r="GS11" s="45">
        <v>43663</v>
      </c>
      <c r="GT11" s="45">
        <v>43664</v>
      </c>
      <c r="GU11" s="45">
        <v>43665</v>
      </c>
      <c r="GV11" s="45">
        <v>43666</v>
      </c>
      <c r="GW11" s="45">
        <v>43667</v>
      </c>
      <c r="GX11" s="45">
        <v>43668</v>
      </c>
      <c r="GY11" s="45">
        <v>43669</v>
      </c>
      <c r="GZ11" s="45">
        <v>43670</v>
      </c>
      <c r="HA11" s="45">
        <v>43671</v>
      </c>
      <c r="HB11" s="45">
        <v>43672</v>
      </c>
      <c r="HC11" s="45">
        <v>43673</v>
      </c>
      <c r="HD11" s="45">
        <v>43674</v>
      </c>
      <c r="HE11" s="45">
        <v>43675</v>
      </c>
      <c r="HF11" s="45">
        <v>43676</v>
      </c>
      <c r="HG11" s="45">
        <v>43677</v>
      </c>
      <c r="HH11" s="45">
        <v>43678</v>
      </c>
      <c r="HI11" s="45">
        <v>43679</v>
      </c>
      <c r="HJ11" s="45">
        <v>43680</v>
      </c>
      <c r="HK11" s="45">
        <v>43681</v>
      </c>
      <c r="HL11" s="45">
        <v>43682</v>
      </c>
      <c r="HM11" s="45">
        <v>43683</v>
      </c>
      <c r="HN11" s="45">
        <v>43684</v>
      </c>
      <c r="HO11" s="45">
        <v>43685</v>
      </c>
      <c r="HP11" s="45">
        <v>43686</v>
      </c>
      <c r="HQ11" s="45">
        <v>43687</v>
      </c>
      <c r="HR11" s="45">
        <v>43688</v>
      </c>
      <c r="HS11" s="45">
        <v>43689</v>
      </c>
      <c r="HT11" s="45">
        <v>43690</v>
      </c>
      <c r="HU11" s="45">
        <v>43691</v>
      </c>
      <c r="HV11" s="45">
        <v>43692</v>
      </c>
      <c r="HW11" s="45">
        <v>43693</v>
      </c>
      <c r="HX11" s="45">
        <v>43694</v>
      </c>
      <c r="HY11" s="45">
        <v>43695</v>
      </c>
      <c r="HZ11" s="45">
        <v>43696</v>
      </c>
      <c r="IA11" s="45">
        <v>43697</v>
      </c>
      <c r="IB11" s="45">
        <v>43698</v>
      </c>
      <c r="IC11" s="45">
        <v>43699</v>
      </c>
      <c r="ID11" s="45">
        <v>43700</v>
      </c>
      <c r="IE11" s="45">
        <v>43701</v>
      </c>
      <c r="IF11" s="45">
        <v>43702</v>
      </c>
      <c r="IG11" s="45">
        <v>43703</v>
      </c>
      <c r="IH11" s="45">
        <v>43704</v>
      </c>
      <c r="II11" s="45">
        <v>43705</v>
      </c>
      <c r="IJ11" s="45">
        <v>43706</v>
      </c>
      <c r="IK11" s="45">
        <v>43707</v>
      </c>
      <c r="IL11" s="45">
        <v>43708</v>
      </c>
      <c r="IM11" s="45">
        <v>43709</v>
      </c>
      <c r="IN11" s="45">
        <v>43710</v>
      </c>
      <c r="IO11" s="45">
        <v>43711</v>
      </c>
      <c r="IP11" s="45">
        <v>43712</v>
      </c>
      <c r="IQ11" s="45">
        <v>43713</v>
      </c>
      <c r="IR11" s="45">
        <v>43714</v>
      </c>
      <c r="IS11" s="45">
        <v>43715</v>
      </c>
      <c r="IT11" s="45">
        <v>43716</v>
      </c>
      <c r="IU11" s="45">
        <v>43717</v>
      </c>
      <c r="IV11" s="45">
        <v>43718</v>
      </c>
      <c r="IW11" s="45">
        <v>43719</v>
      </c>
      <c r="IX11" s="45">
        <v>43720</v>
      </c>
      <c r="IY11" s="45">
        <v>43721</v>
      </c>
      <c r="IZ11" s="45">
        <v>43722</v>
      </c>
      <c r="JA11" s="45">
        <v>43723</v>
      </c>
      <c r="JB11" s="45">
        <v>43724</v>
      </c>
      <c r="JC11" s="45">
        <v>43725</v>
      </c>
      <c r="JD11" s="45">
        <v>43726</v>
      </c>
      <c r="JE11" s="45">
        <v>43727</v>
      </c>
      <c r="JF11" s="45">
        <v>43728</v>
      </c>
      <c r="JG11" s="45">
        <v>43729</v>
      </c>
      <c r="JH11" s="45">
        <v>43730</v>
      </c>
      <c r="JI11" s="45">
        <v>43731</v>
      </c>
      <c r="JJ11" s="45">
        <v>43732</v>
      </c>
      <c r="JK11" s="45">
        <v>43733</v>
      </c>
      <c r="JL11" s="45">
        <v>43734</v>
      </c>
      <c r="JM11" s="45">
        <v>43735</v>
      </c>
      <c r="JN11" s="45">
        <v>43736</v>
      </c>
      <c r="JO11" s="45">
        <v>43737</v>
      </c>
      <c r="JP11" s="45">
        <v>43738</v>
      </c>
      <c r="JQ11" s="45">
        <v>43739</v>
      </c>
      <c r="JR11" s="45">
        <v>43740</v>
      </c>
      <c r="JS11" s="45">
        <v>43741</v>
      </c>
      <c r="JT11" s="45">
        <v>43742</v>
      </c>
      <c r="JU11" s="45">
        <v>43743</v>
      </c>
      <c r="JV11" s="45">
        <v>43744</v>
      </c>
      <c r="JW11" s="45">
        <v>43745</v>
      </c>
      <c r="JX11" s="45">
        <v>43746</v>
      </c>
      <c r="JY11" s="45">
        <v>43747</v>
      </c>
      <c r="JZ11" s="45">
        <v>43748</v>
      </c>
      <c r="KA11" s="45">
        <v>43749</v>
      </c>
      <c r="KB11" s="45">
        <v>43750</v>
      </c>
      <c r="KC11" s="45">
        <v>43751</v>
      </c>
      <c r="KD11" s="45">
        <v>43752</v>
      </c>
      <c r="KE11" s="45">
        <v>43753</v>
      </c>
      <c r="KF11" s="45">
        <v>43754</v>
      </c>
      <c r="KG11" s="45">
        <v>43755</v>
      </c>
      <c r="KH11" s="45">
        <v>43756</v>
      </c>
      <c r="KI11" s="45">
        <v>43757</v>
      </c>
      <c r="KJ11" s="45">
        <v>43758</v>
      </c>
      <c r="KK11" s="45">
        <v>43759</v>
      </c>
      <c r="KL11" s="45">
        <v>43760</v>
      </c>
      <c r="KM11" s="45">
        <v>43761</v>
      </c>
      <c r="KN11" s="45">
        <v>43762</v>
      </c>
      <c r="KO11" s="45">
        <v>43763</v>
      </c>
      <c r="KP11" s="45">
        <v>43764</v>
      </c>
      <c r="KQ11" s="45">
        <v>43765</v>
      </c>
      <c r="KR11" s="45">
        <v>43766</v>
      </c>
      <c r="KS11" s="45">
        <v>43767</v>
      </c>
      <c r="KT11" s="45">
        <v>43768</v>
      </c>
      <c r="KU11" s="45">
        <v>43769</v>
      </c>
      <c r="KV11" s="45">
        <v>43770</v>
      </c>
      <c r="KW11" s="45">
        <v>43771</v>
      </c>
      <c r="KX11" s="45">
        <v>43772</v>
      </c>
      <c r="KY11" s="45">
        <v>43773</v>
      </c>
      <c r="KZ11" s="45">
        <v>43774</v>
      </c>
      <c r="LA11" s="45">
        <v>43775</v>
      </c>
      <c r="LB11" s="45">
        <v>43776</v>
      </c>
      <c r="LC11" s="45">
        <v>43777</v>
      </c>
      <c r="LD11" s="45">
        <v>43778</v>
      </c>
      <c r="LE11" s="45">
        <v>43779</v>
      </c>
      <c r="LF11" s="45">
        <v>43780</v>
      </c>
      <c r="LG11" s="45">
        <v>43781</v>
      </c>
      <c r="LH11" s="45">
        <v>43782</v>
      </c>
      <c r="LI11" s="45">
        <v>43783</v>
      </c>
      <c r="LJ11" s="45">
        <v>43784</v>
      </c>
      <c r="LK11" s="45">
        <v>43785</v>
      </c>
      <c r="LL11" s="45">
        <v>43786</v>
      </c>
      <c r="LM11" s="45">
        <v>43787</v>
      </c>
      <c r="LN11" s="45">
        <v>43788</v>
      </c>
      <c r="LO11" s="45">
        <v>43789</v>
      </c>
      <c r="LP11" s="45">
        <v>43790</v>
      </c>
      <c r="LQ11" s="45">
        <v>43791</v>
      </c>
      <c r="LR11" s="45">
        <v>43792</v>
      </c>
      <c r="LS11" s="45">
        <v>43793</v>
      </c>
      <c r="LT11" s="45">
        <v>43794</v>
      </c>
      <c r="LU11" s="45">
        <v>43795</v>
      </c>
      <c r="LV11" s="45">
        <v>43796</v>
      </c>
      <c r="LW11" s="45">
        <v>43797</v>
      </c>
      <c r="LX11" s="45">
        <v>43798</v>
      </c>
      <c r="LY11" s="45">
        <v>43799</v>
      </c>
      <c r="LZ11" s="45">
        <v>43800</v>
      </c>
      <c r="MA11" s="45">
        <v>43801</v>
      </c>
      <c r="MB11" s="45">
        <v>43802</v>
      </c>
      <c r="MC11" s="45">
        <v>43803</v>
      </c>
      <c r="MD11" s="45">
        <v>43804</v>
      </c>
      <c r="ME11" s="45">
        <v>43805</v>
      </c>
      <c r="MF11" s="45">
        <v>43806</v>
      </c>
      <c r="MG11" s="45">
        <v>43807</v>
      </c>
      <c r="MH11" s="45">
        <v>43808</v>
      </c>
      <c r="MI11" s="45">
        <v>43809</v>
      </c>
      <c r="MJ11" s="45">
        <v>43810</v>
      </c>
      <c r="MK11" s="45">
        <v>43811</v>
      </c>
      <c r="ML11" s="45">
        <v>43812</v>
      </c>
      <c r="MM11" s="45">
        <v>43813</v>
      </c>
      <c r="MN11" s="45">
        <v>43814</v>
      </c>
      <c r="MO11" s="45">
        <v>43815</v>
      </c>
      <c r="MP11" s="45">
        <v>43816</v>
      </c>
      <c r="MQ11" s="45">
        <v>43817</v>
      </c>
      <c r="MR11" s="45">
        <v>43818</v>
      </c>
      <c r="MS11" s="45">
        <v>43819</v>
      </c>
      <c r="MT11" s="45">
        <v>43820</v>
      </c>
      <c r="MU11" s="45">
        <v>43821</v>
      </c>
      <c r="MV11" s="45">
        <v>43822</v>
      </c>
      <c r="MW11" s="45">
        <v>43823</v>
      </c>
      <c r="MX11" s="45">
        <v>43824</v>
      </c>
      <c r="MY11" s="45">
        <v>43825</v>
      </c>
      <c r="MZ11" s="45">
        <v>43826</v>
      </c>
      <c r="NA11" s="45">
        <v>43827</v>
      </c>
      <c r="NB11" s="45">
        <v>43828</v>
      </c>
      <c r="NC11" s="45">
        <v>43829</v>
      </c>
      <c r="ND11" s="45">
        <v>43830</v>
      </c>
    </row>
    <row r="12" spans="1:368" s="12" customFormat="1" ht="10.15"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</row>
    <row r="13" spans="1:368">
      <c r="A13" s="1" t="s">
        <v>91</v>
      </c>
      <c r="C13" s="1" t="s">
        <v>12</v>
      </c>
      <c r="D13" s="1" t="s">
        <v>0</v>
      </c>
      <c r="E13" s="1" t="s">
        <v>2</v>
      </c>
      <c r="F13" s="1" t="s">
        <v>4</v>
      </c>
      <c r="G13" s="1" t="s">
        <v>4</v>
      </c>
      <c r="K13" s="1" t="s">
        <v>0</v>
      </c>
      <c r="L13" s="1" t="s">
        <v>0</v>
      </c>
      <c r="M13" s="1" t="s">
        <v>2</v>
      </c>
      <c r="N13" s="1" t="s">
        <v>2</v>
      </c>
      <c r="O13" s="1" t="s">
        <v>4</v>
      </c>
      <c r="P13" s="1" t="s">
        <v>6</v>
      </c>
      <c r="T13" s="1" t="s">
        <v>0</v>
      </c>
      <c r="U13" s="1" t="s">
        <v>6</v>
      </c>
      <c r="V13" s="1" t="s">
        <v>2</v>
      </c>
      <c r="W13" s="1" t="s">
        <v>2</v>
      </c>
      <c r="X13" s="1" t="s">
        <v>4</v>
      </c>
      <c r="Y13" s="1" t="s">
        <v>4</v>
      </c>
      <c r="AC13" s="1" t="s">
        <v>0</v>
      </c>
      <c r="AD13" s="1" t="s">
        <v>0</v>
      </c>
      <c r="AE13" s="1" t="s">
        <v>2</v>
      </c>
      <c r="AF13" s="1" t="s">
        <v>2</v>
      </c>
      <c r="AG13" s="1" t="s">
        <v>4</v>
      </c>
      <c r="AL13" s="1" t="s">
        <v>0</v>
      </c>
      <c r="AM13" s="1" t="s">
        <v>0</v>
      </c>
      <c r="AN13" s="1" t="s">
        <v>2</v>
      </c>
      <c r="AO13" s="1" t="s">
        <v>4</v>
      </c>
      <c r="AP13" s="1" t="s">
        <v>4</v>
      </c>
      <c r="AU13" s="1" t="s">
        <v>0</v>
      </c>
      <c r="AV13" s="1" t="s">
        <v>2</v>
      </c>
      <c r="AW13" s="1" t="s">
        <v>2</v>
      </c>
      <c r="AX13" s="1" t="s">
        <v>4</v>
      </c>
      <c r="AY13" s="1" t="s">
        <v>4</v>
      </c>
      <c r="BC13" s="1" t="s">
        <v>0</v>
      </c>
      <c r="BD13" s="1" t="s">
        <v>0</v>
      </c>
      <c r="BE13" s="1" t="s">
        <v>2</v>
      </c>
      <c r="BF13" s="1" t="s">
        <v>2</v>
      </c>
      <c r="BG13" s="1" t="s">
        <v>4</v>
      </c>
      <c r="BH13" s="1" t="s">
        <v>4</v>
      </c>
      <c r="BL13" s="1" t="s">
        <v>0</v>
      </c>
      <c r="BM13" s="1" t="s">
        <v>0</v>
      </c>
      <c r="BN13" s="1" t="s">
        <v>2</v>
      </c>
      <c r="BO13" s="1" t="s">
        <v>2</v>
      </c>
      <c r="BP13" s="1" t="s">
        <v>4</v>
      </c>
      <c r="BU13" s="1" t="s">
        <v>0</v>
      </c>
      <c r="BV13" s="1" t="s">
        <v>0</v>
      </c>
      <c r="BW13" s="1" t="s">
        <v>2</v>
      </c>
      <c r="BX13" s="1" t="s">
        <v>4</v>
      </c>
      <c r="BY13" s="1" t="s">
        <v>4</v>
      </c>
      <c r="CD13" s="1" t="s">
        <v>4</v>
      </c>
      <c r="CG13" s="1" t="s">
        <v>4</v>
      </c>
      <c r="CH13" s="1" t="s">
        <v>4</v>
      </c>
      <c r="CL13" s="1" t="s">
        <v>0</v>
      </c>
      <c r="CM13" s="1" t="s">
        <v>0</v>
      </c>
      <c r="CN13" s="1" t="s">
        <v>2</v>
      </c>
      <c r="CO13" s="1" t="s">
        <v>2</v>
      </c>
      <c r="CP13" s="1" t="s">
        <v>4</v>
      </c>
      <c r="CQ13" s="1" t="s">
        <v>4</v>
      </c>
      <c r="CU13" s="1" t="s">
        <v>0</v>
      </c>
      <c r="CV13" s="1" t="s">
        <v>0</v>
      </c>
      <c r="CW13" s="1" t="s">
        <v>2</v>
      </c>
      <c r="CX13" s="1" t="s">
        <v>2</v>
      </c>
      <c r="CY13" s="1" t="s">
        <v>4</v>
      </c>
      <c r="CZ13" s="1" t="s">
        <v>4</v>
      </c>
      <c r="DD13" s="1" t="s">
        <v>0</v>
      </c>
      <c r="DE13" s="1" t="s">
        <v>0</v>
      </c>
      <c r="DF13" s="1" t="s">
        <v>6</v>
      </c>
      <c r="DG13" s="1" t="s">
        <v>4</v>
      </c>
      <c r="DH13" s="1" t="s">
        <v>4</v>
      </c>
      <c r="DM13" s="1" t="s">
        <v>0</v>
      </c>
      <c r="DN13" s="1" t="s">
        <v>2</v>
      </c>
      <c r="DO13" s="1" t="s">
        <v>2</v>
      </c>
      <c r="DP13" s="1" t="s">
        <v>4</v>
      </c>
      <c r="DQ13" s="1" t="s">
        <v>4</v>
      </c>
      <c r="DU13" s="1" t="s">
        <v>0</v>
      </c>
      <c r="DV13" s="1" t="s">
        <v>0</v>
      </c>
      <c r="DW13" s="1" t="s">
        <v>2</v>
      </c>
      <c r="DX13" s="1" t="s">
        <v>2</v>
      </c>
      <c r="DY13" s="1" t="s">
        <v>4</v>
      </c>
      <c r="DZ13" s="1" t="s">
        <v>4</v>
      </c>
      <c r="ED13" s="1" t="s">
        <v>0</v>
      </c>
      <c r="EE13" s="1" t="s">
        <v>0</v>
      </c>
      <c r="EF13" s="1" t="s">
        <v>2</v>
      </c>
      <c r="EG13" s="1" t="s">
        <v>2</v>
      </c>
      <c r="EH13" s="1" t="s">
        <v>4</v>
      </c>
      <c r="EM13" s="1" t="s">
        <v>0</v>
      </c>
      <c r="EN13" s="1" t="s">
        <v>0</v>
      </c>
      <c r="EO13" s="1" t="s">
        <v>2</v>
      </c>
      <c r="EP13" s="1" t="s">
        <v>4</v>
      </c>
      <c r="EQ13" s="1" t="s">
        <v>4</v>
      </c>
      <c r="EV13" s="1" t="s">
        <v>0</v>
      </c>
      <c r="EW13" s="1" t="s">
        <v>2</v>
      </c>
      <c r="EX13" s="1" t="s">
        <v>2</v>
      </c>
      <c r="EY13" s="1" t="s">
        <v>4</v>
      </c>
      <c r="EZ13" s="1" t="s">
        <v>4</v>
      </c>
      <c r="FD13" s="1" t="s">
        <v>0</v>
      </c>
      <c r="FE13" s="1" t="s">
        <v>0</v>
      </c>
      <c r="FF13" s="1" t="s">
        <v>2</v>
      </c>
      <c r="FG13" s="1" t="s">
        <v>2</v>
      </c>
      <c r="FH13" s="1" t="s">
        <v>4</v>
      </c>
      <c r="FI13" s="1" t="s">
        <v>4</v>
      </c>
      <c r="FM13" s="1" t="s">
        <v>0</v>
      </c>
      <c r="FN13" s="1" t="s">
        <v>0</v>
      </c>
      <c r="FO13" s="1" t="s">
        <v>2</v>
      </c>
      <c r="FP13" s="1" t="s">
        <v>2</v>
      </c>
      <c r="FQ13" s="1" t="s">
        <v>4</v>
      </c>
      <c r="FV13" s="1" t="s">
        <v>0</v>
      </c>
      <c r="FW13" s="1" t="s">
        <v>0</v>
      </c>
      <c r="FX13" s="1" t="s">
        <v>2</v>
      </c>
      <c r="FY13" s="1" t="s">
        <v>4</v>
      </c>
      <c r="FZ13" s="1" t="s">
        <v>4</v>
      </c>
      <c r="GE13" s="1" t="s">
        <v>0</v>
      </c>
      <c r="GF13" s="1" t="s">
        <v>2</v>
      </c>
      <c r="GG13" s="1" t="s">
        <v>2</v>
      </c>
      <c r="GH13" s="1" t="s">
        <v>4</v>
      </c>
      <c r="GI13" s="1" t="s">
        <v>4</v>
      </c>
      <c r="GM13" s="1" t="s">
        <v>0</v>
      </c>
      <c r="GN13" s="1" t="s">
        <v>0</v>
      </c>
      <c r="GO13" s="1" t="s">
        <v>2</v>
      </c>
      <c r="GP13" s="1" t="s">
        <v>2</v>
      </c>
      <c r="GQ13" s="1" t="s">
        <v>4</v>
      </c>
      <c r="GR13" s="1" t="s">
        <v>4</v>
      </c>
      <c r="GV13" s="1" t="s">
        <v>0</v>
      </c>
      <c r="GW13" s="1" t="s">
        <v>0</v>
      </c>
      <c r="GX13" s="1" t="s">
        <v>2</v>
      </c>
      <c r="GY13" s="1" t="s">
        <v>2</v>
      </c>
      <c r="GZ13" s="1" t="s">
        <v>4</v>
      </c>
      <c r="HE13" s="1" t="s">
        <v>0</v>
      </c>
      <c r="HF13" s="1" t="s">
        <v>0</v>
      </c>
      <c r="HG13" s="1" t="s">
        <v>2</v>
      </c>
      <c r="HH13" s="1" t="s">
        <v>4</v>
      </c>
      <c r="HI13" s="1" t="s">
        <v>4</v>
      </c>
      <c r="HN13" s="1" t="s">
        <v>0</v>
      </c>
      <c r="HO13" s="1" t="s">
        <v>2</v>
      </c>
      <c r="HP13" s="1" t="s">
        <v>2</v>
      </c>
      <c r="HQ13" s="1" t="s">
        <v>4</v>
      </c>
      <c r="HR13" s="1" t="s">
        <v>4</v>
      </c>
      <c r="HV13" s="1" t="s">
        <v>0</v>
      </c>
      <c r="HW13" s="1" t="s">
        <v>0</v>
      </c>
      <c r="HX13" s="1" t="s">
        <v>2</v>
      </c>
      <c r="HY13" s="1" t="s">
        <v>2</v>
      </c>
      <c r="HZ13" s="1" t="s">
        <v>4</v>
      </c>
      <c r="IA13" s="1" t="s">
        <v>4</v>
      </c>
      <c r="IE13" s="1" t="s">
        <v>0</v>
      </c>
      <c r="IF13" s="1" t="s">
        <v>0</v>
      </c>
      <c r="IG13" s="1" t="s">
        <v>2</v>
      </c>
      <c r="IH13" s="1" t="s">
        <v>2</v>
      </c>
      <c r="II13" s="1" t="s">
        <v>4</v>
      </c>
      <c r="IN13" s="1" t="s">
        <v>0</v>
      </c>
      <c r="IO13" s="1" t="s">
        <v>0</v>
      </c>
      <c r="IP13" s="1" t="s">
        <v>2</v>
      </c>
      <c r="IQ13" s="1" t="s">
        <v>4</v>
      </c>
      <c r="IR13" s="1" t="s">
        <v>4</v>
      </c>
      <c r="IW13" s="1" t="s">
        <v>0</v>
      </c>
      <c r="IX13" s="1" t="s">
        <v>2</v>
      </c>
      <c r="IY13" s="1" t="s">
        <v>2</v>
      </c>
      <c r="IZ13" s="1" t="s">
        <v>4</v>
      </c>
      <c r="JA13" s="1" t="s">
        <v>4</v>
      </c>
      <c r="JE13" s="1" t="s">
        <v>0</v>
      </c>
      <c r="JF13" s="1" t="s">
        <v>0</v>
      </c>
      <c r="JG13" s="1" t="s">
        <v>2</v>
      </c>
      <c r="JH13" s="1" t="s">
        <v>2</v>
      </c>
      <c r="JI13" s="1" t="s">
        <v>4</v>
      </c>
      <c r="JJ13" s="1" t="s">
        <v>4</v>
      </c>
      <c r="JN13" s="1" t="s">
        <v>0</v>
      </c>
      <c r="JO13" s="1" t="s">
        <v>0</v>
      </c>
      <c r="JP13" s="1" t="s">
        <v>2</v>
      </c>
      <c r="JQ13" s="1" t="s">
        <v>2</v>
      </c>
      <c r="JR13" s="1" t="s">
        <v>4</v>
      </c>
      <c r="JW13" s="1" t="s">
        <v>0</v>
      </c>
      <c r="JX13" s="1" t="s">
        <v>0</v>
      </c>
      <c r="JY13" s="1" t="s">
        <v>2</v>
      </c>
      <c r="JZ13" s="1" t="s">
        <v>4</v>
      </c>
      <c r="KA13" s="1" t="s">
        <v>4</v>
      </c>
      <c r="KF13" s="1" t="s">
        <v>0</v>
      </c>
      <c r="KG13" s="1" t="s">
        <v>2</v>
      </c>
      <c r="KH13" s="1" t="s">
        <v>2</v>
      </c>
      <c r="KI13" s="1" t="s">
        <v>4</v>
      </c>
      <c r="KJ13" s="1" t="s">
        <v>4</v>
      </c>
      <c r="KN13" s="1" t="s">
        <v>0</v>
      </c>
      <c r="KO13" s="1" t="s">
        <v>0</v>
      </c>
      <c r="KP13" s="1" t="s">
        <v>2</v>
      </c>
      <c r="KQ13" s="1" t="s">
        <v>2</v>
      </c>
      <c r="KR13" s="1" t="s">
        <v>4</v>
      </c>
      <c r="KS13" s="1" t="s">
        <v>4</v>
      </c>
      <c r="KW13" s="1" t="s">
        <v>0</v>
      </c>
      <c r="KX13" s="1" t="s">
        <v>0</v>
      </c>
      <c r="KY13" s="1" t="s">
        <v>2</v>
      </c>
      <c r="KZ13" s="1" t="s">
        <v>2</v>
      </c>
      <c r="LA13" s="1" t="s">
        <v>4</v>
      </c>
      <c r="LF13" s="1" t="s">
        <v>0</v>
      </c>
      <c r="LG13" s="1" t="s">
        <v>0</v>
      </c>
      <c r="LH13" s="1" t="s">
        <v>2</v>
      </c>
      <c r="LI13" s="1" t="s">
        <v>4</v>
      </c>
      <c r="LJ13" s="1" t="s">
        <v>4</v>
      </c>
      <c r="LO13" s="1" t="s">
        <v>0</v>
      </c>
      <c r="LP13" s="1" t="s">
        <v>2</v>
      </c>
      <c r="LQ13" s="1" t="s">
        <v>2</v>
      </c>
      <c r="LR13" s="1" t="s">
        <v>4</v>
      </c>
      <c r="LS13" s="1" t="s">
        <v>4</v>
      </c>
      <c r="LW13" s="1" t="s">
        <v>0</v>
      </c>
      <c r="LX13" s="1" t="s">
        <v>0</v>
      </c>
      <c r="LY13" s="1" t="s">
        <v>2</v>
      </c>
      <c r="LZ13" s="1" t="s">
        <v>2</v>
      </c>
      <c r="MA13" s="1" t="s">
        <v>4</v>
      </c>
      <c r="MB13" s="1" t="s">
        <v>4</v>
      </c>
      <c r="MF13" s="1" t="s">
        <v>0</v>
      </c>
      <c r="MG13" s="1" t="s">
        <v>0</v>
      </c>
      <c r="MH13" s="1" t="s">
        <v>2</v>
      </c>
      <c r="MI13" s="1" t="s">
        <v>2</v>
      </c>
      <c r="MJ13" s="1" t="s">
        <v>4</v>
      </c>
      <c r="MO13" s="1" t="s">
        <v>0</v>
      </c>
      <c r="MP13" s="1" t="s">
        <v>0</v>
      </c>
      <c r="MQ13" s="1" t="s">
        <v>2</v>
      </c>
      <c r="MR13" s="1" t="s">
        <v>4</v>
      </c>
      <c r="MS13" s="1" t="s">
        <v>4</v>
      </c>
      <c r="MX13" s="1" t="s">
        <v>0</v>
      </c>
      <c r="MY13" s="1" t="s">
        <v>2</v>
      </c>
      <c r="MZ13" s="1" t="s">
        <v>2</v>
      </c>
      <c r="NA13" s="1" t="s">
        <v>4</v>
      </c>
      <c r="NB13" s="1" t="s">
        <v>4</v>
      </c>
    </row>
    <row r="14" spans="1:368" s="8" customFormat="1" ht="10.15">
      <c r="BU14" s="8" t="s">
        <v>99</v>
      </c>
      <c r="BV14" s="8" t="s">
        <v>99</v>
      </c>
      <c r="CD14" s="8" t="s">
        <v>99</v>
      </c>
      <c r="DD14" s="8" t="s">
        <v>99</v>
      </c>
      <c r="DE14" s="8" t="s">
        <v>99</v>
      </c>
      <c r="DM14" s="8" t="s">
        <v>99</v>
      </c>
      <c r="ED14" s="8" t="s">
        <v>99</v>
      </c>
      <c r="EE14" s="8" t="s">
        <v>99</v>
      </c>
      <c r="EM14" s="8" t="s">
        <v>99</v>
      </c>
      <c r="EN14" s="8" t="s">
        <v>99</v>
      </c>
      <c r="EV14" s="8" t="s">
        <v>99</v>
      </c>
      <c r="FM14" s="8" t="s">
        <v>99</v>
      </c>
      <c r="FN14" s="8" t="s">
        <v>99</v>
      </c>
      <c r="FV14" s="8" t="s">
        <v>99</v>
      </c>
      <c r="FW14" s="8" t="s">
        <v>99</v>
      </c>
      <c r="GE14" s="8" t="s">
        <v>99</v>
      </c>
      <c r="GV14" s="8" t="s">
        <v>99</v>
      </c>
      <c r="GW14" s="8" t="s">
        <v>99</v>
      </c>
      <c r="HE14" s="8" t="s">
        <v>99</v>
      </c>
      <c r="HF14" s="8" t="s">
        <v>99</v>
      </c>
      <c r="HN14" s="8" t="s">
        <v>99</v>
      </c>
      <c r="IE14" s="8" t="s">
        <v>99</v>
      </c>
      <c r="IF14" s="8" t="s">
        <v>99</v>
      </c>
    </row>
    <row r="15" spans="1:368">
      <c r="A15" s="1" t="s">
        <v>77</v>
      </c>
      <c r="B15" s="1" t="s">
        <v>77</v>
      </c>
      <c r="C15" s="1" t="s">
        <v>6</v>
      </c>
      <c r="D15" s="1" t="s">
        <v>6</v>
      </c>
      <c r="E15" s="1" t="s">
        <v>6</v>
      </c>
      <c r="F15" s="1" t="s">
        <v>6</v>
      </c>
      <c r="G15" s="1" t="s">
        <v>6</v>
      </c>
      <c r="H15" s="1" t="s">
        <v>6</v>
      </c>
      <c r="I15" s="1" t="s">
        <v>6</v>
      </c>
      <c r="J15" s="1" t="s">
        <v>6</v>
      </c>
      <c r="K15" s="1" t="s">
        <v>6</v>
      </c>
      <c r="L15" s="1" t="s">
        <v>6</v>
      </c>
      <c r="M15" s="1" t="s">
        <v>6</v>
      </c>
      <c r="N15" s="1" t="s">
        <v>6</v>
      </c>
      <c r="O15" s="1" t="s">
        <v>2</v>
      </c>
      <c r="P15" s="1" t="s">
        <v>4</v>
      </c>
      <c r="R15" s="1" t="s">
        <v>8</v>
      </c>
      <c r="S15" s="1" t="s">
        <v>8</v>
      </c>
      <c r="U15" s="1" t="s">
        <v>0</v>
      </c>
      <c r="V15" s="1" t="s">
        <v>8</v>
      </c>
      <c r="W15" s="1" t="s">
        <v>8</v>
      </c>
      <c r="X15" s="1" t="s">
        <v>8</v>
      </c>
      <c r="Y15" s="1" t="s">
        <v>8</v>
      </c>
      <c r="AC15" s="1" t="s">
        <v>8</v>
      </c>
      <c r="AD15" s="1" t="s">
        <v>8</v>
      </c>
      <c r="AE15" s="1" t="s">
        <v>8</v>
      </c>
      <c r="AF15" s="1" t="s">
        <v>8</v>
      </c>
      <c r="AG15" s="1" t="s">
        <v>8</v>
      </c>
      <c r="AJ15" s="1" t="s">
        <v>8</v>
      </c>
      <c r="AK15" s="1" t="s">
        <v>8</v>
      </c>
      <c r="AL15" s="1" t="s">
        <v>8</v>
      </c>
      <c r="AM15" s="1" t="s">
        <v>8</v>
      </c>
      <c r="AN15" s="1" t="s">
        <v>8</v>
      </c>
      <c r="AQ15" s="1" t="s">
        <v>8</v>
      </c>
      <c r="AR15" s="1" t="s">
        <v>8</v>
      </c>
      <c r="AS15" s="1" t="s">
        <v>8</v>
      </c>
      <c r="AT15" s="1" t="s">
        <v>8</v>
      </c>
      <c r="AU15" s="1" t="s">
        <v>8</v>
      </c>
      <c r="AX15" s="1" t="s">
        <v>8</v>
      </c>
      <c r="AY15" s="1" t="s">
        <v>8</v>
      </c>
      <c r="AZ15" s="1" t="s">
        <v>8</v>
      </c>
      <c r="BA15" s="1" t="s">
        <v>8</v>
      </c>
      <c r="BB15" s="1" t="s">
        <v>8</v>
      </c>
      <c r="BE15" s="1" t="s">
        <v>8</v>
      </c>
      <c r="BF15" s="1" t="s">
        <v>8</v>
      </c>
      <c r="BG15" s="1" t="s">
        <v>8</v>
      </c>
      <c r="BH15" s="1" t="s">
        <v>8</v>
      </c>
      <c r="BK15" s="1" t="s">
        <v>2</v>
      </c>
      <c r="BL15" s="1" t="s">
        <v>4</v>
      </c>
      <c r="BM15" s="1" t="s">
        <v>4</v>
      </c>
      <c r="BQ15" s="1" t="s">
        <v>2</v>
      </c>
      <c r="BR15" s="1" t="s">
        <v>2</v>
      </c>
      <c r="BS15" s="1" t="s">
        <v>2</v>
      </c>
      <c r="BT15" s="1" t="s">
        <v>2</v>
      </c>
      <c r="BU15" s="1" t="s">
        <v>4</v>
      </c>
      <c r="BV15" s="1" t="s">
        <v>4</v>
      </c>
      <c r="BX15" s="1" t="s">
        <v>4</v>
      </c>
      <c r="BY15" s="1" t="s">
        <v>4</v>
      </c>
      <c r="CB15" s="1" t="s">
        <v>2</v>
      </c>
      <c r="CC15" s="1" t="s">
        <v>2</v>
      </c>
      <c r="CD15" s="1" t="s">
        <v>4</v>
      </c>
      <c r="CG15" s="1" t="s">
        <v>4</v>
      </c>
      <c r="CH15" s="1" t="s">
        <v>4</v>
      </c>
      <c r="CK15" s="1" t="s">
        <v>2</v>
      </c>
      <c r="CL15" s="1" t="s">
        <v>4</v>
      </c>
      <c r="CM15" s="1" t="s">
        <v>4</v>
      </c>
      <c r="CR15" s="1" t="s">
        <v>0</v>
      </c>
      <c r="CS15" s="1" t="s">
        <v>2</v>
      </c>
      <c r="CT15" s="1" t="s">
        <v>2</v>
      </c>
      <c r="CU15" s="1" t="s">
        <v>4</v>
      </c>
      <c r="CV15" s="1" t="s">
        <v>4</v>
      </c>
      <c r="CZ15" s="1" t="s">
        <v>100</v>
      </c>
      <c r="DA15" s="1" t="s">
        <v>0</v>
      </c>
      <c r="DB15" s="1" t="s">
        <v>2</v>
      </c>
      <c r="DC15" s="1" t="s">
        <v>2</v>
      </c>
      <c r="DD15" s="1" t="s">
        <v>4</v>
      </c>
      <c r="DE15" s="1" t="s">
        <v>4</v>
      </c>
      <c r="DI15" s="1" t="s">
        <v>8</v>
      </c>
      <c r="DJ15" s="1" t="s">
        <v>8</v>
      </c>
      <c r="DK15" s="1" t="s">
        <v>8</v>
      </c>
      <c r="DL15" s="1" t="s">
        <v>8</v>
      </c>
      <c r="DM15" s="1" t="s">
        <v>8</v>
      </c>
      <c r="DP15" s="1" t="s">
        <v>8</v>
      </c>
      <c r="DQ15" s="1" t="s">
        <v>8</v>
      </c>
      <c r="DR15" s="1" t="s">
        <v>8</v>
      </c>
      <c r="DS15" s="1" t="s">
        <v>8</v>
      </c>
      <c r="DT15" s="1" t="s">
        <v>8</v>
      </c>
      <c r="DW15" s="1" t="s">
        <v>8</v>
      </c>
      <c r="DX15" s="1" t="s">
        <v>8</v>
      </c>
      <c r="DY15" s="1" t="s">
        <v>8</v>
      </c>
      <c r="DZ15" s="1" t="s">
        <v>8</v>
      </c>
      <c r="EA15" s="1" t="s">
        <v>8</v>
      </c>
      <c r="ED15" s="1" t="s">
        <v>8</v>
      </c>
      <c r="EE15" s="1" t="s">
        <v>8</v>
      </c>
      <c r="EF15" s="1" t="s">
        <v>8</v>
      </c>
      <c r="EG15" s="1" t="s">
        <v>8</v>
      </c>
      <c r="EH15" s="1" t="s">
        <v>8</v>
      </c>
      <c r="EM15" s="1" t="s">
        <v>0</v>
      </c>
      <c r="EN15" s="1" t="s">
        <v>0</v>
      </c>
      <c r="EO15" s="1" t="s">
        <v>2</v>
      </c>
      <c r="EP15" s="1" t="s">
        <v>4</v>
      </c>
      <c r="EQ15" s="1" t="s">
        <v>4</v>
      </c>
      <c r="EV15" s="1" t="s">
        <v>0</v>
      </c>
      <c r="EW15" s="1" t="s">
        <v>2</v>
      </c>
      <c r="EX15" s="1" t="s">
        <v>2</v>
      </c>
      <c r="EY15" s="1" t="s">
        <v>4</v>
      </c>
      <c r="EZ15" s="1" t="s">
        <v>4</v>
      </c>
      <c r="FD15" s="1" t="s">
        <v>0</v>
      </c>
      <c r="FE15" s="1" t="s">
        <v>0</v>
      </c>
      <c r="FF15" s="1" t="s">
        <v>2</v>
      </c>
      <c r="FG15" s="1" t="s">
        <v>2</v>
      </c>
      <c r="FH15" s="1" t="s">
        <v>4</v>
      </c>
      <c r="FI15" s="1" t="s">
        <v>4</v>
      </c>
      <c r="FM15" s="1" t="s">
        <v>0</v>
      </c>
      <c r="FN15" s="1" t="s">
        <v>0</v>
      </c>
      <c r="FO15" s="1" t="s">
        <v>2</v>
      </c>
      <c r="FP15" s="1" t="s">
        <v>2</v>
      </c>
      <c r="FQ15" s="1" t="s">
        <v>4</v>
      </c>
      <c r="FV15" s="1" t="s">
        <v>0</v>
      </c>
      <c r="FW15" s="1" t="s">
        <v>0</v>
      </c>
      <c r="FX15" s="1" t="s">
        <v>0</v>
      </c>
      <c r="FY15" s="1" t="s">
        <v>4</v>
      </c>
      <c r="FZ15" s="1" t="s">
        <v>4</v>
      </c>
      <c r="GE15" s="1" t="s">
        <v>0</v>
      </c>
      <c r="GF15" s="1" t="s">
        <v>2</v>
      </c>
      <c r="GG15" s="1" t="s">
        <v>2</v>
      </c>
      <c r="GH15" s="1" t="s">
        <v>4</v>
      </c>
      <c r="GI15" s="1" t="s">
        <v>4</v>
      </c>
      <c r="GM15" s="1" t="s">
        <v>0</v>
      </c>
      <c r="GN15" s="1" t="s">
        <v>0</v>
      </c>
      <c r="GO15" s="1" t="s">
        <v>2</v>
      </c>
      <c r="GP15" s="1" t="s">
        <v>2</v>
      </c>
      <c r="GQ15" s="1" t="s">
        <v>4</v>
      </c>
      <c r="GR15" s="1" t="s">
        <v>4</v>
      </c>
      <c r="GV15" s="1" t="s">
        <v>0</v>
      </c>
      <c r="GW15" s="1" t="s">
        <v>0</v>
      </c>
      <c r="GX15" s="1" t="s">
        <v>2</v>
      </c>
      <c r="GY15" s="1" t="s">
        <v>2</v>
      </c>
      <c r="GZ15" s="1" t="s">
        <v>4</v>
      </c>
      <c r="HE15" s="1" t="s">
        <v>0</v>
      </c>
      <c r="HF15" s="1" t="s">
        <v>0</v>
      </c>
      <c r="HG15" s="1" t="s">
        <v>2</v>
      </c>
      <c r="HH15" s="1" t="s">
        <v>4</v>
      </c>
      <c r="HI15" s="1" t="s">
        <v>4</v>
      </c>
      <c r="HN15" s="1" t="s">
        <v>0</v>
      </c>
      <c r="HO15" s="1" t="s">
        <v>2</v>
      </c>
      <c r="HP15" s="1" t="s">
        <v>2</v>
      </c>
      <c r="HQ15" s="1" t="s">
        <v>4</v>
      </c>
      <c r="HR15" s="1" t="s">
        <v>4</v>
      </c>
      <c r="HV15" s="1" t="s">
        <v>0</v>
      </c>
      <c r="HW15" s="1" t="s">
        <v>0</v>
      </c>
      <c r="HX15" s="1" t="s">
        <v>2</v>
      </c>
      <c r="HY15" s="1" t="s">
        <v>2</v>
      </c>
      <c r="HZ15" s="1" t="s">
        <v>4</v>
      </c>
      <c r="IA15" s="1" t="s">
        <v>4</v>
      </c>
      <c r="IE15" s="1" t="s">
        <v>0</v>
      </c>
      <c r="IF15" s="1" t="s">
        <v>0</v>
      </c>
      <c r="IG15" s="1" t="s">
        <v>2</v>
      </c>
      <c r="IH15" s="1" t="s">
        <v>2</v>
      </c>
      <c r="II15" s="1" t="s">
        <v>4</v>
      </c>
      <c r="IN15" s="1" t="s">
        <v>0</v>
      </c>
      <c r="IO15" s="1" t="s">
        <v>0</v>
      </c>
      <c r="IP15" s="1" t="s">
        <v>2</v>
      </c>
      <c r="IQ15" s="1" t="s">
        <v>4</v>
      </c>
      <c r="IR15" s="1" t="s">
        <v>4</v>
      </c>
      <c r="IW15" s="1" t="s">
        <v>0</v>
      </c>
      <c r="IX15" s="1" t="s">
        <v>2</v>
      </c>
      <c r="IY15" s="1" t="s">
        <v>2</v>
      </c>
      <c r="IZ15" s="1" t="s">
        <v>4</v>
      </c>
      <c r="JA15" s="1" t="s">
        <v>4</v>
      </c>
      <c r="JE15" s="1" t="s">
        <v>0</v>
      </c>
      <c r="JF15" s="1" t="s">
        <v>0</v>
      </c>
      <c r="JG15" s="1" t="s">
        <v>2</v>
      </c>
      <c r="JH15" s="1" t="s">
        <v>2</v>
      </c>
      <c r="JI15" s="1" t="s">
        <v>4</v>
      </c>
      <c r="JJ15" s="1" t="s">
        <v>4</v>
      </c>
      <c r="JN15" s="1" t="s">
        <v>0</v>
      </c>
      <c r="JO15" s="1" t="s">
        <v>0</v>
      </c>
      <c r="JP15" s="1" t="s">
        <v>2</v>
      </c>
      <c r="JQ15" s="1" t="s">
        <v>2</v>
      </c>
      <c r="JR15" s="1" t="s">
        <v>4</v>
      </c>
      <c r="JW15" s="1" t="s">
        <v>0</v>
      </c>
      <c r="JX15" s="1" t="s">
        <v>0</v>
      </c>
      <c r="JY15" s="1" t="s">
        <v>2</v>
      </c>
      <c r="JZ15" s="1" t="s">
        <v>4</v>
      </c>
      <c r="KA15" s="1" t="s">
        <v>4</v>
      </c>
      <c r="KF15" s="1" t="s">
        <v>0</v>
      </c>
      <c r="KG15" s="1" t="s">
        <v>2</v>
      </c>
      <c r="KH15" s="1" t="s">
        <v>2</v>
      </c>
      <c r="KI15" s="1" t="s">
        <v>4</v>
      </c>
      <c r="KJ15" s="1" t="s">
        <v>4</v>
      </c>
      <c r="KN15" s="1" t="s">
        <v>0</v>
      </c>
      <c r="KO15" s="1" t="s">
        <v>0</v>
      </c>
      <c r="KP15" s="1" t="s">
        <v>2</v>
      </c>
      <c r="KQ15" s="1" t="s">
        <v>2</v>
      </c>
      <c r="KR15" s="1" t="s">
        <v>4</v>
      </c>
      <c r="KS15" s="1" t="s">
        <v>4</v>
      </c>
      <c r="KW15" s="1" t="s">
        <v>0</v>
      </c>
      <c r="KX15" s="1" t="s">
        <v>0</v>
      </c>
      <c r="KY15" s="1" t="s">
        <v>2</v>
      </c>
      <c r="KZ15" s="1" t="s">
        <v>2</v>
      </c>
      <c r="LA15" s="1" t="s">
        <v>4</v>
      </c>
      <c r="LF15" s="1" t="s">
        <v>0</v>
      </c>
      <c r="LG15" s="1" t="s">
        <v>0</v>
      </c>
      <c r="LH15" s="1" t="s">
        <v>2</v>
      </c>
      <c r="LI15" s="1" t="s">
        <v>4</v>
      </c>
      <c r="LJ15" s="1" t="s">
        <v>4</v>
      </c>
      <c r="LO15" s="1" t="s">
        <v>0</v>
      </c>
      <c r="LP15" s="1" t="s">
        <v>2</v>
      </c>
      <c r="LQ15" s="1" t="s">
        <v>2</v>
      </c>
      <c r="LR15" s="1" t="s">
        <v>4</v>
      </c>
      <c r="LS15" s="1" t="s">
        <v>4</v>
      </c>
      <c r="LW15" s="1" t="s">
        <v>0</v>
      </c>
      <c r="LX15" s="1" t="s">
        <v>0</v>
      </c>
      <c r="LY15" s="1" t="s">
        <v>2</v>
      </c>
      <c r="LZ15" s="1" t="s">
        <v>2</v>
      </c>
      <c r="MA15" s="1" t="s">
        <v>4</v>
      </c>
      <c r="MB15" s="1" t="s">
        <v>4</v>
      </c>
      <c r="MF15" s="1" t="s">
        <v>0</v>
      </c>
      <c r="MG15" s="1" t="s">
        <v>0</v>
      </c>
      <c r="MH15" s="1" t="s">
        <v>2</v>
      </c>
      <c r="MI15" s="1" t="s">
        <v>2</v>
      </c>
      <c r="MJ15" s="1" t="s">
        <v>4</v>
      </c>
      <c r="MO15" s="1" t="s">
        <v>0</v>
      </c>
      <c r="MP15" s="1" t="s">
        <v>0</v>
      </c>
      <c r="MQ15" s="1" t="s">
        <v>2</v>
      </c>
      <c r="MR15" s="1" t="s">
        <v>4</v>
      </c>
      <c r="MS15" s="1" t="s">
        <v>4</v>
      </c>
      <c r="MX15" s="1" t="s">
        <v>0</v>
      </c>
      <c r="MY15" s="1" t="s">
        <v>2</v>
      </c>
      <c r="MZ15" s="1" t="s">
        <v>2</v>
      </c>
      <c r="NA15" s="1" t="s">
        <v>4</v>
      </c>
      <c r="NB15" s="1" t="s">
        <v>4</v>
      </c>
    </row>
    <row r="16" spans="1:368">
      <c r="ER16" s="1" t="s">
        <v>0</v>
      </c>
      <c r="ES16" s="1" t="s">
        <v>0</v>
      </c>
      <c r="ET16" s="1" t="s">
        <v>101</v>
      </c>
      <c r="EU16" s="1" t="s">
        <v>101</v>
      </c>
      <c r="EV16" s="1" t="s">
        <v>4</v>
      </c>
    </row>
    <row r="17" spans="1:368">
      <c r="A17" s="1" t="s">
        <v>79</v>
      </c>
      <c r="B17" s="1" t="s">
        <v>79</v>
      </c>
      <c r="C17" s="1" t="s">
        <v>12</v>
      </c>
      <c r="D17" s="1" t="s">
        <v>0</v>
      </c>
      <c r="E17" s="1" t="s">
        <v>2</v>
      </c>
      <c r="F17" s="1" t="s">
        <v>4</v>
      </c>
      <c r="G17" s="1" t="s">
        <v>12</v>
      </c>
      <c r="H17" s="1" t="s">
        <v>2</v>
      </c>
      <c r="N17" s="1" t="s">
        <v>0</v>
      </c>
      <c r="O17" s="1" t="s">
        <v>0</v>
      </c>
      <c r="P17" s="1" t="s">
        <v>8</v>
      </c>
      <c r="Q17" s="1" t="s">
        <v>2</v>
      </c>
      <c r="R17" s="1" t="s">
        <v>2</v>
      </c>
      <c r="S17" s="1" t="s">
        <v>4</v>
      </c>
      <c r="X17" s="1" t="s">
        <v>0</v>
      </c>
      <c r="Y17" s="1" t="s">
        <v>0</v>
      </c>
      <c r="Z17" s="1" t="s">
        <v>2</v>
      </c>
      <c r="AA17" s="1" t="s">
        <v>4</v>
      </c>
      <c r="AB17" s="1" t="s">
        <v>4</v>
      </c>
      <c r="AG17" s="1" t="s">
        <v>0</v>
      </c>
      <c r="AH17" s="1" t="s">
        <v>2</v>
      </c>
      <c r="AI17" s="1" t="s">
        <v>2</v>
      </c>
      <c r="AJ17" s="1" t="s">
        <v>4</v>
      </c>
      <c r="AK17" s="1" t="s">
        <v>4</v>
      </c>
      <c r="AO17" s="1" t="s">
        <v>0</v>
      </c>
      <c r="AP17" s="1" t="s">
        <v>0</v>
      </c>
      <c r="AQ17" s="1" t="s">
        <v>2</v>
      </c>
      <c r="AR17" s="1" t="s">
        <v>2</v>
      </c>
      <c r="AS17" s="1" t="s">
        <v>4</v>
      </c>
      <c r="AT17" s="1" t="s">
        <v>4</v>
      </c>
      <c r="AX17" s="1" t="s">
        <v>0</v>
      </c>
      <c r="AY17" s="1" t="s">
        <v>0</v>
      </c>
      <c r="AZ17" s="1" t="s">
        <v>2</v>
      </c>
      <c r="BA17" s="1" t="s">
        <v>2</v>
      </c>
      <c r="BB17" s="1" t="s">
        <v>4</v>
      </c>
      <c r="BG17" s="1" t="s">
        <v>0</v>
      </c>
      <c r="BH17" s="1" t="s">
        <v>0</v>
      </c>
      <c r="BI17" s="1" t="s">
        <v>2</v>
      </c>
      <c r="BJ17" s="1" t="s">
        <v>4</v>
      </c>
      <c r="BK17" s="1" t="s">
        <v>4</v>
      </c>
      <c r="BP17" s="1" t="s">
        <v>0</v>
      </c>
      <c r="BQ17" s="1" t="s">
        <v>0</v>
      </c>
      <c r="BR17" s="1" t="s">
        <v>0</v>
      </c>
      <c r="BS17" s="1" t="s">
        <v>4</v>
      </c>
      <c r="BT17" s="1" t="s">
        <v>4</v>
      </c>
      <c r="BX17" s="1" t="s">
        <v>0</v>
      </c>
      <c r="BY17" s="1" t="s">
        <v>0</v>
      </c>
      <c r="BZ17" s="1" t="s">
        <v>2</v>
      </c>
      <c r="CA17" s="1" t="s">
        <v>2</v>
      </c>
      <c r="CB17" s="1" t="s">
        <v>4</v>
      </c>
      <c r="CC17" s="1" t="s">
        <v>4</v>
      </c>
      <c r="CG17" s="1" t="s">
        <v>0</v>
      </c>
      <c r="CH17" s="1" t="s">
        <v>0</v>
      </c>
      <c r="CI17" s="1" t="s">
        <v>2</v>
      </c>
      <c r="CJ17" s="1" t="s">
        <v>2</v>
      </c>
      <c r="CK17" s="1" t="s">
        <v>4</v>
      </c>
      <c r="CP17" s="1" t="s">
        <v>0</v>
      </c>
      <c r="CQ17" s="1" t="s">
        <v>0</v>
      </c>
      <c r="CR17" s="1" t="s">
        <v>2</v>
      </c>
      <c r="CS17" s="1" t="s">
        <v>4</v>
      </c>
      <c r="CT17" s="1" t="s">
        <v>4</v>
      </c>
      <c r="CY17" s="1" t="s">
        <v>0</v>
      </c>
      <c r="CZ17" s="1" t="s">
        <v>2</v>
      </c>
      <c r="DA17" s="1" t="s">
        <v>2</v>
      </c>
      <c r="DB17" s="1" t="s">
        <v>4</v>
      </c>
      <c r="DC17" s="1" t="s">
        <v>4</v>
      </c>
      <c r="DG17" s="1" t="s">
        <v>0</v>
      </c>
      <c r="DH17" s="1" t="s">
        <v>0</v>
      </c>
      <c r="DI17" s="1" t="s">
        <v>2</v>
      </c>
      <c r="DJ17" s="1" t="s">
        <v>2</v>
      </c>
      <c r="DK17" s="1" t="s">
        <v>4</v>
      </c>
      <c r="DL17" s="1" t="s">
        <v>4</v>
      </c>
      <c r="DP17" s="1" t="s">
        <v>0</v>
      </c>
      <c r="DQ17" s="1" t="s">
        <v>0</v>
      </c>
      <c r="DR17" s="1" t="s">
        <v>2</v>
      </c>
      <c r="DS17" s="1" t="s">
        <v>2</v>
      </c>
      <c r="DT17" s="1" t="s">
        <v>4</v>
      </c>
      <c r="DY17" s="1" t="s">
        <v>0</v>
      </c>
      <c r="DZ17" s="1" t="s">
        <v>0</v>
      </c>
      <c r="EA17" s="1" t="s">
        <v>2</v>
      </c>
      <c r="EB17" s="1" t="s">
        <v>4</v>
      </c>
      <c r="EC17" s="1" t="s">
        <v>4</v>
      </c>
      <c r="EH17" s="1" t="s">
        <v>0</v>
      </c>
      <c r="EI17" s="1" t="s">
        <v>2</v>
      </c>
      <c r="EJ17" s="1" t="s">
        <v>2</v>
      </c>
      <c r="EK17" s="1" t="s">
        <v>4</v>
      </c>
      <c r="EL17" s="1" t="s">
        <v>4</v>
      </c>
      <c r="EP17" s="1" t="s">
        <v>0</v>
      </c>
      <c r="EQ17" s="1" t="s">
        <v>0</v>
      </c>
      <c r="ER17" s="1" t="s">
        <v>2</v>
      </c>
      <c r="ES17" s="1" t="s">
        <v>2</v>
      </c>
      <c r="ET17" s="1" t="s">
        <v>4</v>
      </c>
      <c r="EU17" s="1" t="s">
        <v>4</v>
      </c>
      <c r="EY17" s="1" t="s">
        <v>0</v>
      </c>
      <c r="EZ17" s="1" t="s">
        <v>0</v>
      </c>
      <c r="FA17" s="1" t="s">
        <v>2</v>
      </c>
      <c r="FB17" s="1" t="s">
        <v>2</v>
      </c>
      <c r="FC17" s="1" t="s">
        <v>4</v>
      </c>
      <c r="FH17" s="1" t="s">
        <v>0</v>
      </c>
      <c r="FI17" s="1" t="s">
        <v>0</v>
      </c>
      <c r="FJ17" s="1" t="s">
        <v>2</v>
      </c>
      <c r="FK17" s="1" t="s">
        <v>4</v>
      </c>
      <c r="FL17" s="1" t="s">
        <v>4</v>
      </c>
      <c r="FQ17" s="1" t="s">
        <v>0</v>
      </c>
      <c r="FR17" s="1" t="s">
        <v>2</v>
      </c>
      <c r="FS17" s="1" t="s">
        <v>2</v>
      </c>
      <c r="FT17" s="1" t="s">
        <v>4</v>
      </c>
      <c r="FU17" s="1" t="s">
        <v>4</v>
      </c>
      <c r="FY17" s="1" t="s">
        <v>0</v>
      </c>
      <c r="FZ17" s="1" t="s">
        <v>0</v>
      </c>
      <c r="GA17" s="1" t="s">
        <v>2</v>
      </c>
      <c r="GB17" s="1" t="s">
        <v>2</v>
      </c>
      <c r="GC17" s="1" t="s">
        <v>4</v>
      </c>
      <c r="GD17" s="1" t="s">
        <v>4</v>
      </c>
      <c r="GH17" s="1" t="s">
        <v>0</v>
      </c>
      <c r="GI17" s="1" t="s">
        <v>0</v>
      </c>
      <c r="GJ17" s="1" t="s">
        <v>2</v>
      </c>
      <c r="GK17" s="1" t="s">
        <v>2</v>
      </c>
      <c r="GL17" s="1" t="s">
        <v>4</v>
      </c>
      <c r="GQ17" s="1" t="s">
        <v>0</v>
      </c>
      <c r="GR17" s="1" t="s">
        <v>0</v>
      </c>
      <c r="GS17" s="1" t="s">
        <v>2</v>
      </c>
      <c r="GT17" s="1" t="s">
        <v>4</v>
      </c>
      <c r="GU17" s="1" t="s">
        <v>4</v>
      </c>
      <c r="GZ17" s="1" t="s">
        <v>0</v>
      </c>
      <c r="HA17" s="1" t="s">
        <v>2</v>
      </c>
      <c r="HB17" s="1" t="s">
        <v>2</v>
      </c>
      <c r="HC17" s="1" t="s">
        <v>4</v>
      </c>
      <c r="HD17" s="1" t="s">
        <v>4</v>
      </c>
      <c r="HH17" s="1" t="s">
        <v>0</v>
      </c>
      <c r="HI17" s="1" t="s">
        <v>0</v>
      </c>
      <c r="HJ17" s="1" t="s">
        <v>2</v>
      </c>
      <c r="HK17" s="1" t="s">
        <v>2</v>
      </c>
      <c r="HL17" s="1" t="s">
        <v>4</v>
      </c>
      <c r="HM17" s="1" t="s">
        <v>4</v>
      </c>
      <c r="HQ17" s="1" t="s">
        <v>0</v>
      </c>
      <c r="HR17" s="1" t="s">
        <v>0</v>
      </c>
      <c r="HS17" s="1" t="s">
        <v>2</v>
      </c>
      <c r="HT17" s="1" t="s">
        <v>2</v>
      </c>
      <c r="HU17" s="1" t="s">
        <v>4</v>
      </c>
      <c r="HZ17" s="1" t="s">
        <v>0</v>
      </c>
      <c r="IA17" s="1" t="s">
        <v>0</v>
      </c>
      <c r="IB17" s="1" t="s">
        <v>2</v>
      </c>
      <c r="IC17" s="1" t="s">
        <v>4</v>
      </c>
      <c r="ID17" s="1" t="s">
        <v>4</v>
      </c>
      <c r="II17" s="1" t="s">
        <v>0</v>
      </c>
      <c r="IJ17" s="1" t="s">
        <v>2</v>
      </c>
      <c r="IK17" s="1" t="s">
        <v>2</v>
      </c>
      <c r="IL17" s="1" t="s">
        <v>4</v>
      </c>
      <c r="IM17" s="1" t="s">
        <v>4</v>
      </c>
      <c r="IQ17" s="1" t="s">
        <v>0</v>
      </c>
      <c r="IR17" s="1" t="s">
        <v>0</v>
      </c>
      <c r="IS17" s="1" t="s">
        <v>2</v>
      </c>
      <c r="IT17" s="1" t="s">
        <v>2</v>
      </c>
      <c r="IU17" s="1" t="s">
        <v>4</v>
      </c>
      <c r="IV17" s="1" t="s">
        <v>4</v>
      </c>
      <c r="IZ17" s="1" t="s">
        <v>0</v>
      </c>
      <c r="JA17" s="1" t="s">
        <v>0</v>
      </c>
      <c r="JB17" s="1" t="s">
        <v>2</v>
      </c>
      <c r="JC17" s="1" t="s">
        <v>2</v>
      </c>
      <c r="JD17" s="1" t="s">
        <v>4</v>
      </c>
      <c r="JI17" s="1" t="s">
        <v>0</v>
      </c>
      <c r="JJ17" s="1" t="s">
        <v>0</v>
      </c>
      <c r="JK17" s="1" t="s">
        <v>2</v>
      </c>
      <c r="JL17" s="1" t="s">
        <v>4</v>
      </c>
      <c r="JM17" s="1" t="s">
        <v>4</v>
      </c>
      <c r="JR17" s="1" t="s">
        <v>0</v>
      </c>
      <c r="JS17" s="1" t="s">
        <v>2</v>
      </c>
      <c r="JT17" s="1" t="s">
        <v>2</v>
      </c>
      <c r="JU17" s="1" t="s">
        <v>4</v>
      </c>
      <c r="JV17" s="1" t="s">
        <v>4</v>
      </c>
      <c r="JZ17" s="1" t="s">
        <v>0</v>
      </c>
      <c r="KA17" s="1" t="s">
        <v>0</v>
      </c>
      <c r="KB17" s="1" t="s">
        <v>2</v>
      </c>
      <c r="KC17" s="1" t="s">
        <v>2</v>
      </c>
      <c r="KD17" s="1" t="s">
        <v>4</v>
      </c>
      <c r="KE17" s="1" t="s">
        <v>4</v>
      </c>
      <c r="KI17" s="1" t="s">
        <v>0</v>
      </c>
      <c r="KJ17" s="1" t="s">
        <v>0</v>
      </c>
      <c r="KK17" s="1" t="s">
        <v>2</v>
      </c>
      <c r="KL17" s="1" t="s">
        <v>2</v>
      </c>
      <c r="KM17" s="1" t="s">
        <v>4</v>
      </c>
      <c r="KR17" s="1" t="s">
        <v>0</v>
      </c>
      <c r="KS17" s="1" t="s">
        <v>0</v>
      </c>
      <c r="KT17" s="1" t="s">
        <v>2</v>
      </c>
      <c r="KU17" s="1" t="s">
        <v>4</v>
      </c>
      <c r="KV17" s="1" t="s">
        <v>4</v>
      </c>
      <c r="LA17" s="1" t="s">
        <v>0</v>
      </c>
      <c r="LB17" s="1" t="s">
        <v>2</v>
      </c>
      <c r="LC17" s="1" t="s">
        <v>2</v>
      </c>
      <c r="LD17" s="1" t="s">
        <v>4</v>
      </c>
      <c r="LE17" s="1" t="s">
        <v>4</v>
      </c>
      <c r="LI17" s="1" t="s">
        <v>0</v>
      </c>
      <c r="LJ17" s="1" t="s">
        <v>0</v>
      </c>
      <c r="LK17" s="1" t="s">
        <v>2</v>
      </c>
      <c r="LL17" s="1" t="s">
        <v>2</v>
      </c>
      <c r="LM17" s="1" t="s">
        <v>4</v>
      </c>
      <c r="LN17" s="1" t="s">
        <v>4</v>
      </c>
      <c r="LR17" s="1" t="s">
        <v>0</v>
      </c>
      <c r="LS17" s="1" t="s">
        <v>0</v>
      </c>
      <c r="LT17" s="1" t="s">
        <v>2</v>
      </c>
      <c r="LU17" s="1" t="s">
        <v>2</v>
      </c>
      <c r="LV17" s="1" t="s">
        <v>4</v>
      </c>
      <c r="MA17" s="1" t="s">
        <v>0</v>
      </c>
      <c r="MB17" s="1" t="s">
        <v>0</v>
      </c>
      <c r="MC17" s="1" t="s">
        <v>2</v>
      </c>
      <c r="MD17" s="1" t="s">
        <v>4</v>
      </c>
      <c r="ME17" s="1" t="s">
        <v>4</v>
      </c>
      <c r="MJ17" s="1" t="s">
        <v>0</v>
      </c>
      <c r="MK17" s="1" t="s">
        <v>2</v>
      </c>
      <c r="ML17" s="1" t="s">
        <v>2</v>
      </c>
      <c r="MM17" s="1" t="s">
        <v>4</v>
      </c>
      <c r="MN17" s="1" t="s">
        <v>4</v>
      </c>
      <c r="MR17" s="1" t="s">
        <v>0</v>
      </c>
      <c r="MS17" s="1" t="s">
        <v>0</v>
      </c>
      <c r="MT17" s="1" t="s">
        <v>2</v>
      </c>
      <c r="MU17" s="1" t="s">
        <v>2</v>
      </c>
      <c r="MV17" s="1" t="s">
        <v>4</v>
      </c>
      <c r="MW17" s="1" t="s">
        <v>4</v>
      </c>
      <c r="NA17" s="1" t="s">
        <v>0</v>
      </c>
      <c r="NB17" s="1" t="s">
        <v>0</v>
      </c>
      <c r="NC17" s="1" t="s">
        <v>2</v>
      </c>
      <c r="ND17" s="1" t="s">
        <v>2</v>
      </c>
    </row>
    <row r="18" spans="1:368">
      <c r="CQ18" s="29"/>
      <c r="EY18" s="1" t="s">
        <v>6</v>
      </c>
      <c r="EZ18" s="1" t="s">
        <v>6</v>
      </c>
      <c r="FA18" s="1" t="s">
        <v>6</v>
      </c>
      <c r="FB18" s="1" t="s">
        <v>6</v>
      </c>
      <c r="FC18" s="1" t="s">
        <v>6</v>
      </c>
      <c r="FH18" s="1" t="s">
        <v>6</v>
      </c>
      <c r="FI18" s="1" t="s">
        <v>6</v>
      </c>
      <c r="FJ18" s="1" t="s">
        <v>6</v>
      </c>
      <c r="FK18" s="1" t="s">
        <v>6</v>
      </c>
      <c r="FL18" s="1" t="s">
        <v>6</v>
      </c>
      <c r="FQ18" s="1" t="s">
        <v>6</v>
      </c>
      <c r="FR18" s="1" t="s">
        <v>6</v>
      </c>
      <c r="FS18" s="1" t="s">
        <v>6</v>
      </c>
      <c r="FT18" s="1" t="s">
        <v>6</v>
      </c>
      <c r="FU18" s="1" t="s">
        <v>6</v>
      </c>
    </row>
    <row r="19" spans="1:368">
      <c r="A19" s="1" t="s">
        <v>83</v>
      </c>
      <c r="B19" s="1" t="s">
        <v>83</v>
      </c>
      <c r="E19" s="1" t="s">
        <v>6</v>
      </c>
      <c r="F19" s="1" t="s">
        <v>6</v>
      </c>
      <c r="G19" s="1" t="s">
        <v>6</v>
      </c>
      <c r="H19" s="1" t="s">
        <v>4</v>
      </c>
      <c r="I19" s="1" t="s">
        <v>4</v>
      </c>
      <c r="J19" s="1" t="s">
        <v>4</v>
      </c>
      <c r="M19" s="1" t="s">
        <v>0</v>
      </c>
      <c r="N19" s="1" t="s">
        <v>0</v>
      </c>
      <c r="O19" s="1" t="s">
        <v>2</v>
      </c>
      <c r="P19" s="1" t="s">
        <v>2</v>
      </c>
      <c r="Q19" s="1" t="s">
        <v>4</v>
      </c>
      <c r="R19" s="1" t="s">
        <v>4</v>
      </c>
      <c r="V19" s="1" t="s">
        <v>0</v>
      </c>
      <c r="W19" s="1" t="s">
        <v>0</v>
      </c>
      <c r="X19" s="1" t="s">
        <v>2</v>
      </c>
      <c r="Y19" s="1" t="s">
        <v>2</v>
      </c>
      <c r="Z19" s="1" t="s">
        <v>4</v>
      </c>
      <c r="AE19" s="1" t="s">
        <v>0</v>
      </c>
      <c r="AF19" s="1" t="s">
        <v>0</v>
      </c>
      <c r="AG19" s="1" t="s">
        <v>2</v>
      </c>
      <c r="AH19" s="1" t="s">
        <v>4</v>
      </c>
      <c r="AI19" s="1" t="s">
        <v>4</v>
      </c>
      <c r="AN19" s="1" t="s">
        <v>0</v>
      </c>
      <c r="AO19" s="1" t="s">
        <v>2</v>
      </c>
      <c r="AP19" s="1" t="s">
        <v>2</v>
      </c>
      <c r="AQ19" s="1" t="s">
        <v>4</v>
      </c>
      <c r="AR19" s="1" t="s">
        <v>4</v>
      </c>
      <c r="AV19" s="1" t="s">
        <v>0</v>
      </c>
      <c r="AW19" s="1" t="s">
        <v>0</v>
      </c>
      <c r="AX19" s="1" t="s">
        <v>2</v>
      </c>
      <c r="AY19" s="1" t="s">
        <v>2</v>
      </c>
      <c r="AZ19" s="1" t="s">
        <v>4</v>
      </c>
      <c r="BA19" s="1" t="s">
        <v>4</v>
      </c>
      <c r="BE19" s="1" t="s">
        <v>0</v>
      </c>
      <c r="BF19" s="1" t="s">
        <v>0</v>
      </c>
      <c r="BG19" s="1" t="s">
        <v>2</v>
      </c>
      <c r="BH19" s="1" t="s">
        <v>2</v>
      </c>
      <c r="BI19" s="1" t="s">
        <v>4</v>
      </c>
      <c r="BN19" s="1" t="s">
        <v>0</v>
      </c>
      <c r="BO19" s="1" t="s">
        <v>0</v>
      </c>
      <c r="BP19" s="1" t="s">
        <v>2</v>
      </c>
      <c r="BQ19" s="1" t="s">
        <v>4</v>
      </c>
      <c r="BR19" s="1" t="s">
        <v>4</v>
      </c>
      <c r="BW19" s="1" t="s">
        <v>0</v>
      </c>
      <c r="BX19" s="1" t="s">
        <v>2</v>
      </c>
      <c r="BY19" s="1" t="s">
        <v>2</v>
      </c>
      <c r="BZ19" s="1" t="s">
        <v>4</v>
      </c>
      <c r="CA19" s="1" t="s">
        <v>4</v>
      </c>
      <c r="CE19" s="1" t="s">
        <v>2</v>
      </c>
      <c r="CF19" s="1" t="s">
        <v>2</v>
      </c>
      <c r="CG19" s="1" t="s">
        <v>2</v>
      </c>
      <c r="CH19" s="1" t="s">
        <v>2</v>
      </c>
      <c r="CI19" s="1" t="s">
        <v>4</v>
      </c>
      <c r="CJ19" s="1" t="s">
        <v>4</v>
      </c>
      <c r="CN19" s="1" t="s">
        <v>0</v>
      </c>
      <c r="CO19" s="1" t="s">
        <v>0</v>
      </c>
      <c r="CP19" s="1" t="s">
        <v>2</v>
      </c>
      <c r="CQ19" s="1" t="s">
        <v>2</v>
      </c>
      <c r="CR19" s="1" t="s">
        <v>4</v>
      </c>
      <c r="CW19" s="1" t="s">
        <v>0</v>
      </c>
      <c r="CX19" s="1" t="s">
        <v>0</v>
      </c>
      <c r="CY19" s="1" t="s">
        <v>2</v>
      </c>
      <c r="CZ19" s="1" t="s">
        <v>4</v>
      </c>
      <c r="DA19" s="1" t="s">
        <v>4</v>
      </c>
      <c r="DF19" s="1" t="s">
        <v>0</v>
      </c>
      <c r="DG19" s="1" t="s">
        <v>2</v>
      </c>
      <c r="DH19" s="1" t="s">
        <v>2</v>
      </c>
      <c r="DI19" s="1" t="s">
        <v>4</v>
      </c>
      <c r="DJ19" s="1" t="s">
        <v>4</v>
      </c>
      <c r="DN19" s="1" t="s">
        <v>0</v>
      </c>
      <c r="DO19" s="1" t="s">
        <v>0</v>
      </c>
      <c r="DP19" s="1" t="s">
        <v>2</v>
      </c>
      <c r="DQ19" s="1" t="s">
        <v>2</v>
      </c>
      <c r="DR19" s="1" t="s">
        <v>4</v>
      </c>
      <c r="DS19" s="1" t="s">
        <v>4</v>
      </c>
      <c r="DW19" s="1" t="s">
        <v>0</v>
      </c>
      <c r="DX19" s="1" t="s">
        <v>0</v>
      </c>
      <c r="DY19" s="1" t="s">
        <v>2</v>
      </c>
      <c r="DZ19" s="1" t="s">
        <v>2</v>
      </c>
      <c r="EA19" s="1" t="s">
        <v>4</v>
      </c>
      <c r="EF19" s="1" t="s">
        <v>0</v>
      </c>
      <c r="EG19" s="1" t="s">
        <v>0</v>
      </c>
      <c r="EH19" s="1" t="s">
        <v>2</v>
      </c>
      <c r="EI19" s="1" t="s">
        <v>4</v>
      </c>
      <c r="EJ19" s="1" t="s">
        <v>4</v>
      </c>
      <c r="EO19" s="1" t="s">
        <v>0</v>
      </c>
      <c r="EP19" s="1" t="s">
        <v>2</v>
      </c>
      <c r="EQ19" s="1" t="s">
        <v>2</v>
      </c>
      <c r="ER19" s="1" t="s">
        <v>4</v>
      </c>
      <c r="ES19" s="1" t="s">
        <v>4</v>
      </c>
      <c r="EW19" s="1" t="s">
        <v>0</v>
      </c>
      <c r="EX19" s="1" t="s">
        <v>0</v>
      </c>
      <c r="EY19" s="1" t="s">
        <v>2</v>
      </c>
      <c r="EZ19" s="1" t="s">
        <v>2</v>
      </c>
      <c r="FA19" s="1" t="s">
        <v>4</v>
      </c>
      <c r="FB19" s="1" t="s">
        <v>4</v>
      </c>
      <c r="FF19" s="1" t="s">
        <v>0</v>
      </c>
      <c r="FG19" s="1" t="s">
        <v>0</v>
      </c>
      <c r="FH19" s="1" t="s">
        <v>2</v>
      </c>
      <c r="FI19" s="1" t="s">
        <v>2</v>
      </c>
      <c r="FJ19" s="1" t="s">
        <v>4</v>
      </c>
      <c r="FO19" s="1" t="s">
        <v>0</v>
      </c>
      <c r="FP19" s="1" t="s">
        <v>0</v>
      </c>
      <c r="FQ19" s="1" t="s">
        <v>2</v>
      </c>
      <c r="FR19" s="1" t="s">
        <v>4</v>
      </c>
      <c r="FS19" s="1" t="s">
        <v>4</v>
      </c>
      <c r="FX19" s="1" t="s">
        <v>6</v>
      </c>
      <c r="FY19" s="1" t="s">
        <v>2</v>
      </c>
      <c r="FZ19" s="1" t="s">
        <v>2</v>
      </c>
      <c r="GA19" s="1" t="s">
        <v>4</v>
      </c>
      <c r="GB19" s="1" t="s">
        <v>4</v>
      </c>
      <c r="GF19" s="1" t="s">
        <v>0</v>
      </c>
      <c r="GG19" s="1" t="s">
        <v>0</v>
      </c>
      <c r="GH19" s="1" t="s">
        <v>2</v>
      </c>
      <c r="GI19" s="1" t="s">
        <v>2</v>
      </c>
      <c r="GJ19" s="1" t="s">
        <v>4</v>
      </c>
      <c r="GK19" s="1" t="s">
        <v>4</v>
      </c>
      <c r="GO19" s="1" t="s">
        <v>0</v>
      </c>
      <c r="GP19" s="1" t="s">
        <v>0</v>
      </c>
      <c r="GQ19" s="1" t="s">
        <v>2</v>
      </c>
      <c r="GR19" s="1" t="s">
        <v>2</v>
      </c>
      <c r="GS19" s="1" t="s">
        <v>4</v>
      </c>
      <c r="GX19" s="1" t="s">
        <v>0</v>
      </c>
      <c r="GY19" s="1" t="s">
        <v>0</v>
      </c>
      <c r="GZ19" s="1" t="s">
        <v>2</v>
      </c>
      <c r="HA19" s="1" t="s">
        <v>4</v>
      </c>
      <c r="HB19" s="1" t="s">
        <v>4</v>
      </c>
      <c r="HG19" s="1" t="s">
        <v>0</v>
      </c>
      <c r="HH19" s="1" t="s">
        <v>2</v>
      </c>
      <c r="HI19" s="1" t="s">
        <v>2</v>
      </c>
      <c r="HJ19" s="1" t="s">
        <v>4</v>
      </c>
      <c r="HK19" s="1" t="s">
        <v>4</v>
      </c>
      <c r="HO19" s="1" t="s">
        <v>0</v>
      </c>
      <c r="HP19" s="1" t="s">
        <v>0</v>
      </c>
      <c r="HQ19" s="1" t="s">
        <v>2</v>
      </c>
      <c r="HR19" s="1" t="s">
        <v>2</v>
      </c>
      <c r="HS19" s="1" t="s">
        <v>4</v>
      </c>
      <c r="HT19" s="1" t="s">
        <v>4</v>
      </c>
      <c r="HX19" s="1" t="s">
        <v>0</v>
      </c>
      <c r="HY19" s="1" t="s">
        <v>0</v>
      </c>
      <c r="HZ19" s="1" t="s">
        <v>2</v>
      </c>
      <c r="IA19" s="1" t="s">
        <v>2</v>
      </c>
      <c r="IB19" s="1" t="s">
        <v>4</v>
      </c>
      <c r="IG19" s="1" t="s">
        <v>0</v>
      </c>
      <c r="IH19" s="1" t="s">
        <v>0</v>
      </c>
      <c r="II19" s="1" t="s">
        <v>2</v>
      </c>
      <c r="IJ19" s="1" t="s">
        <v>4</v>
      </c>
      <c r="IK19" s="1" t="s">
        <v>4</v>
      </c>
      <c r="IP19" s="1" t="s">
        <v>0</v>
      </c>
      <c r="IQ19" s="1" t="s">
        <v>2</v>
      </c>
      <c r="IR19" s="1" t="s">
        <v>2</v>
      </c>
      <c r="IS19" s="1" t="s">
        <v>4</v>
      </c>
      <c r="IT19" s="1" t="s">
        <v>4</v>
      </c>
      <c r="IX19" s="1" t="s">
        <v>0</v>
      </c>
      <c r="IY19" s="1" t="s">
        <v>0</v>
      </c>
      <c r="IZ19" s="1" t="s">
        <v>2</v>
      </c>
      <c r="JA19" s="1" t="s">
        <v>2</v>
      </c>
      <c r="JB19" s="1" t="s">
        <v>4</v>
      </c>
      <c r="JC19" s="1" t="s">
        <v>4</v>
      </c>
      <c r="JG19" s="1" t="s">
        <v>0</v>
      </c>
      <c r="JH19" s="1" t="s">
        <v>0</v>
      </c>
      <c r="JI19" s="1" t="s">
        <v>2</v>
      </c>
      <c r="JJ19" s="1" t="s">
        <v>2</v>
      </c>
      <c r="JK19" s="1" t="s">
        <v>4</v>
      </c>
      <c r="JP19" s="1" t="s">
        <v>0</v>
      </c>
      <c r="JQ19" s="1" t="s">
        <v>0</v>
      </c>
      <c r="JR19" s="1" t="s">
        <v>2</v>
      </c>
      <c r="JS19" s="1" t="s">
        <v>4</v>
      </c>
      <c r="JT19" s="1" t="s">
        <v>4</v>
      </c>
      <c r="JX19" s="1" t="s">
        <v>0</v>
      </c>
      <c r="JY19" s="1" t="s">
        <v>2</v>
      </c>
      <c r="JZ19" s="1" t="s">
        <v>2</v>
      </c>
      <c r="KA19" s="1" t="s">
        <v>4</v>
      </c>
      <c r="KB19" s="1" t="s">
        <v>4</v>
      </c>
      <c r="KF19" s="1" t="s">
        <v>0</v>
      </c>
      <c r="KG19" s="1" t="s">
        <v>0</v>
      </c>
      <c r="KH19" s="1" t="s">
        <v>2</v>
      </c>
      <c r="KI19" s="1" t="s">
        <v>2</v>
      </c>
      <c r="KJ19" s="1" t="s">
        <v>4</v>
      </c>
      <c r="KK19" s="1" t="s">
        <v>4</v>
      </c>
      <c r="KO19" s="1" t="s">
        <v>0</v>
      </c>
      <c r="KP19" s="1" t="s">
        <v>0</v>
      </c>
      <c r="KQ19" s="1" t="s">
        <v>2</v>
      </c>
      <c r="KR19" s="1" t="s">
        <v>2</v>
      </c>
      <c r="KS19" s="1" t="s">
        <v>4</v>
      </c>
      <c r="KX19" s="1" t="s">
        <v>0</v>
      </c>
      <c r="KY19" s="1" t="s">
        <v>0</v>
      </c>
      <c r="KZ19" s="1" t="s">
        <v>2</v>
      </c>
      <c r="LA19" s="1" t="s">
        <v>4</v>
      </c>
      <c r="LB19" s="1" t="s">
        <v>4</v>
      </c>
      <c r="LH19" s="1" t="s">
        <v>0</v>
      </c>
      <c r="LI19" s="1" t="s">
        <v>2</v>
      </c>
      <c r="LJ19" s="1" t="s">
        <v>2</v>
      </c>
      <c r="LK19" s="1" t="s">
        <v>4</v>
      </c>
      <c r="LL19" s="1" t="s">
        <v>4</v>
      </c>
      <c r="LP19" s="1" t="s">
        <v>0</v>
      </c>
      <c r="LQ19" s="1" t="s">
        <v>0</v>
      </c>
      <c r="LR19" s="1" t="s">
        <v>2</v>
      </c>
      <c r="LS19" s="1" t="s">
        <v>2</v>
      </c>
      <c r="LT19" s="1" t="s">
        <v>4</v>
      </c>
      <c r="LU19" s="1" t="s">
        <v>4</v>
      </c>
      <c r="LY19" s="1" t="s">
        <v>0</v>
      </c>
      <c r="LZ19" s="1" t="s">
        <v>0</v>
      </c>
      <c r="MA19" s="1" t="s">
        <v>2</v>
      </c>
      <c r="MB19" s="1" t="s">
        <v>2</v>
      </c>
      <c r="MC19" s="1" t="s">
        <v>4</v>
      </c>
      <c r="MH19" s="1" t="s">
        <v>0</v>
      </c>
      <c r="MI19" s="1" t="s">
        <v>0</v>
      </c>
      <c r="MJ19" s="1" t="s">
        <v>2</v>
      </c>
      <c r="MK19" s="1" t="s">
        <v>4</v>
      </c>
      <c r="ML19" s="1" t="s">
        <v>4</v>
      </c>
      <c r="MQ19" s="1" t="s">
        <v>0</v>
      </c>
      <c r="MR19" s="1" t="s">
        <v>2</v>
      </c>
      <c r="MS19" s="1" t="s">
        <v>2</v>
      </c>
      <c r="MT19" s="1" t="s">
        <v>4</v>
      </c>
      <c r="MU19" s="1" t="s">
        <v>4</v>
      </c>
      <c r="MY19" s="1" t="s">
        <v>0</v>
      </c>
      <c r="MZ19" s="1" t="s">
        <v>0</v>
      </c>
      <c r="NA19" s="1" t="s">
        <v>2</v>
      </c>
      <c r="NB19" s="1" t="s">
        <v>2</v>
      </c>
      <c r="NC19" s="1" t="s">
        <v>4</v>
      </c>
      <c r="ND19" s="1" t="s">
        <v>4</v>
      </c>
    </row>
    <row r="20" spans="1:368" s="8" customFormat="1">
      <c r="BN20" s="8" t="s">
        <v>99</v>
      </c>
      <c r="BO20" s="8" t="s">
        <v>99</v>
      </c>
      <c r="BW20" s="8" t="s">
        <v>99</v>
      </c>
      <c r="CN20" s="8" t="s">
        <v>99</v>
      </c>
      <c r="CO20" s="8" t="s">
        <v>99</v>
      </c>
      <c r="CP20" s="27"/>
      <c r="CW20" s="8" t="s">
        <v>99</v>
      </c>
      <c r="CX20" s="8" t="s">
        <v>99</v>
      </c>
      <c r="DF20" s="8" t="s">
        <v>99</v>
      </c>
      <c r="DW20" s="8" t="s">
        <v>99</v>
      </c>
      <c r="DX20" s="8" t="s">
        <v>99</v>
      </c>
      <c r="EF20" s="8" t="s">
        <v>99</v>
      </c>
      <c r="EG20" s="8" t="s">
        <v>99</v>
      </c>
      <c r="EO20" s="8" t="s">
        <v>102</v>
      </c>
      <c r="FF20" s="8" t="s">
        <v>99</v>
      </c>
      <c r="FG20" s="8" t="s">
        <v>99</v>
      </c>
      <c r="FO20" s="8" t="s">
        <v>99</v>
      </c>
      <c r="FP20" s="8" t="s">
        <v>99</v>
      </c>
      <c r="GO20" s="8" t="s">
        <v>99</v>
      </c>
      <c r="GP20" s="8" t="s">
        <v>99</v>
      </c>
      <c r="GX20" s="8" t="s">
        <v>99</v>
      </c>
      <c r="GY20" s="8" t="s">
        <v>99</v>
      </c>
      <c r="HG20" s="8" t="s">
        <v>99</v>
      </c>
      <c r="HO20" s="8" t="s">
        <v>6</v>
      </c>
      <c r="HP20" s="8" t="s">
        <v>6</v>
      </c>
      <c r="HQ20" s="8" t="s">
        <v>6</v>
      </c>
      <c r="HR20" s="8" t="s">
        <v>8</v>
      </c>
      <c r="HS20" s="8" t="s">
        <v>6</v>
      </c>
      <c r="HT20" s="8" t="s">
        <v>6</v>
      </c>
      <c r="HX20" s="8" t="s">
        <v>6</v>
      </c>
      <c r="HY20" s="8" t="s">
        <v>6</v>
      </c>
      <c r="HZ20" s="8" t="s">
        <v>6</v>
      </c>
      <c r="IA20" s="8" t="s">
        <v>6</v>
      </c>
      <c r="IB20" s="8" t="s">
        <v>103</v>
      </c>
      <c r="IG20" s="8" t="s">
        <v>99</v>
      </c>
      <c r="IH20" s="8" t="s">
        <v>99</v>
      </c>
    </row>
    <row r="21" spans="1:368">
      <c r="A21" s="1" t="s">
        <v>85</v>
      </c>
      <c r="B21" s="1" t="s">
        <v>85</v>
      </c>
      <c r="C21" s="1" t="s">
        <v>4</v>
      </c>
      <c r="D21" s="1" t="s">
        <v>4</v>
      </c>
      <c r="H21" s="1" t="s">
        <v>0</v>
      </c>
      <c r="I21" s="1" t="s">
        <v>2</v>
      </c>
      <c r="J21" s="1" t="s">
        <v>2</v>
      </c>
      <c r="K21" s="1" t="s">
        <v>4</v>
      </c>
      <c r="L21" s="1" t="s">
        <v>4</v>
      </c>
      <c r="Q21" s="1" t="s">
        <v>0</v>
      </c>
      <c r="R21" s="1" t="s">
        <v>0</v>
      </c>
      <c r="S21" s="1" t="s">
        <v>2</v>
      </c>
      <c r="T21" s="1" t="s">
        <v>4</v>
      </c>
      <c r="U21" s="1" t="s">
        <v>4</v>
      </c>
      <c r="Z21" s="1" t="s">
        <v>0</v>
      </c>
      <c r="AA21" s="1" t="s">
        <v>2</v>
      </c>
      <c r="AB21" s="1" t="s">
        <v>2</v>
      </c>
      <c r="AC21" s="1" t="s">
        <v>4</v>
      </c>
      <c r="AD21" s="1" t="s">
        <v>4</v>
      </c>
      <c r="AH21" s="1" t="s">
        <v>0</v>
      </c>
      <c r="AI21" s="1" t="s">
        <v>0</v>
      </c>
      <c r="AJ21" s="1" t="s">
        <v>2</v>
      </c>
      <c r="AK21" s="1" t="s">
        <v>2</v>
      </c>
      <c r="AL21" s="1" t="s">
        <v>4</v>
      </c>
      <c r="AM21" s="1" t="s">
        <v>4</v>
      </c>
      <c r="AQ21" s="1" t="s">
        <v>0</v>
      </c>
      <c r="AR21" s="1" t="s">
        <v>0</v>
      </c>
      <c r="AS21" s="1" t="s">
        <v>2</v>
      </c>
      <c r="AT21" s="1" t="s">
        <v>2</v>
      </c>
      <c r="AU21" s="1" t="s">
        <v>4</v>
      </c>
      <c r="AZ21" s="1" t="s">
        <v>0</v>
      </c>
      <c r="BA21" s="1" t="s">
        <v>0</v>
      </c>
      <c r="BB21" s="1" t="s">
        <v>2</v>
      </c>
      <c r="BC21" s="1" t="s">
        <v>4</v>
      </c>
      <c r="BD21" s="1" t="s">
        <v>4</v>
      </c>
      <c r="BI21" s="1" t="s">
        <v>0</v>
      </c>
      <c r="BJ21" s="1" t="s">
        <v>2</v>
      </c>
      <c r="BL21" s="1" t="s">
        <v>8</v>
      </c>
      <c r="BM21" s="1" t="s">
        <v>8</v>
      </c>
      <c r="BN21" s="1" t="s">
        <v>8</v>
      </c>
      <c r="BO21" s="1" t="s">
        <v>8</v>
      </c>
      <c r="BP21" s="1" t="s">
        <v>8</v>
      </c>
      <c r="BS21" s="1" t="s">
        <v>0</v>
      </c>
      <c r="BT21" s="1" t="s">
        <v>8</v>
      </c>
      <c r="BU21" s="1" t="s">
        <v>8</v>
      </c>
      <c r="BV21" s="1" t="s">
        <v>8</v>
      </c>
      <c r="BW21" s="1" t="s">
        <v>8</v>
      </c>
      <c r="BZ21" s="1" t="s">
        <v>8</v>
      </c>
      <c r="CA21" s="1" t="s">
        <v>8</v>
      </c>
      <c r="CB21" s="1" t="s">
        <v>8</v>
      </c>
      <c r="CC21" s="1" t="s">
        <v>0</v>
      </c>
      <c r="CD21" s="1" t="s">
        <v>8</v>
      </c>
      <c r="CG21" s="1" t="s">
        <v>8</v>
      </c>
      <c r="CH21" s="1" t="s">
        <v>8</v>
      </c>
      <c r="CI21" s="1" t="s">
        <v>8</v>
      </c>
      <c r="CJ21" s="1" t="s">
        <v>8</v>
      </c>
      <c r="CK21" s="1" t="s">
        <v>0</v>
      </c>
      <c r="CN21" s="1" t="s">
        <v>8</v>
      </c>
      <c r="CO21" s="1" t="s">
        <v>8</v>
      </c>
      <c r="CP21" s="30" t="s">
        <v>8</v>
      </c>
      <c r="CQ21" s="1" t="s">
        <v>8</v>
      </c>
      <c r="CR21" s="31" t="s">
        <v>8</v>
      </c>
      <c r="CU21" s="1" t="s">
        <v>8</v>
      </c>
      <c r="CV21" s="1" t="s">
        <v>8</v>
      </c>
      <c r="CW21" s="1" t="s">
        <v>8</v>
      </c>
      <c r="CX21" s="1" t="s">
        <v>8</v>
      </c>
      <c r="CY21" s="32" t="s">
        <v>8</v>
      </c>
      <c r="DB21" s="1" t="s">
        <v>0</v>
      </c>
      <c r="DC21" s="1" t="s">
        <v>0</v>
      </c>
      <c r="DD21" s="1" t="s">
        <v>8</v>
      </c>
      <c r="DE21" s="1" t="s">
        <v>8</v>
      </c>
      <c r="DF21" s="1" t="s">
        <v>0</v>
      </c>
      <c r="DI21" s="1" t="s">
        <v>0</v>
      </c>
      <c r="DJ21" s="1" t="s">
        <v>0</v>
      </c>
      <c r="DK21" s="1" t="s">
        <v>2</v>
      </c>
      <c r="DL21" s="1" t="s">
        <v>2</v>
      </c>
      <c r="DM21" s="1" t="s">
        <v>4</v>
      </c>
      <c r="DR21" s="1" t="s">
        <v>0</v>
      </c>
      <c r="DS21" s="1" t="s">
        <v>0</v>
      </c>
      <c r="DT21" s="1" t="s">
        <v>2</v>
      </c>
      <c r="DU21" s="1" t="s">
        <v>4</v>
      </c>
      <c r="DV21" s="1" t="s">
        <v>4</v>
      </c>
      <c r="EA21" s="1" t="s">
        <v>0</v>
      </c>
      <c r="EB21" s="1" t="s">
        <v>2</v>
      </c>
      <c r="EC21" s="1" t="s">
        <v>2</v>
      </c>
      <c r="ED21" s="1" t="s">
        <v>4</v>
      </c>
      <c r="EE21" s="1" t="s">
        <v>4</v>
      </c>
      <c r="EI21" s="1" t="s">
        <v>0</v>
      </c>
      <c r="EJ21" s="1" t="s">
        <v>0</v>
      </c>
      <c r="EK21" s="1" t="s">
        <v>2</v>
      </c>
      <c r="EL21" s="1" t="s">
        <v>2</v>
      </c>
      <c r="EM21" s="1" t="s">
        <v>4</v>
      </c>
      <c r="EN21" s="1" t="s">
        <v>4</v>
      </c>
      <c r="ER21" s="1" t="s">
        <v>0</v>
      </c>
      <c r="ES21" s="1" t="s">
        <v>0</v>
      </c>
      <c r="ET21" s="1" t="s">
        <v>2</v>
      </c>
      <c r="EU21" s="1" t="s">
        <v>2</v>
      </c>
      <c r="EV21" s="1" t="s">
        <v>4</v>
      </c>
      <c r="FA21" s="1" t="s">
        <v>0</v>
      </c>
      <c r="FB21" s="1" t="s">
        <v>0</v>
      </c>
      <c r="FC21" s="1" t="s">
        <v>2</v>
      </c>
      <c r="FD21" s="1" t="s">
        <v>4</v>
      </c>
      <c r="FE21" s="1" t="s">
        <v>4</v>
      </c>
      <c r="FJ21" s="1" t="s">
        <v>0</v>
      </c>
      <c r="FK21" s="1" t="s">
        <v>2</v>
      </c>
      <c r="FL21" s="1" t="s">
        <v>2</v>
      </c>
      <c r="FM21" s="1" t="s">
        <v>4</v>
      </c>
      <c r="FN21" s="1" t="s">
        <v>4</v>
      </c>
      <c r="FR21" s="1" t="s">
        <v>0</v>
      </c>
      <c r="FS21" s="1" t="s">
        <v>0</v>
      </c>
      <c r="FT21" s="1" t="s">
        <v>2</v>
      </c>
      <c r="FU21" s="1" t="s">
        <v>2</v>
      </c>
      <c r="FV21" s="1" t="s">
        <v>4</v>
      </c>
      <c r="FW21" s="1" t="s">
        <v>4</v>
      </c>
      <c r="FX21" s="1" t="s">
        <v>4</v>
      </c>
      <c r="GA21" s="1" t="s">
        <v>0</v>
      </c>
      <c r="GB21" s="1" t="s">
        <v>0</v>
      </c>
      <c r="GC21" s="1" t="s">
        <v>2</v>
      </c>
      <c r="GD21" s="1" t="s">
        <v>2</v>
      </c>
      <c r="GE21" s="1" t="s">
        <v>4</v>
      </c>
      <c r="GJ21" s="1" t="s">
        <v>0</v>
      </c>
      <c r="GK21" s="1" t="s">
        <v>0</v>
      </c>
      <c r="GL21" s="1" t="s">
        <v>2</v>
      </c>
      <c r="GM21" s="1" t="s">
        <v>4</v>
      </c>
      <c r="GN21" s="1" t="s">
        <v>4</v>
      </c>
      <c r="GS21" s="1" t="s">
        <v>0</v>
      </c>
      <c r="GT21" s="1" t="s">
        <v>2</v>
      </c>
      <c r="GU21" s="1" t="s">
        <v>2</v>
      </c>
      <c r="GV21" s="1" t="s">
        <v>4</v>
      </c>
      <c r="GW21" s="1" t="s">
        <v>4</v>
      </c>
      <c r="HA21" s="1" t="s">
        <v>0</v>
      </c>
      <c r="HB21" s="1" t="s">
        <v>0</v>
      </c>
      <c r="HC21" s="1" t="s">
        <v>2</v>
      </c>
      <c r="HD21" s="1" t="s">
        <v>2</v>
      </c>
      <c r="HE21" s="1" t="s">
        <v>4</v>
      </c>
      <c r="HF21" s="1" t="s">
        <v>4</v>
      </c>
      <c r="HJ21" s="1" t="s">
        <v>0</v>
      </c>
      <c r="HK21" s="1" t="s">
        <v>0</v>
      </c>
      <c r="HL21" s="1" t="s">
        <v>2</v>
      </c>
      <c r="HM21" s="1" t="s">
        <v>2</v>
      </c>
      <c r="HN21" s="1" t="s">
        <v>4</v>
      </c>
      <c r="HS21" s="1" t="s">
        <v>0</v>
      </c>
      <c r="HT21" s="1" t="s">
        <v>0</v>
      </c>
      <c r="HU21" s="1" t="s">
        <v>2</v>
      </c>
      <c r="HV21" s="1" t="s">
        <v>4</v>
      </c>
      <c r="HW21" s="1" t="s">
        <v>4</v>
      </c>
      <c r="IB21" s="1" t="s">
        <v>0</v>
      </c>
      <c r="IC21" s="1" t="s">
        <v>2</v>
      </c>
      <c r="ID21" s="1" t="s">
        <v>2</v>
      </c>
      <c r="IE21" s="1" t="s">
        <v>4</v>
      </c>
      <c r="IF21" s="1" t="s">
        <v>4</v>
      </c>
      <c r="IJ21" s="1" t="s">
        <v>0</v>
      </c>
      <c r="IK21" s="1" t="s">
        <v>0</v>
      </c>
      <c r="IL21" s="1" t="s">
        <v>2</v>
      </c>
      <c r="IM21" s="1" t="s">
        <v>2</v>
      </c>
      <c r="IN21" s="1" t="s">
        <v>4</v>
      </c>
      <c r="IO21" s="1" t="s">
        <v>4</v>
      </c>
      <c r="IS21" s="1" t="s">
        <v>0</v>
      </c>
      <c r="IT21" s="1" t="s">
        <v>0</v>
      </c>
      <c r="IU21" s="1" t="s">
        <v>2</v>
      </c>
      <c r="IV21" s="1" t="s">
        <v>2</v>
      </c>
      <c r="IW21" s="1" t="s">
        <v>4</v>
      </c>
      <c r="JB21" s="1" t="s">
        <v>0</v>
      </c>
      <c r="JC21" s="1" t="s">
        <v>0</v>
      </c>
      <c r="JD21" s="1" t="s">
        <v>2</v>
      </c>
      <c r="JE21" s="1" t="s">
        <v>4</v>
      </c>
      <c r="JF21" s="1" t="s">
        <v>4</v>
      </c>
      <c r="JK21" s="1" t="s">
        <v>0</v>
      </c>
      <c r="JL21" s="1" t="s">
        <v>2</v>
      </c>
      <c r="JM21" s="1" t="s">
        <v>2</v>
      </c>
      <c r="JN21" s="1" t="s">
        <v>4</v>
      </c>
      <c r="JO21" s="1" t="s">
        <v>4</v>
      </c>
      <c r="JS21" s="1" t="s">
        <v>0</v>
      </c>
      <c r="JT21" s="1" t="s">
        <v>0</v>
      </c>
      <c r="JU21" s="1" t="s">
        <v>2</v>
      </c>
      <c r="JV21" s="1" t="s">
        <v>2</v>
      </c>
      <c r="JW21" s="1" t="s">
        <v>4</v>
      </c>
      <c r="JX21" s="1" t="s">
        <v>4</v>
      </c>
      <c r="KB21" s="1" t="s">
        <v>0</v>
      </c>
      <c r="KC21" s="1" t="s">
        <v>0</v>
      </c>
      <c r="KD21" s="1" t="s">
        <v>2</v>
      </c>
      <c r="KE21" s="1" t="s">
        <v>2</v>
      </c>
      <c r="KF21" s="1" t="s">
        <v>4</v>
      </c>
      <c r="KK21" s="1" t="s">
        <v>0</v>
      </c>
      <c r="KL21" s="1" t="s">
        <v>0</v>
      </c>
      <c r="KM21" s="1" t="s">
        <v>2</v>
      </c>
      <c r="KN21" s="1" t="s">
        <v>4</v>
      </c>
      <c r="KO21" s="1" t="s">
        <v>4</v>
      </c>
      <c r="KT21" s="1" t="s">
        <v>0</v>
      </c>
      <c r="KU21" s="1" t="s">
        <v>2</v>
      </c>
      <c r="KV21" s="1" t="s">
        <v>2</v>
      </c>
      <c r="KW21" s="1" t="s">
        <v>4</v>
      </c>
      <c r="KX21" s="1" t="s">
        <v>4</v>
      </c>
      <c r="LB21" s="1" t="s">
        <v>0</v>
      </c>
      <c r="LC21" s="1" t="s">
        <v>0</v>
      </c>
      <c r="LD21" s="1" t="s">
        <v>2</v>
      </c>
      <c r="LE21" s="1" t="s">
        <v>2</v>
      </c>
      <c r="LF21" s="1" t="s">
        <v>4</v>
      </c>
      <c r="LG21" s="1" t="s">
        <v>4</v>
      </c>
      <c r="LK21" s="1" t="s">
        <v>0</v>
      </c>
      <c r="LL21" s="1" t="s">
        <v>0</v>
      </c>
      <c r="LM21" s="1" t="s">
        <v>2</v>
      </c>
      <c r="LN21" s="1" t="s">
        <v>2</v>
      </c>
      <c r="LO21" s="1" t="s">
        <v>4</v>
      </c>
      <c r="LT21" s="1" t="s">
        <v>0</v>
      </c>
      <c r="LU21" s="1" t="s">
        <v>0</v>
      </c>
      <c r="LV21" s="1" t="s">
        <v>2</v>
      </c>
      <c r="LW21" s="1" t="s">
        <v>4</v>
      </c>
      <c r="LX21" s="1" t="s">
        <v>4</v>
      </c>
      <c r="MC21" s="1" t="s">
        <v>0</v>
      </c>
      <c r="MD21" s="1" t="s">
        <v>2</v>
      </c>
      <c r="ME21" s="1" t="s">
        <v>2</v>
      </c>
      <c r="MF21" s="1" t="s">
        <v>4</v>
      </c>
      <c r="MG21" s="1" t="s">
        <v>4</v>
      </c>
      <c r="MK21" s="1" t="s">
        <v>0</v>
      </c>
      <c r="ML21" s="1" t="s">
        <v>0</v>
      </c>
      <c r="MM21" s="1" t="s">
        <v>2</v>
      </c>
      <c r="MN21" s="1" t="s">
        <v>2</v>
      </c>
      <c r="MO21" s="1" t="s">
        <v>4</v>
      </c>
      <c r="MP21" s="1" t="s">
        <v>4</v>
      </c>
      <c r="MT21" s="1" t="s">
        <v>0</v>
      </c>
      <c r="MU21" s="1" t="s">
        <v>0</v>
      </c>
      <c r="MV21" s="1" t="s">
        <v>2</v>
      </c>
      <c r="MW21" s="1" t="s">
        <v>2</v>
      </c>
      <c r="MX21" s="1" t="s">
        <v>4</v>
      </c>
      <c r="NC21" s="1" t="s">
        <v>0</v>
      </c>
      <c r="ND21" s="1" t="s">
        <v>0</v>
      </c>
    </row>
    <row r="22" spans="1:368" s="8" customFormat="1">
      <c r="CR22" s="8" t="s">
        <v>104</v>
      </c>
      <c r="CW22" s="27"/>
      <c r="CX22" s="27"/>
      <c r="DF22" s="8" t="s">
        <v>105</v>
      </c>
      <c r="ER22" s="8" t="s">
        <v>6</v>
      </c>
      <c r="ES22" s="8" t="s">
        <v>6</v>
      </c>
      <c r="ET22" s="8" t="s">
        <v>6</v>
      </c>
      <c r="EU22" s="8" t="s">
        <v>6</v>
      </c>
      <c r="EV22" s="8" t="s">
        <v>6</v>
      </c>
      <c r="HS22" s="8" t="s">
        <v>104</v>
      </c>
      <c r="HT22" s="8" t="s">
        <v>104</v>
      </c>
      <c r="HU22" s="8" t="s">
        <v>104</v>
      </c>
      <c r="IB22" s="8" t="s">
        <v>104</v>
      </c>
    </row>
    <row r="23" spans="1:368">
      <c r="A23" s="1" t="s">
        <v>78</v>
      </c>
      <c r="B23" s="1" t="s">
        <v>78</v>
      </c>
      <c r="C23" s="1" t="s">
        <v>12</v>
      </c>
      <c r="D23" s="1" t="s">
        <v>2</v>
      </c>
      <c r="E23" s="1" t="s">
        <v>4</v>
      </c>
      <c r="I23" s="1" t="s">
        <v>0</v>
      </c>
      <c r="J23" s="1" t="s">
        <v>0</v>
      </c>
      <c r="K23" s="1" t="s">
        <v>2</v>
      </c>
      <c r="L23" s="1" t="s">
        <v>2</v>
      </c>
      <c r="M23" s="1" t="s">
        <v>4</v>
      </c>
      <c r="N23" s="1" t="s">
        <v>4</v>
      </c>
      <c r="S23" s="1" t="s">
        <v>0</v>
      </c>
      <c r="T23" s="1" t="s">
        <v>2</v>
      </c>
      <c r="U23" s="1" t="s">
        <v>2</v>
      </c>
      <c r="V23" s="1" t="s">
        <v>4</v>
      </c>
      <c r="W23" s="1" t="s">
        <v>4</v>
      </c>
      <c r="AA23" s="1" t="s">
        <v>0</v>
      </c>
      <c r="AB23" s="1" t="s">
        <v>0</v>
      </c>
      <c r="AC23" s="1" t="s">
        <v>2</v>
      </c>
      <c r="AD23" s="1" t="s">
        <v>2</v>
      </c>
      <c r="AE23" s="1" t="s">
        <v>4</v>
      </c>
      <c r="AF23" s="1" t="s">
        <v>4</v>
      </c>
      <c r="AJ23" s="1" t="s">
        <v>0</v>
      </c>
      <c r="AK23" s="1" t="s">
        <v>0</v>
      </c>
      <c r="AL23" s="1" t="s">
        <v>2</v>
      </c>
      <c r="AM23" s="1" t="s">
        <v>2</v>
      </c>
      <c r="AN23" s="1" t="s">
        <v>4</v>
      </c>
      <c r="AS23" s="1" t="s">
        <v>0</v>
      </c>
      <c r="AT23" s="1" t="s">
        <v>0</v>
      </c>
      <c r="AU23" s="1" t="s">
        <v>2</v>
      </c>
      <c r="AV23" s="1" t="s">
        <v>4</v>
      </c>
      <c r="AW23" s="1" t="s">
        <v>4</v>
      </c>
      <c r="BB23" s="1" t="s">
        <v>0</v>
      </c>
      <c r="BC23" s="1" t="s">
        <v>2</v>
      </c>
      <c r="BD23" s="1" t="s">
        <v>2</v>
      </c>
      <c r="BE23" s="1" t="s">
        <v>4</v>
      </c>
      <c r="BF23" s="1" t="s">
        <v>4</v>
      </c>
      <c r="BJ23" s="1" t="s">
        <v>0</v>
      </c>
      <c r="BK23" s="1" t="s">
        <v>0</v>
      </c>
      <c r="BL23" s="1" t="s">
        <v>2</v>
      </c>
      <c r="BM23" s="1" t="s">
        <v>2</v>
      </c>
      <c r="BN23" s="1" t="s">
        <v>4</v>
      </c>
      <c r="BO23" s="1" t="s">
        <v>4</v>
      </c>
      <c r="BS23" s="1" t="s">
        <v>6</v>
      </c>
      <c r="BT23" s="1" t="s">
        <v>0</v>
      </c>
      <c r="BU23" s="1" t="s">
        <v>2</v>
      </c>
      <c r="BV23" s="1" t="s">
        <v>2</v>
      </c>
      <c r="BW23" s="1" t="s">
        <v>4</v>
      </c>
      <c r="CB23" s="1" t="s">
        <v>0</v>
      </c>
      <c r="CC23" s="1" t="s">
        <v>8</v>
      </c>
      <c r="CD23" s="1" t="s">
        <v>2</v>
      </c>
      <c r="CE23" s="1" t="s">
        <v>4</v>
      </c>
      <c r="CF23" s="1" t="s">
        <v>4</v>
      </c>
      <c r="CK23" s="1" t="s">
        <v>8</v>
      </c>
      <c r="CL23" s="1" t="s">
        <v>2</v>
      </c>
      <c r="CM23" s="1" t="s">
        <v>2</v>
      </c>
      <c r="CN23" s="1" t="s">
        <v>4</v>
      </c>
      <c r="CO23" s="1" t="s">
        <v>4</v>
      </c>
      <c r="CS23" s="1" t="s">
        <v>0</v>
      </c>
      <c r="CT23" s="1" t="s">
        <v>0</v>
      </c>
      <c r="CU23" s="1" t="s">
        <v>2</v>
      </c>
      <c r="CV23" s="1" t="s">
        <v>2</v>
      </c>
      <c r="CW23" s="1" t="s">
        <v>4</v>
      </c>
      <c r="CX23" s="1" t="s">
        <v>4</v>
      </c>
      <c r="DB23" s="1" t="s">
        <v>8</v>
      </c>
      <c r="DC23" s="1" t="s">
        <v>8</v>
      </c>
      <c r="DD23" s="1" t="s">
        <v>2</v>
      </c>
      <c r="DE23" s="1" t="s">
        <v>2</v>
      </c>
      <c r="DF23" s="1" t="s">
        <v>4</v>
      </c>
      <c r="DK23" s="1" t="s">
        <v>0</v>
      </c>
      <c r="DL23" s="1" t="s">
        <v>0</v>
      </c>
      <c r="DM23" s="1" t="s">
        <v>2</v>
      </c>
      <c r="DN23" s="1" t="s">
        <v>4</v>
      </c>
      <c r="DO23" s="1" t="s">
        <v>4</v>
      </c>
      <c r="DT23" s="1" t="s">
        <v>0</v>
      </c>
      <c r="DU23" s="1" t="s">
        <v>2</v>
      </c>
      <c r="DV23" s="1" t="s">
        <v>2</v>
      </c>
      <c r="DW23" s="1" t="s">
        <v>4</v>
      </c>
      <c r="DX23" s="1" t="s">
        <v>4</v>
      </c>
      <c r="EB23" s="1" t="s">
        <v>0</v>
      </c>
      <c r="EC23" s="1" t="s">
        <v>0</v>
      </c>
      <c r="ED23" s="1" t="s">
        <v>2</v>
      </c>
      <c r="EE23" s="1" t="s">
        <v>2</v>
      </c>
      <c r="EF23" s="1" t="s">
        <v>4</v>
      </c>
      <c r="EG23" s="1" t="s">
        <v>4</v>
      </c>
      <c r="EK23" s="1" t="s">
        <v>0</v>
      </c>
      <c r="EL23" s="1" t="s">
        <v>0</v>
      </c>
      <c r="EM23" s="1" t="s">
        <v>2</v>
      </c>
      <c r="EN23" s="1" t="s">
        <v>2</v>
      </c>
      <c r="EO23" s="1" t="s">
        <v>4</v>
      </c>
      <c r="ET23" s="1" t="s">
        <v>0</v>
      </c>
      <c r="EU23" s="1" t="s">
        <v>0</v>
      </c>
      <c r="EV23" s="1" t="s">
        <v>2</v>
      </c>
      <c r="EW23" s="1" t="s">
        <v>4</v>
      </c>
      <c r="EX23" s="1" t="s">
        <v>4</v>
      </c>
      <c r="FC23" s="1" t="s">
        <v>0</v>
      </c>
      <c r="FD23" s="1" t="s">
        <v>2</v>
      </c>
      <c r="FE23" s="1" t="s">
        <v>2</v>
      </c>
      <c r="FF23" s="1" t="s">
        <v>4</v>
      </c>
      <c r="FG23" s="1" t="s">
        <v>4</v>
      </c>
      <c r="FK23" s="1" t="s">
        <v>0</v>
      </c>
      <c r="FL23" s="1" t="s">
        <v>0</v>
      </c>
      <c r="FM23" s="1" t="s">
        <v>2</v>
      </c>
      <c r="FN23" s="1" t="s">
        <v>2</v>
      </c>
      <c r="FO23" s="1" t="s">
        <v>4</v>
      </c>
      <c r="FP23" s="1" t="s">
        <v>4</v>
      </c>
      <c r="FT23" s="1" t="s">
        <v>0</v>
      </c>
      <c r="FU23" s="1" t="s">
        <v>0</v>
      </c>
      <c r="FV23" s="1" t="s">
        <v>2</v>
      </c>
      <c r="FW23" s="1" t="s">
        <v>2</v>
      </c>
      <c r="FX23" s="1" t="s">
        <v>6</v>
      </c>
      <c r="GC23" s="1" t="s">
        <v>0</v>
      </c>
      <c r="GD23" s="1" t="s">
        <v>0</v>
      </c>
      <c r="GE23" s="1" t="s">
        <v>2</v>
      </c>
      <c r="GF23" s="1" t="s">
        <v>4</v>
      </c>
      <c r="GG23" s="1" t="s">
        <v>4</v>
      </c>
      <c r="GL23" s="1" t="s">
        <v>0</v>
      </c>
      <c r="GM23" s="1" t="s">
        <v>2</v>
      </c>
      <c r="GN23" s="1" t="s">
        <v>2</v>
      </c>
      <c r="GO23" s="1" t="s">
        <v>4</v>
      </c>
      <c r="GP23" s="1" t="s">
        <v>4</v>
      </c>
      <c r="GT23" s="1" t="s">
        <v>0</v>
      </c>
      <c r="GU23" s="1" t="s">
        <v>0</v>
      </c>
      <c r="GV23" s="1" t="s">
        <v>2</v>
      </c>
      <c r="GW23" s="1" t="s">
        <v>2</v>
      </c>
      <c r="GX23" s="1" t="s">
        <v>4</v>
      </c>
      <c r="GY23" s="1" t="s">
        <v>4</v>
      </c>
      <c r="HC23" s="1" t="s">
        <v>0</v>
      </c>
      <c r="HD23" s="1" t="s">
        <v>0</v>
      </c>
      <c r="HE23" s="1" t="s">
        <v>2</v>
      </c>
      <c r="HF23" s="1" t="s">
        <v>2</v>
      </c>
      <c r="HG23" s="1" t="s">
        <v>4</v>
      </c>
      <c r="HL23" s="1" t="s">
        <v>0</v>
      </c>
      <c r="HM23" s="1" t="s">
        <v>0</v>
      </c>
      <c r="HN23" s="1" t="s">
        <v>2</v>
      </c>
      <c r="HO23" s="1" t="s">
        <v>4</v>
      </c>
      <c r="HP23" s="1" t="s">
        <v>4</v>
      </c>
      <c r="HU23" s="1" t="s">
        <v>0</v>
      </c>
      <c r="HV23" s="1" t="s">
        <v>2</v>
      </c>
      <c r="HW23" s="1" t="s">
        <v>2</v>
      </c>
      <c r="HX23" s="1" t="s">
        <v>4</v>
      </c>
      <c r="HY23" s="1" t="s">
        <v>4</v>
      </c>
      <c r="IB23" s="1" t="s">
        <v>8</v>
      </c>
      <c r="IC23" s="1" t="s">
        <v>0</v>
      </c>
      <c r="ID23" s="1" t="s">
        <v>0</v>
      </c>
      <c r="IE23" s="1" t="s">
        <v>2</v>
      </c>
      <c r="IF23" s="1" t="s">
        <v>2</v>
      </c>
      <c r="IG23" s="1" t="s">
        <v>4</v>
      </c>
      <c r="IH23" s="1" t="s">
        <v>4</v>
      </c>
      <c r="IL23" s="1" t="s">
        <v>0</v>
      </c>
      <c r="IM23" s="1" t="s">
        <v>0</v>
      </c>
      <c r="IN23" s="1" t="s">
        <v>2</v>
      </c>
      <c r="IO23" s="1" t="s">
        <v>2</v>
      </c>
      <c r="IP23" s="1" t="s">
        <v>4</v>
      </c>
      <c r="IU23" s="1" t="s">
        <v>0</v>
      </c>
      <c r="IV23" s="1" t="s">
        <v>0</v>
      </c>
      <c r="IW23" s="1" t="s">
        <v>2</v>
      </c>
      <c r="IX23" s="1" t="s">
        <v>4</v>
      </c>
      <c r="IY23" s="1" t="s">
        <v>4</v>
      </c>
      <c r="JD23" s="1" t="s">
        <v>0</v>
      </c>
      <c r="JE23" s="1" t="s">
        <v>2</v>
      </c>
      <c r="JF23" s="1" t="s">
        <v>2</v>
      </c>
      <c r="JG23" s="1" t="s">
        <v>4</v>
      </c>
      <c r="JH23" s="1" t="s">
        <v>4</v>
      </c>
      <c r="JL23" s="1" t="s">
        <v>0</v>
      </c>
      <c r="JM23" s="1" t="s">
        <v>0</v>
      </c>
      <c r="JN23" s="1" t="s">
        <v>2</v>
      </c>
      <c r="JO23" s="1" t="s">
        <v>2</v>
      </c>
      <c r="JP23" s="1" t="s">
        <v>4</v>
      </c>
      <c r="JQ23" s="1" t="s">
        <v>4</v>
      </c>
      <c r="JU23" s="1" t="s">
        <v>0</v>
      </c>
      <c r="JV23" s="1" t="s">
        <v>0</v>
      </c>
      <c r="JW23" s="1" t="s">
        <v>2</v>
      </c>
      <c r="JX23" s="1" t="s">
        <v>2</v>
      </c>
      <c r="JY23" s="1" t="s">
        <v>4</v>
      </c>
      <c r="KD23" s="1" t="s">
        <v>0</v>
      </c>
      <c r="KE23" s="1" t="s">
        <v>0</v>
      </c>
      <c r="KF23" s="1" t="s">
        <v>2</v>
      </c>
      <c r="KG23" s="1" t="s">
        <v>4</v>
      </c>
      <c r="KH23" s="1" t="s">
        <v>4</v>
      </c>
      <c r="KM23" s="1" t="s">
        <v>0</v>
      </c>
      <c r="KN23" s="1" t="s">
        <v>2</v>
      </c>
      <c r="KO23" s="1" t="s">
        <v>2</v>
      </c>
      <c r="KP23" s="1" t="s">
        <v>4</v>
      </c>
      <c r="KQ23" s="1" t="s">
        <v>4</v>
      </c>
      <c r="KU23" s="1" t="s">
        <v>0</v>
      </c>
      <c r="KV23" s="1" t="s">
        <v>0</v>
      </c>
      <c r="KW23" s="1" t="s">
        <v>2</v>
      </c>
      <c r="KX23" s="1" t="s">
        <v>2</v>
      </c>
      <c r="KY23" s="1" t="s">
        <v>4</v>
      </c>
      <c r="KZ23" s="1" t="s">
        <v>4</v>
      </c>
      <c r="LD23" s="1" t="s">
        <v>0</v>
      </c>
      <c r="LE23" s="1" t="s">
        <v>0</v>
      </c>
      <c r="LF23" s="1" t="s">
        <v>2</v>
      </c>
      <c r="LG23" s="1" t="s">
        <v>2</v>
      </c>
      <c r="LH23" s="1" t="s">
        <v>4</v>
      </c>
      <c r="LM23" s="1" t="s">
        <v>0</v>
      </c>
      <c r="LN23" s="1" t="s">
        <v>0</v>
      </c>
      <c r="LO23" s="1" t="s">
        <v>2</v>
      </c>
      <c r="LP23" s="1" t="s">
        <v>4</v>
      </c>
      <c r="LQ23" s="1" t="s">
        <v>4</v>
      </c>
      <c r="LV23" s="1" t="s">
        <v>0</v>
      </c>
      <c r="LW23" s="1" t="s">
        <v>2</v>
      </c>
      <c r="LX23" s="1" t="s">
        <v>2</v>
      </c>
      <c r="LY23" s="1" t="s">
        <v>4</v>
      </c>
      <c r="LZ23" s="1" t="s">
        <v>4</v>
      </c>
      <c r="MD23" s="1" t="s">
        <v>0</v>
      </c>
      <c r="ME23" s="1" t="s">
        <v>0</v>
      </c>
      <c r="MF23" s="1" t="s">
        <v>2</v>
      </c>
      <c r="MG23" s="1" t="s">
        <v>2</v>
      </c>
      <c r="MH23" s="1" t="s">
        <v>4</v>
      </c>
      <c r="MI23" s="1" t="s">
        <v>4</v>
      </c>
      <c r="MM23" s="1" t="s">
        <v>0</v>
      </c>
      <c r="MN23" s="1" t="s">
        <v>0</v>
      </c>
      <c r="MO23" s="1" t="s">
        <v>2</v>
      </c>
      <c r="MP23" s="1" t="s">
        <v>2</v>
      </c>
      <c r="MQ23" s="1" t="s">
        <v>4</v>
      </c>
      <c r="MV23" s="1" t="s">
        <v>0</v>
      </c>
      <c r="MW23" s="1" t="s">
        <v>0</v>
      </c>
      <c r="MX23" s="1" t="s">
        <v>2</v>
      </c>
      <c r="MY23" s="1" t="s">
        <v>4</v>
      </c>
      <c r="MZ23" s="1" t="s">
        <v>4</v>
      </c>
    </row>
    <row r="24" spans="1:368" s="8" customFormat="1">
      <c r="BS24" s="8" t="s">
        <v>106</v>
      </c>
      <c r="CB24" s="8" t="s">
        <v>107</v>
      </c>
      <c r="CC24" s="8" t="s">
        <v>107</v>
      </c>
      <c r="CK24" s="8" t="s">
        <v>107</v>
      </c>
      <c r="CU24" s="27" t="s">
        <v>108</v>
      </c>
      <c r="CV24" s="27" t="s">
        <v>108</v>
      </c>
      <c r="DB24" s="8" t="s">
        <v>107</v>
      </c>
      <c r="DC24" s="8" t="s">
        <v>107</v>
      </c>
      <c r="DK24" s="8" t="s">
        <v>107</v>
      </c>
      <c r="DL24" s="8" t="s">
        <v>107</v>
      </c>
      <c r="DT24" s="8" t="s">
        <v>107</v>
      </c>
      <c r="ET24" s="8" t="s">
        <v>2</v>
      </c>
      <c r="EU24" s="8" t="s">
        <v>2</v>
      </c>
    </row>
    <row r="25" spans="1:368">
      <c r="A25" s="1" t="s">
        <v>88</v>
      </c>
      <c r="B25" s="1" t="s">
        <v>88</v>
      </c>
      <c r="C25" s="1" t="s">
        <v>8</v>
      </c>
      <c r="D25" s="1" t="s">
        <v>8</v>
      </c>
      <c r="E25" s="1" t="s">
        <v>8</v>
      </c>
      <c r="H25" s="1" t="s">
        <v>8</v>
      </c>
      <c r="I25" s="1" t="s">
        <v>8</v>
      </c>
      <c r="J25" s="1" t="s">
        <v>8</v>
      </c>
      <c r="K25" s="1" t="s">
        <v>8</v>
      </c>
      <c r="L25" s="1" t="s">
        <v>8</v>
      </c>
      <c r="O25" s="1" t="s">
        <v>8</v>
      </c>
      <c r="P25" s="1" t="s">
        <v>8</v>
      </c>
      <c r="Q25" s="1" t="s">
        <v>8</v>
      </c>
      <c r="R25" s="1" t="s">
        <v>8</v>
      </c>
      <c r="S25" s="1" t="s">
        <v>8</v>
      </c>
      <c r="V25" s="1" t="s">
        <v>8</v>
      </c>
      <c r="W25" s="1" t="s">
        <v>8</v>
      </c>
      <c r="X25" s="1" t="s">
        <v>8</v>
      </c>
      <c r="Y25" s="1" t="s">
        <v>8</v>
      </c>
      <c r="Z25" s="1" t="s">
        <v>8</v>
      </c>
      <c r="AC25" s="1" t="s">
        <v>8</v>
      </c>
      <c r="AD25" s="1" t="s">
        <v>8</v>
      </c>
      <c r="AE25" s="1" t="s">
        <v>8</v>
      </c>
      <c r="AF25" s="1" t="s">
        <v>8</v>
      </c>
      <c r="AG25" s="1" t="s">
        <v>8</v>
      </c>
      <c r="AJ25" s="1" t="s">
        <v>8</v>
      </c>
      <c r="AK25" s="1" t="s">
        <v>8</v>
      </c>
      <c r="AL25" s="1" t="s">
        <v>8</v>
      </c>
      <c r="AM25" s="1" t="s">
        <v>8</v>
      </c>
      <c r="AN25" s="1" t="s">
        <v>8</v>
      </c>
      <c r="AQ25" s="1" t="s">
        <v>8</v>
      </c>
      <c r="AR25" s="1" t="s">
        <v>8</v>
      </c>
      <c r="AS25" s="1" t="s">
        <v>8</v>
      </c>
      <c r="AT25" s="1" t="s">
        <v>8</v>
      </c>
      <c r="AU25" s="1" t="s">
        <v>8</v>
      </c>
      <c r="AX25" s="1" t="s">
        <v>8</v>
      </c>
      <c r="AY25" s="1" t="s">
        <v>8</v>
      </c>
      <c r="AZ25" s="1" t="s">
        <v>8</v>
      </c>
      <c r="BA25" s="1" t="s">
        <v>8</v>
      </c>
      <c r="BB25" s="1" t="s">
        <v>8</v>
      </c>
      <c r="BE25" s="1" t="s">
        <v>8</v>
      </c>
      <c r="BF25" s="1" t="s">
        <v>8</v>
      </c>
      <c r="BG25" s="1" t="s">
        <v>8</v>
      </c>
      <c r="BH25" s="1" t="s">
        <v>8</v>
      </c>
      <c r="BI25" s="1" t="s">
        <v>8</v>
      </c>
      <c r="BL25" s="1" t="s">
        <v>8</v>
      </c>
      <c r="BM25" s="1" t="s">
        <v>8</v>
      </c>
      <c r="BN25" s="1" t="s">
        <v>8</v>
      </c>
      <c r="BO25" s="1" t="s">
        <v>8</v>
      </c>
      <c r="BP25" s="1" t="s">
        <v>8</v>
      </c>
      <c r="BS25" s="1" t="s">
        <v>8</v>
      </c>
      <c r="BT25" s="1" t="s">
        <v>8</v>
      </c>
      <c r="BU25" s="1" t="s">
        <v>8</v>
      </c>
      <c r="BV25" s="1" t="s">
        <v>8</v>
      </c>
      <c r="BW25" s="1" t="s">
        <v>8</v>
      </c>
      <c r="BZ25" s="1" t="s">
        <v>8</v>
      </c>
      <c r="CA25" s="1" t="s">
        <v>8</v>
      </c>
      <c r="CB25" s="1" t="s">
        <v>8</v>
      </c>
      <c r="CC25" s="1" t="s">
        <v>8</v>
      </c>
      <c r="CD25" s="1" t="s">
        <v>8</v>
      </c>
      <c r="CG25" s="35" t="s">
        <v>8</v>
      </c>
      <c r="CH25" s="36" t="s">
        <v>8</v>
      </c>
      <c r="CI25" s="35" t="s">
        <v>8</v>
      </c>
      <c r="CJ25" s="36" t="s">
        <v>8</v>
      </c>
      <c r="CK25" s="36" t="s">
        <v>8</v>
      </c>
      <c r="CN25" s="30" t="s">
        <v>8</v>
      </c>
      <c r="CO25" s="34" t="s">
        <v>8</v>
      </c>
      <c r="CP25" s="30" t="s">
        <v>8</v>
      </c>
      <c r="CQ25" s="34" t="s">
        <v>8</v>
      </c>
      <c r="CR25" s="32" t="s">
        <v>8</v>
      </c>
      <c r="CU25" s="32" t="s">
        <v>8</v>
      </c>
      <c r="CV25" s="33" t="s">
        <v>8</v>
      </c>
      <c r="CW25" s="32" t="s">
        <v>8</v>
      </c>
      <c r="CX25" s="32" t="s">
        <v>8</v>
      </c>
      <c r="CY25" s="33" t="s">
        <v>8</v>
      </c>
      <c r="DB25" s="1" t="s">
        <v>8</v>
      </c>
      <c r="DC25" s="1" t="s">
        <v>8</v>
      </c>
      <c r="DD25" s="1" t="s">
        <v>8</v>
      </c>
      <c r="DE25" s="1" t="s">
        <v>8</v>
      </c>
      <c r="DF25" s="1" t="s">
        <v>8</v>
      </c>
      <c r="DI25" s="1" t="s">
        <v>8</v>
      </c>
      <c r="DJ25" s="1" t="s">
        <v>8</v>
      </c>
      <c r="DK25" s="1" t="s">
        <v>8</v>
      </c>
      <c r="DL25" s="1" t="s">
        <v>8</v>
      </c>
      <c r="DM25" s="1" t="s">
        <v>8</v>
      </c>
      <c r="DP25" s="1" t="s">
        <v>8</v>
      </c>
      <c r="DQ25" s="1" t="s">
        <v>8</v>
      </c>
      <c r="DR25" s="1" t="s">
        <v>8</v>
      </c>
      <c r="DS25" s="1" t="s">
        <v>8</v>
      </c>
      <c r="DT25" s="1" t="s">
        <v>8</v>
      </c>
      <c r="DW25" s="1" t="s">
        <v>8</v>
      </c>
      <c r="DX25" s="1" t="s">
        <v>8</v>
      </c>
      <c r="DY25" s="1" t="s">
        <v>8</v>
      </c>
      <c r="DZ25" s="1" t="s">
        <v>8</v>
      </c>
      <c r="EA25" s="1" t="s">
        <v>8</v>
      </c>
      <c r="ED25" s="1" t="s">
        <v>8</v>
      </c>
      <c r="EE25" s="1" t="s">
        <v>8</v>
      </c>
      <c r="EF25" s="1" t="s">
        <v>8</v>
      </c>
      <c r="EG25" s="1" t="s">
        <v>8</v>
      </c>
      <c r="EH25" s="1" t="s">
        <v>8</v>
      </c>
      <c r="EK25" s="1" t="s">
        <v>6</v>
      </c>
      <c r="EL25" s="1" t="s">
        <v>6</v>
      </c>
      <c r="EM25" s="1" t="s">
        <v>6</v>
      </c>
      <c r="EN25" s="1" t="s">
        <v>6</v>
      </c>
      <c r="EO25" s="1" t="s">
        <v>6</v>
      </c>
      <c r="ER25" s="1" t="s">
        <v>6</v>
      </c>
      <c r="ES25" s="1" t="s">
        <v>6</v>
      </c>
      <c r="ET25" s="1" t="s">
        <v>6</v>
      </c>
      <c r="EU25" s="1" t="s">
        <v>6</v>
      </c>
      <c r="EV25" s="1" t="s">
        <v>6</v>
      </c>
      <c r="EY25" s="1" t="s">
        <v>8</v>
      </c>
      <c r="EZ25" s="1" t="s">
        <v>8</v>
      </c>
      <c r="FA25" s="1" t="s">
        <v>8</v>
      </c>
      <c r="FB25" s="1" t="s">
        <v>8</v>
      </c>
      <c r="FC25" s="1" t="s">
        <v>8</v>
      </c>
      <c r="FF25" s="1" t="s">
        <v>8</v>
      </c>
      <c r="FG25" s="1" t="s">
        <v>8</v>
      </c>
      <c r="FH25" s="1" t="s">
        <v>8</v>
      </c>
      <c r="FI25" s="1" t="s">
        <v>8</v>
      </c>
      <c r="FJ25" s="1" t="s">
        <v>8</v>
      </c>
      <c r="FM25" s="1" t="s">
        <v>8</v>
      </c>
      <c r="FN25" s="1" t="s">
        <v>8</v>
      </c>
      <c r="FO25" s="1" t="s">
        <v>8</v>
      </c>
      <c r="FP25" s="1" t="s">
        <v>8</v>
      </c>
      <c r="FQ25" s="1" t="s">
        <v>8</v>
      </c>
      <c r="FT25" s="1" t="s">
        <v>8</v>
      </c>
      <c r="FU25" s="1" t="s">
        <v>8</v>
      </c>
      <c r="FV25" s="1" t="s">
        <v>8</v>
      </c>
      <c r="FW25" s="1" t="s">
        <v>8</v>
      </c>
      <c r="FX25" s="1" t="s">
        <v>8</v>
      </c>
      <c r="GA25" s="1" t="s">
        <v>8</v>
      </c>
      <c r="GB25" s="1" t="s">
        <v>8</v>
      </c>
      <c r="GC25" s="1" t="s">
        <v>8</v>
      </c>
      <c r="GD25" s="1" t="s">
        <v>8</v>
      </c>
      <c r="GE25" s="1" t="s">
        <v>8</v>
      </c>
      <c r="GH25" s="1" t="s">
        <v>8</v>
      </c>
      <c r="GI25" s="1" t="s">
        <v>8</v>
      </c>
      <c r="GJ25" s="1" t="s">
        <v>8</v>
      </c>
      <c r="GK25" s="1" t="s">
        <v>8</v>
      </c>
      <c r="GL25" s="1" t="s">
        <v>8</v>
      </c>
      <c r="GO25" s="1" t="s">
        <v>8</v>
      </c>
      <c r="GP25" s="1" t="s">
        <v>8</v>
      </c>
      <c r="GQ25" s="1" t="s">
        <v>8</v>
      </c>
      <c r="GR25" s="1" t="s">
        <v>8</v>
      </c>
      <c r="GS25" s="1" t="s">
        <v>8</v>
      </c>
      <c r="GV25" s="1" t="s">
        <v>8</v>
      </c>
      <c r="GW25" s="1" t="s">
        <v>8</v>
      </c>
      <c r="GX25" s="1" t="s">
        <v>8</v>
      </c>
      <c r="GY25" s="1" t="s">
        <v>8</v>
      </c>
      <c r="GZ25" s="1" t="s">
        <v>8</v>
      </c>
      <c r="HC25" s="1" t="s">
        <v>8</v>
      </c>
      <c r="HD25" s="1" t="s">
        <v>8</v>
      </c>
      <c r="HE25" s="1" t="s">
        <v>8</v>
      </c>
      <c r="HF25" s="1" t="s">
        <v>8</v>
      </c>
      <c r="HG25" s="1" t="s">
        <v>8</v>
      </c>
      <c r="HJ25" s="1" t="s">
        <v>8</v>
      </c>
      <c r="HK25" s="1" t="s">
        <v>8</v>
      </c>
      <c r="HL25" s="1" t="s">
        <v>8</v>
      </c>
      <c r="HM25" s="1" t="s">
        <v>8</v>
      </c>
      <c r="HN25" s="1" t="s">
        <v>8</v>
      </c>
      <c r="HQ25" s="1" t="s">
        <v>8</v>
      </c>
      <c r="HR25" s="1" t="s">
        <v>8</v>
      </c>
      <c r="HS25" s="1" t="s">
        <v>8</v>
      </c>
      <c r="HT25" s="1" t="s">
        <v>8</v>
      </c>
      <c r="HU25" s="1" t="s">
        <v>8</v>
      </c>
      <c r="HX25" s="1" t="s">
        <v>8</v>
      </c>
      <c r="HY25" s="1" t="s">
        <v>8</v>
      </c>
      <c r="HZ25" s="1" t="s">
        <v>8</v>
      </c>
      <c r="IA25" s="1" t="s">
        <v>8</v>
      </c>
      <c r="IB25" s="1" t="s">
        <v>8</v>
      </c>
      <c r="IE25" s="1" t="s">
        <v>8</v>
      </c>
      <c r="IF25" s="1" t="s">
        <v>8</v>
      </c>
      <c r="IG25" s="1" t="s">
        <v>8</v>
      </c>
      <c r="IH25" s="1" t="s">
        <v>8</v>
      </c>
      <c r="II25" s="1" t="s">
        <v>8</v>
      </c>
      <c r="IL25" s="1" t="s">
        <v>8</v>
      </c>
      <c r="IM25" s="1" t="s">
        <v>8</v>
      </c>
      <c r="IN25" s="1" t="s">
        <v>8</v>
      </c>
      <c r="IO25" s="1" t="s">
        <v>8</v>
      </c>
      <c r="IP25" s="1" t="s">
        <v>8</v>
      </c>
      <c r="IS25" s="1" t="s">
        <v>8</v>
      </c>
      <c r="IT25" s="1" t="s">
        <v>8</v>
      </c>
      <c r="IU25" s="1" t="s">
        <v>8</v>
      </c>
      <c r="IV25" s="1" t="s">
        <v>8</v>
      </c>
      <c r="IW25" s="1" t="s">
        <v>8</v>
      </c>
      <c r="IZ25" s="1" t="s">
        <v>8</v>
      </c>
      <c r="JA25" s="1" t="s">
        <v>8</v>
      </c>
      <c r="JB25" s="1" t="s">
        <v>8</v>
      </c>
      <c r="JC25" s="1" t="s">
        <v>8</v>
      </c>
      <c r="JD25" s="1" t="s">
        <v>8</v>
      </c>
      <c r="JG25" s="1" t="s">
        <v>8</v>
      </c>
      <c r="JH25" s="1" t="s">
        <v>8</v>
      </c>
      <c r="JI25" s="1" t="s">
        <v>8</v>
      </c>
      <c r="JJ25" s="1" t="s">
        <v>8</v>
      </c>
      <c r="JK25" s="1" t="s">
        <v>8</v>
      </c>
      <c r="JN25" s="1" t="s">
        <v>8</v>
      </c>
      <c r="JO25" s="1" t="s">
        <v>8</v>
      </c>
      <c r="JP25" s="1" t="s">
        <v>8</v>
      </c>
      <c r="JQ25" s="1" t="s">
        <v>8</v>
      </c>
      <c r="JR25" s="1" t="s">
        <v>8</v>
      </c>
      <c r="JU25" s="1" t="s">
        <v>8</v>
      </c>
      <c r="JV25" s="1" t="s">
        <v>8</v>
      </c>
      <c r="JW25" s="1" t="s">
        <v>8</v>
      </c>
      <c r="JX25" s="1" t="s">
        <v>8</v>
      </c>
      <c r="JY25" s="1" t="s">
        <v>8</v>
      </c>
      <c r="KB25" s="1" t="s">
        <v>8</v>
      </c>
      <c r="KC25" s="1" t="s">
        <v>8</v>
      </c>
      <c r="KD25" s="1" t="s">
        <v>8</v>
      </c>
      <c r="KE25" s="1" t="s">
        <v>8</v>
      </c>
      <c r="KF25" s="1" t="s">
        <v>8</v>
      </c>
      <c r="KI25" s="1" t="s">
        <v>8</v>
      </c>
      <c r="KJ25" s="1" t="s">
        <v>8</v>
      </c>
      <c r="KK25" s="1" t="s">
        <v>8</v>
      </c>
      <c r="KL25" s="1" t="s">
        <v>8</v>
      </c>
      <c r="KM25" s="1" t="s">
        <v>8</v>
      </c>
      <c r="KP25" s="1" t="s">
        <v>8</v>
      </c>
      <c r="KQ25" s="1" t="s">
        <v>8</v>
      </c>
      <c r="KR25" s="1" t="s">
        <v>8</v>
      </c>
      <c r="KS25" s="1" t="s">
        <v>8</v>
      </c>
      <c r="KT25" s="1" t="s">
        <v>8</v>
      </c>
      <c r="KW25" s="1" t="s">
        <v>8</v>
      </c>
      <c r="KX25" s="1" t="s">
        <v>8</v>
      </c>
      <c r="KY25" s="1" t="s">
        <v>8</v>
      </c>
      <c r="KZ25" s="1" t="s">
        <v>8</v>
      </c>
      <c r="LA25" s="1" t="s">
        <v>8</v>
      </c>
      <c r="LD25" s="1" t="s">
        <v>8</v>
      </c>
      <c r="LE25" s="1" t="s">
        <v>8</v>
      </c>
      <c r="LF25" s="1" t="s">
        <v>8</v>
      </c>
      <c r="LG25" s="1" t="s">
        <v>8</v>
      </c>
      <c r="LH25" s="1" t="s">
        <v>8</v>
      </c>
      <c r="LK25" s="1" t="s">
        <v>8</v>
      </c>
      <c r="LL25" s="1" t="s">
        <v>8</v>
      </c>
      <c r="LM25" s="1" t="s">
        <v>8</v>
      </c>
      <c r="LN25" s="1" t="s">
        <v>8</v>
      </c>
      <c r="LO25" s="1" t="s">
        <v>8</v>
      </c>
      <c r="LR25" s="1" t="s">
        <v>8</v>
      </c>
      <c r="LS25" s="1" t="s">
        <v>8</v>
      </c>
      <c r="LT25" s="1" t="s">
        <v>8</v>
      </c>
      <c r="LU25" s="1" t="s">
        <v>8</v>
      </c>
      <c r="LV25" s="1" t="s">
        <v>8</v>
      </c>
      <c r="LY25" s="1" t="s">
        <v>8</v>
      </c>
      <c r="LZ25" s="1" t="s">
        <v>8</v>
      </c>
      <c r="MA25" s="1" t="s">
        <v>8</v>
      </c>
      <c r="MB25" s="1" t="s">
        <v>8</v>
      </c>
      <c r="MC25" s="1" t="s">
        <v>8</v>
      </c>
      <c r="MF25" s="1" t="s">
        <v>8</v>
      </c>
      <c r="MG25" s="1" t="s">
        <v>8</v>
      </c>
      <c r="MH25" s="1" t="s">
        <v>8</v>
      </c>
      <c r="MI25" s="1" t="s">
        <v>8</v>
      </c>
      <c r="MJ25" s="1" t="s">
        <v>8</v>
      </c>
      <c r="MM25" s="1" t="s">
        <v>8</v>
      </c>
      <c r="MN25" s="1" t="s">
        <v>8</v>
      </c>
      <c r="MO25" s="1" t="s">
        <v>8</v>
      </c>
      <c r="MP25" s="1" t="s">
        <v>8</v>
      </c>
      <c r="MQ25" s="1" t="s">
        <v>8</v>
      </c>
      <c r="MT25" s="1" t="s">
        <v>8</v>
      </c>
      <c r="MU25" s="1" t="s">
        <v>8</v>
      </c>
      <c r="MV25" s="1" t="s">
        <v>8</v>
      </c>
      <c r="MW25" s="1" t="s">
        <v>8</v>
      </c>
      <c r="NA25" s="1" t="s">
        <v>8</v>
      </c>
      <c r="NB25" s="1" t="s">
        <v>8</v>
      </c>
      <c r="NC25" s="1" t="s">
        <v>8</v>
      </c>
      <c r="ND25" s="1" t="s">
        <v>8</v>
      </c>
    </row>
    <row r="26" spans="1:368">
      <c r="A26" s="1" t="s">
        <v>89</v>
      </c>
      <c r="B26" s="1" t="s">
        <v>89</v>
      </c>
      <c r="C26" s="1" t="s">
        <v>8</v>
      </c>
      <c r="D26" s="1" t="s">
        <v>8</v>
      </c>
      <c r="H26" s="1" t="s">
        <v>8</v>
      </c>
      <c r="I26" s="1" t="s">
        <v>8</v>
      </c>
      <c r="J26" s="1" t="s">
        <v>8</v>
      </c>
      <c r="K26" s="1" t="s">
        <v>8</v>
      </c>
      <c r="O26" s="1" t="s">
        <v>8</v>
      </c>
      <c r="P26" s="1" t="s">
        <v>8</v>
      </c>
      <c r="Q26" s="1" t="s">
        <v>8</v>
      </c>
      <c r="R26" s="1" t="s">
        <v>8</v>
      </c>
      <c r="V26" s="1" t="s">
        <v>8</v>
      </c>
      <c r="W26" s="1" t="s">
        <v>8</v>
      </c>
      <c r="X26" s="1" t="s">
        <v>8</v>
      </c>
      <c r="Y26" s="1" t="s">
        <v>6</v>
      </c>
      <c r="AC26" s="1" t="s">
        <v>8</v>
      </c>
      <c r="AD26" s="1" t="s">
        <v>8</v>
      </c>
      <c r="AE26" s="1" t="s">
        <v>8</v>
      </c>
      <c r="AF26" s="1" t="s">
        <v>8</v>
      </c>
      <c r="AJ26" s="1" t="s">
        <v>6</v>
      </c>
      <c r="AK26" s="1" t="s">
        <v>8</v>
      </c>
      <c r="AL26" s="1" t="s">
        <v>8</v>
      </c>
      <c r="AM26" s="1" t="s">
        <v>8</v>
      </c>
      <c r="AQ26" s="1" t="s">
        <v>8</v>
      </c>
      <c r="AR26" s="1" t="s">
        <v>8</v>
      </c>
      <c r="AS26" s="1" t="s">
        <v>8</v>
      </c>
      <c r="AT26" s="1" t="s">
        <v>8</v>
      </c>
      <c r="AX26" s="1" t="s">
        <v>8</v>
      </c>
      <c r="AY26" s="1" t="s">
        <v>8</v>
      </c>
      <c r="AZ26" s="1" t="s">
        <v>8</v>
      </c>
      <c r="BA26" s="1" t="s">
        <v>8</v>
      </c>
      <c r="BB26" s="1" t="s">
        <v>8</v>
      </c>
      <c r="BE26" s="1" t="s">
        <v>8</v>
      </c>
      <c r="BF26" s="1" t="s">
        <v>8</v>
      </c>
      <c r="BG26" s="1" t="s">
        <v>8</v>
      </c>
      <c r="BH26" s="1" t="s">
        <v>6</v>
      </c>
      <c r="BL26" s="1" t="s">
        <v>8</v>
      </c>
      <c r="BM26" s="1" t="s">
        <v>8</v>
      </c>
      <c r="BN26" s="1" t="s">
        <v>8</v>
      </c>
      <c r="BO26" s="1" t="s">
        <v>8</v>
      </c>
      <c r="BS26" s="1" t="s">
        <v>8</v>
      </c>
      <c r="BT26" s="1" t="s">
        <v>8</v>
      </c>
      <c r="BU26" s="1" t="s">
        <v>8</v>
      </c>
      <c r="BV26" s="1" t="s">
        <v>8</v>
      </c>
      <c r="BZ26" s="1" t="s">
        <v>8</v>
      </c>
      <c r="CA26" s="1" t="s">
        <v>8</v>
      </c>
      <c r="CB26" s="1" t="s">
        <v>8</v>
      </c>
      <c r="CC26" s="1" t="s">
        <v>8</v>
      </c>
      <c r="CG26" s="35" t="s">
        <v>8</v>
      </c>
      <c r="CH26" s="35" t="s">
        <v>8</v>
      </c>
      <c r="CI26" s="36" t="s">
        <v>8</v>
      </c>
      <c r="CJ26" s="36" t="s">
        <v>8</v>
      </c>
      <c r="CK26" s="36"/>
      <c r="CN26" s="34" t="s">
        <v>8</v>
      </c>
      <c r="CO26" s="32" t="s">
        <v>8</v>
      </c>
      <c r="CP26" s="34" t="s">
        <v>8</v>
      </c>
      <c r="CQ26" s="30" t="s">
        <v>8</v>
      </c>
      <c r="CR26" s="34"/>
      <c r="CU26" s="33" t="s">
        <v>6</v>
      </c>
      <c r="CV26" s="33" t="s">
        <v>6</v>
      </c>
      <c r="CW26" s="33" t="s">
        <v>8</v>
      </c>
      <c r="CX26" s="32" t="s">
        <v>8</v>
      </c>
      <c r="CY26" s="33"/>
      <c r="DB26" s="1" t="s">
        <v>8</v>
      </c>
      <c r="DC26" s="1" t="s">
        <v>8</v>
      </c>
      <c r="DD26" s="1" t="s">
        <v>8</v>
      </c>
      <c r="DE26" s="1" t="s">
        <v>8</v>
      </c>
      <c r="DI26" s="1" t="s">
        <v>8</v>
      </c>
      <c r="DJ26" s="1" t="s">
        <v>8</v>
      </c>
      <c r="DK26" s="1" t="s">
        <v>8</v>
      </c>
      <c r="DL26" s="1" t="s">
        <v>8</v>
      </c>
      <c r="DP26" s="1" t="s">
        <v>8</v>
      </c>
      <c r="DQ26" s="1" t="s">
        <v>8</v>
      </c>
      <c r="DR26" s="1" t="s">
        <v>8</v>
      </c>
      <c r="DS26" s="1" t="s">
        <v>8</v>
      </c>
      <c r="DW26" s="1" t="s">
        <v>8</v>
      </c>
      <c r="DX26" s="1" t="s">
        <v>8</v>
      </c>
      <c r="DY26" s="1" t="s">
        <v>8</v>
      </c>
      <c r="DZ26" s="1" t="s">
        <v>8</v>
      </c>
      <c r="ED26" s="1" t="s">
        <v>8</v>
      </c>
      <c r="EE26" s="1" t="s">
        <v>8</v>
      </c>
      <c r="EF26" s="1" t="s">
        <v>8</v>
      </c>
      <c r="EG26" s="1" t="s">
        <v>8</v>
      </c>
      <c r="EK26" s="1" t="s">
        <v>8</v>
      </c>
      <c r="EL26" s="1" t="s">
        <v>8</v>
      </c>
      <c r="EM26" s="1" t="s">
        <v>8</v>
      </c>
      <c r="EN26" s="1" t="s">
        <v>8</v>
      </c>
      <c r="ER26" s="1" t="s">
        <v>8</v>
      </c>
      <c r="ES26" s="1" t="s">
        <v>8</v>
      </c>
      <c r="ET26" s="1" t="s">
        <v>8</v>
      </c>
      <c r="EU26" s="1" t="s">
        <v>8</v>
      </c>
      <c r="EY26" s="1" t="s">
        <v>8</v>
      </c>
      <c r="EZ26" s="1" t="s">
        <v>8</v>
      </c>
      <c r="FA26" s="1" t="s">
        <v>8</v>
      </c>
      <c r="FB26" s="1" t="s">
        <v>8</v>
      </c>
      <c r="FF26" s="1" t="s">
        <v>8</v>
      </c>
      <c r="FG26" s="1" t="s">
        <v>8</v>
      </c>
      <c r="FH26" s="1" t="s">
        <v>8</v>
      </c>
      <c r="FI26" s="1" t="s">
        <v>8</v>
      </c>
      <c r="FM26" s="1" t="s">
        <v>8</v>
      </c>
      <c r="FN26" s="1" t="s">
        <v>8</v>
      </c>
      <c r="FO26" s="1" t="s">
        <v>8</v>
      </c>
      <c r="FP26" s="1" t="s">
        <v>8</v>
      </c>
      <c r="FT26" s="1" t="s">
        <v>8</v>
      </c>
      <c r="FU26" s="1" t="s">
        <v>8</v>
      </c>
      <c r="FV26" s="1" t="s">
        <v>8</v>
      </c>
      <c r="FW26" s="1" t="s">
        <v>8</v>
      </c>
      <c r="GA26" s="1" t="s">
        <v>8</v>
      </c>
      <c r="GB26" s="1" t="s">
        <v>8</v>
      </c>
      <c r="GC26" s="1" t="s">
        <v>8</v>
      </c>
      <c r="GD26" s="1" t="s">
        <v>8</v>
      </c>
      <c r="GH26" s="1" t="s">
        <v>8</v>
      </c>
      <c r="GI26" s="1" t="s">
        <v>8</v>
      </c>
      <c r="GJ26" s="1" t="s">
        <v>8</v>
      </c>
      <c r="GK26" s="1" t="s">
        <v>8</v>
      </c>
      <c r="GO26" s="1" t="s">
        <v>8</v>
      </c>
      <c r="GP26" s="1" t="s">
        <v>8</v>
      </c>
      <c r="GQ26" s="1" t="s">
        <v>8</v>
      </c>
      <c r="GR26" s="1" t="s">
        <v>8</v>
      </c>
      <c r="GV26" s="1" t="s">
        <v>8</v>
      </c>
      <c r="GW26" s="1" t="s">
        <v>8</v>
      </c>
      <c r="GX26" s="1" t="s">
        <v>8</v>
      </c>
      <c r="GY26" s="1" t="s">
        <v>8</v>
      </c>
      <c r="HC26" s="1" t="s">
        <v>8</v>
      </c>
      <c r="HD26" s="1" t="s">
        <v>8</v>
      </c>
      <c r="HE26" s="1" t="s">
        <v>8</v>
      </c>
      <c r="HF26" s="1" t="s">
        <v>8</v>
      </c>
      <c r="HJ26" s="1" t="s">
        <v>6</v>
      </c>
      <c r="HK26" s="1" t="s">
        <v>6</v>
      </c>
      <c r="HL26" s="1" t="s">
        <v>6</v>
      </c>
      <c r="HM26" s="1" t="s">
        <v>6</v>
      </c>
      <c r="HQ26" s="1" t="s">
        <v>6</v>
      </c>
      <c r="HR26" s="1" t="s">
        <v>6</v>
      </c>
      <c r="HS26" s="1" t="s">
        <v>6</v>
      </c>
      <c r="HT26" s="1" t="s">
        <v>6</v>
      </c>
      <c r="HX26" s="1" t="s">
        <v>6</v>
      </c>
      <c r="HY26" s="1" t="s">
        <v>6</v>
      </c>
      <c r="HZ26" s="1" t="s">
        <v>6</v>
      </c>
      <c r="IA26" s="1" t="s">
        <v>6</v>
      </c>
      <c r="IE26" s="1" t="s">
        <v>8</v>
      </c>
      <c r="IF26" s="1" t="s">
        <v>8</v>
      </c>
      <c r="IG26" s="1" t="s">
        <v>8</v>
      </c>
      <c r="IH26" s="1" t="s">
        <v>8</v>
      </c>
      <c r="IL26" s="1" t="s">
        <v>8</v>
      </c>
      <c r="IM26" s="1" t="s">
        <v>8</v>
      </c>
      <c r="IN26" s="1" t="s">
        <v>8</v>
      </c>
      <c r="IO26" s="1" t="s">
        <v>8</v>
      </c>
      <c r="IS26" s="1" t="s">
        <v>8</v>
      </c>
      <c r="IT26" s="1" t="s">
        <v>8</v>
      </c>
      <c r="IU26" s="1" t="s">
        <v>8</v>
      </c>
      <c r="IV26" s="1" t="s">
        <v>8</v>
      </c>
      <c r="IZ26" s="1" t="s">
        <v>8</v>
      </c>
      <c r="JA26" s="1" t="s">
        <v>8</v>
      </c>
      <c r="JB26" s="1" t="s">
        <v>8</v>
      </c>
      <c r="JC26" s="1" t="s">
        <v>8</v>
      </c>
      <c r="JG26" s="1" t="s">
        <v>8</v>
      </c>
      <c r="JH26" s="1" t="s">
        <v>8</v>
      </c>
      <c r="JI26" s="1" t="s">
        <v>8</v>
      </c>
      <c r="JJ26" s="1" t="s">
        <v>8</v>
      </c>
      <c r="JN26" s="1" t="s">
        <v>8</v>
      </c>
      <c r="JO26" s="1" t="s">
        <v>8</v>
      </c>
      <c r="JP26" s="1" t="s">
        <v>8</v>
      </c>
      <c r="JQ26" s="1" t="s">
        <v>8</v>
      </c>
      <c r="JU26" s="1" t="s">
        <v>8</v>
      </c>
      <c r="JV26" s="1" t="s">
        <v>8</v>
      </c>
      <c r="JW26" s="1" t="s">
        <v>8</v>
      </c>
      <c r="JX26" s="1" t="s">
        <v>8</v>
      </c>
      <c r="KB26" s="1" t="s">
        <v>8</v>
      </c>
      <c r="KC26" s="1" t="s">
        <v>8</v>
      </c>
      <c r="KD26" s="1" t="s">
        <v>8</v>
      </c>
      <c r="KE26" s="1" t="s">
        <v>8</v>
      </c>
      <c r="KI26" s="1" t="s">
        <v>8</v>
      </c>
      <c r="KJ26" s="1" t="s">
        <v>8</v>
      </c>
      <c r="KK26" s="1" t="s">
        <v>8</v>
      </c>
      <c r="KL26" s="1" t="s">
        <v>8</v>
      </c>
      <c r="KP26" s="1" t="s">
        <v>8</v>
      </c>
      <c r="KQ26" s="1" t="s">
        <v>8</v>
      </c>
      <c r="KR26" s="1" t="s">
        <v>8</v>
      </c>
      <c r="KS26" s="1" t="s">
        <v>8</v>
      </c>
      <c r="KW26" s="1" t="s">
        <v>8</v>
      </c>
      <c r="KX26" s="1" t="s">
        <v>8</v>
      </c>
      <c r="KY26" s="1" t="s">
        <v>8</v>
      </c>
      <c r="KZ26" s="1" t="s">
        <v>8</v>
      </c>
      <c r="LD26" s="1" t="s">
        <v>8</v>
      </c>
      <c r="LE26" s="1" t="s">
        <v>8</v>
      </c>
      <c r="LF26" s="1" t="s">
        <v>8</v>
      </c>
      <c r="LG26" s="1" t="s">
        <v>8</v>
      </c>
      <c r="LK26" s="1" t="s">
        <v>8</v>
      </c>
      <c r="LL26" s="1" t="s">
        <v>8</v>
      </c>
      <c r="LM26" s="1" t="s">
        <v>8</v>
      </c>
      <c r="LN26" s="1" t="s">
        <v>8</v>
      </c>
      <c r="LR26" s="1" t="s">
        <v>8</v>
      </c>
      <c r="LS26" s="1" t="s">
        <v>8</v>
      </c>
      <c r="LT26" s="1" t="s">
        <v>8</v>
      </c>
      <c r="LU26" s="1" t="s">
        <v>8</v>
      </c>
      <c r="LY26" s="1" t="s">
        <v>8</v>
      </c>
      <c r="LZ26" s="1" t="s">
        <v>8</v>
      </c>
      <c r="MA26" s="1" t="s">
        <v>8</v>
      </c>
      <c r="MB26" s="1" t="s">
        <v>8</v>
      </c>
      <c r="MF26" s="1" t="s">
        <v>8</v>
      </c>
      <c r="MG26" s="1" t="s">
        <v>8</v>
      </c>
      <c r="MH26" s="1" t="s">
        <v>8</v>
      </c>
      <c r="MI26" s="1" t="s">
        <v>8</v>
      </c>
      <c r="MM26" s="1" t="s">
        <v>8</v>
      </c>
      <c r="MN26" s="1" t="s">
        <v>8</v>
      </c>
      <c r="MO26" s="1" t="s">
        <v>8</v>
      </c>
      <c r="MP26" s="1" t="s">
        <v>8</v>
      </c>
      <c r="MT26" s="1" t="s">
        <v>8</v>
      </c>
      <c r="MU26" s="1" t="s">
        <v>8</v>
      </c>
      <c r="MV26" s="1" t="s">
        <v>8</v>
      </c>
      <c r="MW26" s="1" t="s">
        <v>8</v>
      </c>
      <c r="NA26" s="1" t="s">
        <v>8</v>
      </c>
      <c r="NB26" s="1" t="s">
        <v>8</v>
      </c>
      <c r="NC26" s="1" t="s">
        <v>8</v>
      </c>
      <c r="ND26" s="1" t="s">
        <v>8</v>
      </c>
    </row>
    <row r="27" spans="1:368">
      <c r="A27" s="1" t="s">
        <v>90</v>
      </c>
      <c r="B27" s="1" t="s">
        <v>90</v>
      </c>
      <c r="C27" s="1" t="s">
        <v>8</v>
      </c>
      <c r="D27" s="1" t="s">
        <v>8</v>
      </c>
      <c r="E27" s="1" t="s">
        <v>8</v>
      </c>
      <c r="H27" s="1" t="s">
        <v>8</v>
      </c>
      <c r="J27" s="1" t="s">
        <v>8</v>
      </c>
      <c r="K27" s="1" t="s">
        <v>8</v>
      </c>
      <c r="L27" s="1" t="s">
        <v>8</v>
      </c>
      <c r="O27" s="1" t="s">
        <v>8</v>
      </c>
      <c r="Q27" s="1" t="s">
        <v>8</v>
      </c>
      <c r="R27" s="1" t="s">
        <v>8</v>
      </c>
      <c r="S27" s="1" t="s">
        <v>8</v>
      </c>
      <c r="V27" s="1" t="s">
        <v>8</v>
      </c>
      <c r="X27" s="1" t="s">
        <v>8</v>
      </c>
      <c r="Y27" s="1" t="s">
        <v>8</v>
      </c>
      <c r="Z27" s="1" t="s">
        <v>8</v>
      </c>
      <c r="AC27" s="1" t="s">
        <v>8</v>
      </c>
      <c r="AE27" s="1" t="s">
        <v>8</v>
      </c>
      <c r="AF27" s="1" t="s">
        <v>8</v>
      </c>
      <c r="AG27" s="1" t="s">
        <v>8</v>
      </c>
      <c r="AJ27" s="1" t="s">
        <v>8</v>
      </c>
      <c r="AL27" s="1" t="s">
        <v>8</v>
      </c>
      <c r="AM27" s="1" t="s">
        <v>8</v>
      </c>
      <c r="AN27" s="1" t="s">
        <v>8</v>
      </c>
      <c r="AQ27" s="1" t="s">
        <v>8</v>
      </c>
      <c r="AS27" s="1" t="s">
        <v>8</v>
      </c>
      <c r="AT27" s="1" t="s">
        <v>8</v>
      </c>
      <c r="AU27" s="1" t="s">
        <v>8</v>
      </c>
      <c r="AX27" s="1" t="s">
        <v>8</v>
      </c>
      <c r="AY27" s="48" t="s">
        <v>0</v>
      </c>
      <c r="AZ27" s="48" t="s">
        <v>2</v>
      </c>
      <c r="BA27" s="1" t="s">
        <v>8</v>
      </c>
      <c r="BB27" s="9" t="s">
        <v>0</v>
      </c>
      <c r="BE27" s="1" t="s">
        <v>8</v>
      </c>
      <c r="BG27" s="1" t="s">
        <v>8</v>
      </c>
      <c r="BH27" s="1" t="s">
        <v>8</v>
      </c>
      <c r="BI27" s="1" t="s">
        <v>8</v>
      </c>
      <c r="BL27" s="1" t="s">
        <v>8</v>
      </c>
      <c r="BN27" s="1" t="s">
        <v>8</v>
      </c>
      <c r="BO27" s="1" t="s">
        <v>8</v>
      </c>
      <c r="BP27" s="1" t="s">
        <v>8</v>
      </c>
      <c r="BS27" s="1" t="s">
        <v>8</v>
      </c>
      <c r="BU27" s="1" t="s">
        <v>8</v>
      </c>
      <c r="BV27" s="1" t="s">
        <v>8</v>
      </c>
      <c r="BW27" s="1" t="s">
        <v>8</v>
      </c>
      <c r="BZ27" s="1" t="s">
        <v>8</v>
      </c>
      <c r="CB27" s="1" t="s">
        <v>8</v>
      </c>
      <c r="CC27" s="1" t="s">
        <v>8</v>
      </c>
      <c r="CD27" s="1" t="s">
        <v>8</v>
      </c>
      <c r="CG27" s="36" t="s">
        <v>8</v>
      </c>
      <c r="CH27" s="36"/>
      <c r="CI27" s="36" t="s">
        <v>8</v>
      </c>
      <c r="CJ27" s="35" t="s">
        <v>8</v>
      </c>
      <c r="CK27" s="35" t="s">
        <v>8</v>
      </c>
      <c r="CN27" s="30" t="s">
        <v>8</v>
      </c>
      <c r="CO27" s="34"/>
      <c r="CP27" s="32" t="s">
        <v>8</v>
      </c>
      <c r="CQ27" s="32" t="s">
        <v>8</v>
      </c>
      <c r="CR27" s="34" t="s">
        <v>8</v>
      </c>
      <c r="CU27" s="33" t="s">
        <v>8</v>
      </c>
      <c r="CV27" s="32" t="s">
        <v>8</v>
      </c>
      <c r="CW27" s="33"/>
      <c r="CX27" s="33" t="s">
        <v>8</v>
      </c>
      <c r="CY27" s="32" t="s">
        <v>8</v>
      </c>
      <c r="DB27" s="1" t="s">
        <v>8</v>
      </c>
      <c r="DD27" s="1" t="s">
        <v>8</v>
      </c>
      <c r="DE27" s="1" t="s">
        <v>8</v>
      </c>
      <c r="DF27" s="1" t="s">
        <v>8</v>
      </c>
      <c r="DI27" s="1" t="s">
        <v>8</v>
      </c>
      <c r="DK27" s="1" t="s">
        <v>8</v>
      </c>
      <c r="DL27" s="1" t="s">
        <v>8</v>
      </c>
      <c r="DM27" s="1" t="s">
        <v>8</v>
      </c>
      <c r="DP27" s="1" t="s">
        <v>6</v>
      </c>
      <c r="DR27" s="1" t="s">
        <v>6</v>
      </c>
      <c r="DS27" s="1" t="s">
        <v>6</v>
      </c>
      <c r="DT27" s="1" t="s">
        <v>6</v>
      </c>
      <c r="DW27" s="1" t="s">
        <v>8</v>
      </c>
      <c r="DY27" s="1" t="s">
        <v>8</v>
      </c>
      <c r="DZ27" s="1" t="s">
        <v>8</v>
      </c>
      <c r="EA27" s="1" t="s">
        <v>8</v>
      </c>
      <c r="ED27" s="1" t="s">
        <v>8</v>
      </c>
      <c r="EF27" s="1" t="s">
        <v>8</v>
      </c>
      <c r="EG27" s="1" t="s">
        <v>8</v>
      </c>
      <c r="EH27" s="1" t="s">
        <v>8</v>
      </c>
      <c r="EK27" s="1" t="s">
        <v>8</v>
      </c>
      <c r="EM27" s="1" t="s">
        <v>8</v>
      </c>
      <c r="EN27" s="1" t="s">
        <v>8</v>
      </c>
      <c r="EO27" s="1" t="s">
        <v>8</v>
      </c>
      <c r="ER27" s="1" t="s">
        <v>8</v>
      </c>
      <c r="ET27" s="1" t="s">
        <v>8</v>
      </c>
      <c r="EU27" s="1" t="s">
        <v>8</v>
      </c>
      <c r="EV27" s="1" t="s">
        <v>8</v>
      </c>
      <c r="EY27" s="1" t="s">
        <v>8</v>
      </c>
      <c r="FA27" s="1" t="s">
        <v>8</v>
      </c>
      <c r="FB27" s="1" t="s">
        <v>8</v>
      </c>
      <c r="FC27" s="1" t="s">
        <v>8</v>
      </c>
      <c r="FF27" s="1" t="s">
        <v>8</v>
      </c>
      <c r="FH27" s="1" t="s">
        <v>8</v>
      </c>
      <c r="FI27" s="1" t="s">
        <v>8</v>
      </c>
      <c r="FJ27" s="1" t="s">
        <v>8</v>
      </c>
      <c r="FM27" s="1" t="s">
        <v>8</v>
      </c>
      <c r="FO27" s="1" t="s">
        <v>8</v>
      </c>
      <c r="FP27" s="1" t="s">
        <v>8</v>
      </c>
      <c r="FQ27" s="1" t="s">
        <v>8</v>
      </c>
      <c r="FT27" s="1" t="s">
        <v>8</v>
      </c>
      <c r="FV27" s="1" t="s">
        <v>8</v>
      </c>
      <c r="FW27" s="1" t="s">
        <v>8</v>
      </c>
      <c r="FX27" s="1" t="s">
        <v>8</v>
      </c>
      <c r="GA27" s="1" t="s">
        <v>8</v>
      </c>
      <c r="GC27" s="1" t="s">
        <v>8</v>
      </c>
      <c r="GD27" s="1" t="s">
        <v>8</v>
      </c>
      <c r="GE27" s="1" t="s">
        <v>8</v>
      </c>
      <c r="GH27" s="1" t="s">
        <v>8</v>
      </c>
      <c r="GJ27" s="1" t="s">
        <v>8</v>
      </c>
      <c r="GK27" s="1" t="s">
        <v>8</v>
      </c>
      <c r="GL27" s="1" t="s">
        <v>8</v>
      </c>
      <c r="GO27" s="1" t="s">
        <v>8</v>
      </c>
      <c r="GQ27" s="1" t="s">
        <v>8</v>
      </c>
      <c r="GR27" s="1" t="s">
        <v>8</v>
      </c>
      <c r="GS27" s="1" t="s">
        <v>8</v>
      </c>
      <c r="GV27" s="1" t="s">
        <v>8</v>
      </c>
      <c r="GX27" s="1" t="s">
        <v>8</v>
      </c>
      <c r="GY27" s="1" t="s">
        <v>8</v>
      </c>
      <c r="GZ27" s="1" t="s">
        <v>8</v>
      </c>
      <c r="HC27" s="1" t="s">
        <v>8</v>
      </c>
      <c r="HE27" s="1" t="s">
        <v>8</v>
      </c>
      <c r="HF27" s="1" t="s">
        <v>8</v>
      </c>
      <c r="HG27" s="1" t="s">
        <v>8</v>
      </c>
      <c r="HJ27" s="1" t="s">
        <v>8</v>
      </c>
      <c r="HK27" s="1" t="s">
        <v>8</v>
      </c>
      <c r="HL27" s="1" t="s">
        <v>8</v>
      </c>
      <c r="HM27" s="1" t="s">
        <v>8</v>
      </c>
      <c r="HQ27" s="1" t="s">
        <v>8</v>
      </c>
      <c r="HS27" s="1" t="s">
        <v>8</v>
      </c>
      <c r="HT27" s="1" t="s">
        <v>8</v>
      </c>
      <c r="HU27" s="1" t="s">
        <v>8</v>
      </c>
      <c r="HX27" s="1" t="s">
        <v>8</v>
      </c>
      <c r="HZ27" s="1" t="s">
        <v>8</v>
      </c>
      <c r="IA27" s="1" t="s">
        <v>8</v>
      </c>
      <c r="IB27" s="1" t="s">
        <v>6</v>
      </c>
      <c r="IE27" s="1" t="s">
        <v>8</v>
      </c>
      <c r="IG27" s="1" t="s">
        <v>8</v>
      </c>
      <c r="IH27" s="1" t="s">
        <v>8</v>
      </c>
      <c r="II27" s="1" t="s">
        <v>8</v>
      </c>
      <c r="IL27" s="1" t="s">
        <v>8</v>
      </c>
      <c r="IN27" s="1" t="s">
        <v>8</v>
      </c>
      <c r="IO27" s="1" t="s">
        <v>8</v>
      </c>
      <c r="IP27" s="1" t="s">
        <v>8</v>
      </c>
      <c r="IS27" s="1" t="s">
        <v>8</v>
      </c>
      <c r="IU27" s="1" t="s">
        <v>8</v>
      </c>
      <c r="IV27" s="1" t="s">
        <v>8</v>
      </c>
      <c r="IW27" s="1" t="s">
        <v>8</v>
      </c>
      <c r="IZ27" s="1" t="s">
        <v>8</v>
      </c>
      <c r="JB27" s="1" t="s">
        <v>8</v>
      </c>
      <c r="JC27" s="1" t="s">
        <v>8</v>
      </c>
      <c r="JD27" s="1" t="s">
        <v>8</v>
      </c>
      <c r="JG27" s="1" t="s">
        <v>8</v>
      </c>
      <c r="JI27" s="1" t="s">
        <v>8</v>
      </c>
      <c r="JJ27" s="1" t="s">
        <v>8</v>
      </c>
      <c r="JK27" s="1" t="s">
        <v>8</v>
      </c>
      <c r="JN27" s="1" t="s">
        <v>8</v>
      </c>
      <c r="JP27" s="1" t="s">
        <v>8</v>
      </c>
      <c r="JQ27" s="1" t="s">
        <v>8</v>
      </c>
      <c r="JR27" s="1" t="s">
        <v>8</v>
      </c>
      <c r="JU27" s="1" t="s">
        <v>8</v>
      </c>
      <c r="JW27" s="1" t="s">
        <v>8</v>
      </c>
      <c r="JX27" s="1" t="s">
        <v>8</v>
      </c>
      <c r="JY27" s="1" t="s">
        <v>8</v>
      </c>
      <c r="KB27" s="1" t="s">
        <v>8</v>
      </c>
      <c r="KD27" s="1" t="s">
        <v>8</v>
      </c>
      <c r="KE27" s="1" t="s">
        <v>8</v>
      </c>
      <c r="KF27" s="1" t="s">
        <v>8</v>
      </c>
      <c r="KI27" s="1" t="s">
        <v>8</v>
      </c>
      <c r="KK27" s="1" t="s">
        <v>8</v>
      </c>
      <c r="KL27" s="1" t="s">
        <v>8</v>
      </c>
      <c r="KM27" s="1" t="s">
        <v>8</v>
      </c>
      <c r="KP27" s="1" t="s">
        <v>8</v>
      </c>
      <c r="KR27" s="1" t="s">
        <v>8</v>
      </c>
      <c r="KS27" s="1" t="s">
        <v>8</v>
      </c>
      <c r="KT27" s="1" t="s">
        <v>8</v>
      </c>
      <c r="KW27" s="1" t="s">
        <v>8</v>
      </c>
      <c r="KY27" s="1" t="s">
        <v>8</v>
      </c>
      <c r="KZ27" s="1" t="s">
        <v>8</v>
      </c>
      <c r="LA27" s="1" t="s">
        <v>8</v>
      </c>
      <c r="LD27" s="1" t="s">
        <v>8</v>
      </c>
      <c r="LF27" s="1" t="s">
        <v>8</v>
      </c>
      <c r="LG27" s="1" t="s">
        <v>8</v>
      </c>
      <c r="LH27" s="1" t="s">
        <v>8</v>
      </c>
      <c r="LK27" s="1" t="s">
        <v>8</v>
      </c>
      <c r="LM27" s="1" t="s">
        <v>8</v>
      </c>
      <c r="LN27" s="1" t="s">
        <v>8</v>
      </c>
      <c r="LO27" s="1" t="s">
        <v>8</v>
      </c>
      <c r="LR27" s="1" t="s">
        <v>8</v>
      </c>
      <c r="LT27" s="1" t="s">
        <v>8</v>
      </c>
      <c r="LU27" s="1" t="s">
        <v>8</v>
      </c>
      <c r="LV27" s="1" t="s">
        <v>8</v>
      </c>
      <c r="LY27" s="1" t="s">
        <v>8</v>
      </c>
      <c r="MA27" s="1" t="s">
        <v>8</v>
      </c>
      <c r="MB27" s="1" t="s">
        <v>8</v>
      </c>
      <c r="MC27" s="1" t="s">
        <v>8</v>
      </c>
      <c r="MF27" s="1" t="s">
        <v>8</v>
      </c>
      <c r="MH27" s="1" t="s">
        <v>8</v>
      </c>
      <c r="MI27" s="1" t="s">
        <v>8</v>
      </c>
      <c r="MJ27" s="1" t="s">
        <v>8</v>
      </c>
      <c r="MM27" s="1" t="s">
        <v>8</v>
      </c>
      <c r="MO27" s="1" t="s">
        <v>8</v>
      </c>
      <c r="MP27" s="1" t="s">
        <v>8</v>
      </c>
      <c r="MQ27" s="1" t="s">
        <v>8</v>
      </c>
      <c r="MT27" s="1" t="s">
        <v>8</v>
      </c>
      <c r="MV27" s="1" t="s">
        <v>8</v>
      </c>
      <c r="MW27" s="1" t="s">
        <v>8</v>
      </c>
      <c r="MX27" s="1" t="s">
        <v>8</v>
      </c>
      <c r="NA27" s="1" t="s">
        <v>8</v>
      </c>
      <c r="NC27" s="1" t="s">
        <v>8</v>
      </c>
      <c r="ND27" s="1" t="s">
        <v>8</v>
      </c>
    </row>
    <row r="28" spans="1:368">
      <c r="AZ28" s="218" t="s">
        <v>109</v>
      </c>
      <c r="BA28" s="219"/>
      <c r="CV28" s="17"/>
      <c r="ES28" s="1" t="s">
        <v>110</v>
      </c>
      <c r="HY28" s="8" t="s">
        <v>110</v>
      </c>
    </row>
    <row r="29" spans="1:368">
      <c r="A29" s="1" t="s">
        <v>91</v>
      </c>
      <c r="B29" s="1" t="s">
        <v>91</v>
      </c>
      <c r="E29" s="1" t="s">
        <v>0</v>
      </c>
      <c r="F29" s="1" t="s">
        <v>2</v>
      </c>
      <c r="G29" s="1" t="s">
        <v>12</v>
      </c>
      <c r="J29" s="1" t="s">
        <v>8</v>
      </c>
      <c r="K29" s="1" t="s">
        <v>8</v>
      </c>
      <c r="L29" s="1" t="s">
        <v>8</v>
      </c>
      <c r="O29" s="1" t="s">
        <v>8</v>
      </c>
      <c r="P29" s="1" t="s">
        <v>8</v>
      </c>
      <c r="Q29" s="1" t="s">
        <v>8</v>
      </c>
      <c r="R29" s="1" t="s">
        <v>8</v>
      </c>
      <c r="S29" s="1" t="s">
        <v>8</v>
      </c>
      <c r="V29" s="1" t="s">
        <v>8</v>
      </c>
      <c r="W29" s="1" t="s">
        <v>8</v>
      </c>
      <c r="X29" s="1" t="s">
        <v>8</v>
      </c>
      <c r="Y29" s="1" t="s">
        <v>8</v>
      </c>
      <c r="Z29" s="1" t="s">
        <v>8</v>
      </c>
      <c r="AC29" s="1" t="s">
        <v>8</v>
      </c>
      <c r="AD29" s="1" t="s">
        <v>8</v>
      </c>
      <c r="AE29" s="1" t="s">
        <v>8</v>
      </c>
      <c r="AF29" s="1" t="s">
        <v>8</v>
      </c>
      <c r="AG29" s="1" t="s">
        <v>8</v>
      </c>
      <c r="AJ29" s="1" t="s">
        <v>8</v>
      </c>
      <c r="AK29" s="1" t="s">
        <v>8</v>
      </c>
      <c r="AL29" s="1" t="s">
        <v>6</v>
      </c>
      <c r="AM29" s="1" t="s">
        <v>8</v>
      </c>
      <c r="AN29" s="1" t="s">
        <v>8</v>
      </c>
      <c r="AQ29" s="1" t="s">
        <v>8</v>
      </c>
      <c r="AR29" s="1" t="s">
        <v>8</v>
      </c>
      <c r="AS29" s="1" t="s">
        <v>8</v>
      </c>
      <c r="AT29" s="1" t="s">
        <v>8</v>
      </c>
      <c r="AU29" s="1" t="s">
        <v>8</v>
      </c>
      <c r="AX29" s="1" t="s">
        <v>8</v>
      </c>
      <c r="AY29" s="1" t="s">
        <v>8</v>
      </c>
      <c r="AZ29" s="1" t="s">
        <v>8</v>
      </c>
      <c r="BA29" s="1" t="s">
        <v>8</v>
      </c>
      <c r="BB29" s="1" t="s">
        <v>8</v>
      </c>
      <c r="BE29" s="1" t="s">
        <v>6</v>
      </c>
      <c r="BF29" s="1" t="s">
        <v>6</v>
      </c>
      <c r="BG29" s="1" t="s">
        <v>6</v>
      </c>
      <c r="BH29" s="1" t="s">
        <v>8</v>
      </c>
      <c r="BI29" s="1" t="s">
        <v>8</v>
      </c>
      <c r="BL29" s="1" t="s">
        <v>0</v>
      </c>
      <c r="BM29" s="1" t="s">
        <v>0</v>
      </c>
      <c r="BN29" s="1" t="s">
        <v>2</v>
      </c>
      <c r="BO29" s="1" t="s">
        <v>2</v>
      </c>
      <c r="BP29" s="1" t="s">
        <v>4</v>
      </c>
      <c r="BU29" s="1" t="s">
        <v>0</v>
      </c>
      <c r="BV29" s="1" t="s">
        <v>0</v>
      </c>
      <c r="BW29" s="1" t="s">
        <v>2</v>
      </c>
      <c r="BZ29" s="1" t="s">
        <v>0</v>
      </c>
      <c r="CA29" s="1" t="s">
        <v>0</v>
      </c>
      <c r="CD29" s="1" t="s">
        <v>0</v>
      </c>
      <c r="CE29" s="1" t="s">
        <v>0</v>
      </c>
      <c r="CF29" s="1" t="s">
        <v>0</v>
      </c>
      <c r="CI29" s="1" t="s">
        <v>0</v>
      </c>
      <c r="CJ29" s="1" t="s">
        <v>0</v>
      </c>
      <c r="CL29" s="1" t="s">
        <v>0</v>
      </c>
      <c r="CM29" s="1" t="s">
        <v>0</v>
      </c>
      <c r="CN29" s="1" t="s">
        <v>2</v>
      </c>
      <c r="CO29" s="1" t="s">
        <v>2</v>
      </c>
      <c r="CP29" s="1" t="s">
        <v>4</v>
      </c>
      <c r="CQ29" s="1" t="s">
        <v>4</v>
      </c>
      <c r="CU29" s="1" t="s">
        <v>0</v>
      </c>
      <c r="CV29" s="15" t="s">
        <v>0</v>
      </c>
      <c r="CW29" s="1" t="s">
        <v>2</v>
      </c>
      <c r="CX29" s="1" t="s">
        <v>2</v>
      </c>
      <c r="CY29" s="1" t="s">
        <v>4</v>
      </c>
      <c r="DB29" s="1" t="s">
        <v>8</v>
      </c>
      <c r="DC29" s="1" t="s">
        <v>8</v>
      </c>
      <c r="DD29" s="1" t="s">
        <v>8</v>
      </c>
      <c r="DE29" s="1" t="s">
        <v>8</v>
      </c>
      <c r="DF29" s="1" t="s">
        <v>8</v>
      </c>
      <c r="DI29" s="1" t="s">
        <v>8</v>
      </c>
      <c r="DJ29" s="1" t="s">
        <v>8</v>
      </c>
      <c r="DK29" s="1" t="s">
        <v>8</v>
      </c>
      <c r="DL29" s="1" t="s">
        <v>8</v>
      </c>
      <c r="DM29" s="1" t="s">
        <v>8</v>
      </c>
      <c r="DP29" s="1" t="s">
        <v>8</v>
      </c>
      <c r="DQ29" s="1" t="s">
        <v>8</v>
      </c>
      <c r="DR29" s="1" t="s">
        <v>8</v>
      </c>
      <c r="DS29" s="1" t="s">
        <v>8</v>
      </c>
      <c r="DT29" s="1" t="s">
        <v>8</v>
      </c>
      <c r="DW29" s="1" t="s">
        <v>8</v>
      </c>
      <c r="DX29" s="1" t="s">
        <v>8</v>
      </c>
      <c r="DY29" s="1" t="s">
        <v>8</v>
      </c>
      <c r="DZ29" s="1" t="s">
        <v>8</v>
      </c>
      <c r="EA29" s="1" t="s">
        <v>8</v>
      </c>
      <c r="ED29" s="1" t="s">
        <v>8</v>
      </c>
      <c r="EE29" s="1" t="s">
        <v>8</v>
      </c>
      <c r="EF29" s="1" t="s">
        <v>8</v>
      </c>
      <c r="EG29" s="1" t="s">
        <v>8</v>
      </c>
      <c r="EH29" s="1" t="s">
        <v>8</v>
      </c>
      <c r="EK29" s="1" t="s">
        <v>8</v>
      </c>
      <c r="EL29" s="1" t="s">
        <v>8</v>
      </c>
      <c r="EM29" s="1" t="s">
        <v>8</v>
      </c>
      <c r="EN29" s="1" t="s">
        <v>8</v>
      </c>
      <c r="EO29" s="1" t="s">
        <v>8</v>
      </c>
      <c r="ER29" s="1" t="s">
        <v>8</v>
      </c>
      <c r="ES29" s="1" t="s">
        <v>8</v>
      </c>
      <c r="ET29" s="1" t="s">
        <v>8</v>
      </c>
      <c r="EU29" s="1" t="s">
        <v>8</v>
      </c>
      <c r="EV29" s="1" t="s">
        <v>8</v>
      </c>
      <c r="EY29" s="1" t="s">
        <v>0</v>
      </c>
      <c r="EZ29" s="1" t="s">
        <v>0</v>
      </c>
      <c r="FA29" s="1" t="s">
        <v>2</v>
      </c>
      <c r="FB29" s="1" t="s">
        <v>2</v>
      </c>
      <c r="FC29" s="1" t="s">
        <v>4</v>
      </c>
      <c r="FH29" s="1" t="s">
        <v>0</v>
      </c>
      <c r="FI29" s="1" t="s">
        <v>0</v>
      </c>
      <c r="FJ29" s="1" t="s">
        <v>2</v>
      </c>
      <c r="FK29" s="1" t="s">
        <v>4</v>
      </c>
      <c r="FL29" s="1" t="s">
        <v>4</v>
      </c>
      <c r="FQ29" s="1" t="s">
        <v>0</v>
      </c>
      <c r="FR29" s="1" t="s">
        <v>2</v>
      </c>
      <c r="FS29" s="1" t="s">
        <v>2</v>
      </c>
      <c r="FT29" s="1" t="s">
        <v>4</v>
      </c>
      <c r="FU29" s="1" t="s">
        <v>4</v>
      </c>
      <c r="GA29" s="1" t="s">
        <v>8</v>
      </c>
      <c r="GB29" s="1" t="s">
        <v>8</v>
      </c>
      <c r="GC29" s="1" t="s">
        <v>8</v>
      </c>
      <c r="GD29" s="1" t="s">
        <v>8</v>
      </c>
      <c r="GE29" s="1" t="s">
        <v>8</v>
      </c>
      <c r="GH29" s="1" t="s">
        <v>8</v>
      </c>
      <c r="GI29" s="1" t="s">
        <v>8</v>
      </c>
      <c r="GJ29" s="1" t="s">
        <v>8</v>
      </c>
      <c r="GK29" s="1" t="s">
        <v>8</v>
      </c>
      <c r="GL29" s="1" t="s">
        <v>8</v>
      </c>
      <c r="GO29" s="1" t="s">
        <v>8</v>
      </c>
      <c r="GP29" s="1" t="s">
        <v>8</v>
      </c>
      <c r="GQ29" s="1" t="s">
        <v>8</v>
      </c>
      <c r="GR29" s="1" t="s">
        <v>8</v>
      </c>
      <c r="GS29" s="1" t="s">
        <v>8</v>
      </c>
      <c r="GV29" s="1" t="s">
        <v>8</v>
      </c>
      <c r="GW29" s="1" t="s">
        <v>8</v>
      </c>
      <c r="GX29" s="1" t="s">
        <v>8</v>
      </c>
      <c r="GY29" s="1" t="s">
        <v>8</v>
      </c>
      <c r="GZ29" s="1" t="s">
        <v>8</v>
      </c>
      <c r="HC29" s="1" t="s">
        <v>8</v>
      </c>
      <c r="HD29" s="1" t="s">
        <v>8</v>
      </c>
      <c r="HE29" s="1" t="s">
        <v>8</v>
      </c>
      <c r="HF29" s="1" t="s">
        <v>8</v>
      </c>
      <c r="HG29" s="1" t="s">
        <v>8</v>
      </c>
      <c r="HJ29" s="1" t="s">
        <v>8</v>
      </c>
      <c r="HK29" s="1" t="s">
        <v>8</v>
      </c>
      <c r="HL29" s="1" t="s">
        <v>8</v>
      </c>
      <c r="HM29" s="1" t="s">
        <v>8</v>
      </c>
      <c r="HN29" s="1" t="s">
        <v>8</v>
      </c>
      <c r="HQ29" s="1" t="s">
        <v>2</v>
      </c>
      <c r="HR29" s="1" t="s">
        <v>2</v>
      </c>
      <c r="HS29" s="1" t="s">
        <v>4</v>
      </c>
      <c r="HT29" s="1" t="s">
        <v>4</v>
      </c>
      <c r="HX29" s="1" t="s">
        <v>0</v>
      </c>
      <c r="HY29" s="1" t="s">
        <v>0</v>
      </c>
      <c r="HZ29" s="1" t="s">
        <v>2</v>
      </c>
      <c r="IA29" s="1" t="s">
        <v>2</v>
      </c>
      <c r="IB29" s="1" t="s">
        <v>4</v>
      </c>
      <c r="IE29" s="1" t="s">
        <v>8</v>
      </c>
      <c r="IF29" s="1" t="s">
        <v>8</v>
      </c>
      <c r="IG29" s="1" t="s">
        <v>8</v>
      </c>
      <c r="IH29" s="1" t="s">
        <v>8</v>
      </c>
      <c r="II29" s="1" t="s">
        <v>8</v>
      </c>
      <c r="IL29" s="1" t="s">
        <v>8</v>
      </c>
      <c r="IM29" s="1" t="s">
        <v>8</v>
      </c>
      <c r="IN29" s="1" t="s">
        <v>8</v>
      </c>
      <c r="IO29" s="1" t="s">
        <v>8</v>
      </c>
      <c r="IP29" s="1" t="s">
        <v>8</v>
      </c>
      <c r="IS29" s="1" t="s">
        <v>8</v>
      </c>
      <c r="IT29" s="1" t="s">
        <v>8</v>
      </c>
      <c r="IU29" s="1" t="s">
        <v>8</v>
      </c>
      <c r="IV29" s="1" t="s">
        <v>8</v>
      </c>
      <c r="IW29" s="1" t="s">
        <v>8</v>
      </c>
      <c r="IZ29" s="1" t="s">
        <v>8</v>
      </c>
      <c r="JA29" s="1" t="s">
        <v>8</v>
      </c>
      <c r="JB29" s="1" t="s">
        <v>8</v>
      </c>
      <c r="JC29" s="1" t="s">
        <v>8</v>
      </c>
      <c r="JD29" s="1" t="s">
        <v>8</v>
      </c>
      <c r="JG29" s="1" t="s">
        <v>8</v>
      </c>
      <c r="JH29" s="1" t="s">
        <v>8</v>
      </c>
      <c r="JI29" s="1" t="s">
        <v>8</v>
      </c>
      <c r="JJ29" s="1" t="s">
        <v>8</v>
      </c>
      <c r="JK29" s="1" t="s">
        <v>8</v>
      </c>
      <c r="JN29" s="1" t="s">
        <v>8</v>
      </c>
      <c r="JO29" s="1" t="s">
        <v>8</v>
      </c>
      <c r="JP29" s="1" t="s">
        <v>8</v>
      </c>
      <c r="JQ29" s="1" t="s">
        <v>8</v>
      </c>
      <c r="JR29" s="1" t="s">
        <v>8</v>
      </c>
      <c r="JU29" s="1" t="s">
        <v>8</v>
      </c>
      <c r="JV29" s="1" t="s">
        <v>8</v>
      </c>
      <c r="JW29" s="1" t="s">
        <v>8</v>
      </c>
      <c r="JX29" s="1" t="s">
        <v>8</v>
      </c>
      <c r="JY29" s="1" t="s">
        <v>8</v>
      </c>
      <c r="KB29" s="1" t="s">
        <v>8</v>
      </c>
      <c r="KC29" s="1" t="s">
        <v>8</v>
      </c>
      <c r="KD29" s="1" t="s">
        <v>8</v>
      </c>
      <c r="KE29" s="1" t="s">
        <v>8</v>
      </c>
      <c r="KF29" s="1" t="s">
        <v>8</v>
      </c>
      <c r="KI29" s="1" t="s">
        <v>8</v>
      </c>
      <c r="KJ29" s="1" t="s">
        <v>8</v>
      </c>
      <c r="KK29" s="1" t="s">
        <v>8</v>
      </c>
      <c r="KL29" s="1" t="s">
        <v>8</v>
      </c>
      <c r="KM29" s="1" t="s">
        <v>8</v>
      </c>
      <c r="KP29" s="1" t="s">
        <v>8</v>
      </c>
      <c r="KQ29" s="1" t="s">
        <v>8</v>
      </c>
      <c r="KR29" s="1" t="s">
        <v>8</v>
      </c>
      <c r="KS29" s="1" t="s">
        <v>8</v>
      </c>
      <c r="KT29" s="1" t="s">
        <v>8</v>
      </c>
      <c r="KW29" s="1" t="s">
        <v>8</v>
      </c>
      <c r="KX29" s="1" t="s">
        <v>8</v>
      </c>
      <c r="KY29" s="1" t="s">
        <v>8</v>
      </c>
      <c r="KZ29" s="1" t="s">
        <v>8</v>
      </c>
      <c r="LA29" s="1" t="s">
        <v>8</v>
      </c>
      <c r="LD29" s="1" t="s">
        <v>8</v>
      </c>
      <c r="LE29" s="1" t="s">
        <v>8</v>
      </c>
      <c r="LF29" s="1" t="s">
        <v>8</v>
      </c>
      <c r="LG29" s="1" t="s">
        <v>8</v>
      </c>
      <c r="LH29" s="1" t="s">
        <v>8</v>
      </c>
      <c r="LK29" s="1" t="s">
        <v>8</v>
      </c>
      <c r="LL29" s="1" t="s">
        <v>8</v>
      </c>
      <c r="LM29" s="1" t="s">
        <v>8</v>
      </c>
      <c r="LN29" s="1" t="s">
        <v>8</v>
      </c>
      <c r="LO29" s="1" t="s">
        <v>8</v>
      </c>
      <c r="LR29" s="1" t="s">
        <v>8</v>
      </c>
      <c r="LS29" s="1" t="s">
        <v>8</v>
      </c>
      <c r="LT29" s="1" t="s">
        <v>8</v>
      </c>
      <c r="LU29" s="1" t="s">
        <v>8</v>
      </c>
      <c r="LV29" s="1" t="s">
        <v>8</v>
      </c>
      <c r="LY29" s="1" t="s">
        <v>8</v>
      </c>
      <c r="LZ29" s="1" t="s">
        <v>8</v>
      </c>
      <c r="MA29" s="1" t="s">
        <v>8</v>
      </c>
      <c r="MB29" s="1" t="s">
        <v>8</v>
      </c>
      <c r="MC29" s="1" t="s">
        <v>8</v>
      </c>
      <c r="MF29" s="1" t="s">
        <v>8</v>
      </c>
      <c r="MG29" s="1" t="s">
        <v>8</v>
      </c>
      <c r="MH29" s="1" t="s">
        <v>8</v>
      </c>
      <c r="MI29" s="1" t="s">
        <v>8</v>
      </c>
      <c r="MJ29" s="1" t="s">
        <v>8</v>
      </c>
      <c r="MM29" s="1" t="s">
        <v>8</v>
      </c>
      <c r="MN29" s="1" t="s">
        <v>8</v>
      </c>
      <c r="MO29" s="1" t="s">
        <v>8</v>
      </c>
      <c r="MP29" s="1" t="s">
        <v>8</v>
      </c>
      <c r="MQ29" s="1" t="s">
        <v>8</v>
      </c>
      <c r="MT29" s="1" t="s">
        <v>8</v>
      </c>
      <c r="MU29" s="1" t="s">
        <v>8</v>
      </c>
      <c r="MV29" s="1" t="s">
        <v>8</v>
      </c>
      <c r="MW29" s="1" t="s">
        <v>8</v>
      </c>
      <c r="NA29" s="1" t="s">
        <v>8</v>
      </c>
      <c r="NB29" s="1" t="s">
        <v>8</v>
      </c>
      <c r="NC29" s="1" t="s">
        <v>8</v>
      </c>
      <c r="ND29" s="1" t="s">
        <v>8</v>
      </c>
    </row>
    <row r="30" spans="1:368">
      <c r="Y30" s="1" t="s">
        <v>111</v>
      </c>
      <c r="AJ30" s="1" t="s">
        <v>112</v>
      </c>
      <c r="AY30" s="1" t="s">
        <v>92</v>
      </c>
      <c r="BX30" s="8"/>
      <c r="CI30" s="28"/>
      <c r="CJ30" s="28"/>
      <c r="CU30" s="29" t="s">
        <v>113</v>
      </c>
      <c r="CV30" s="29" t="s">
        <v>113</v>
      </c>
    </row>
    <row r="31" spans="1:368" s="10" customFormat="1">
      <c r="A31" s="18" t="s">
        <v>114</v>
      </c>
      <c r="BL31" s="10">
        <v>3.5</v>
      </c>
      <c r="BM31" s="13">
        <v>3</v>
      </c>
      <c r="BN31" s="10">
        <v>3.5</v>
      </c>
      <c r="BO31" s="10">
        <v>3.5</v>
      </c>
      <c r="BP31" s="13">
        <v>2.5</v>
      </c>
      <c r="BS31" s="10">
        <v>3.5</v>
      </c>
      <c r="BT31" s="13">
        <v>2.5</v>
      </c>
      <c r="BU31" s="10">
        <v>4</v>
      </c>
      <c r="BV31" s="10">
        <v>4</v>
      </c>
      <c r="BW31" s="10">
        <v>3</v>
      </c>
      <c r="BZ31" s="10">
        <v>3</v>
      </c>
      <c r="CA31" s="13">
        <v>2.5</v>
      </c>
      <c r="CB31" s="10">
        <v>3.5</v>
      </c>
      <c r="CC31" s="10">
        <v>3.5</v>
      </c>
      <c r="CD31" s="10">
        <v>3.5</v>
      </c>
      <c r="CG31" s="10">
        <v>4.5</v>
      </c>
      <c r="CH31" s="10">
        <v>3.5</v>
      </c>
      <c r="CI31" s="10">
        <v>4</v>
      </c>
      <c r="CJ31" s="10">
        <v>4</v>
      </c>
      <c r="CK31" s="10">
        <v>3.5</v>
      </c>
      <c r="CN31" s="10">
        <v>3</v>
      </c>
      <c r="CO31" s="13">
        <v>3</v>
      </c>
      <c r="CP31" s="10">
        <v>3.5</v>
      </c>
      <c r="CQ31" s="10">
        <v>3.5</v>
      </c>
      <c r="CR31" s="13">
        <v>3</v>
      </c>
      <c r="CU31" s="14">
        <v>3</v>
      </c>
      <c r="CV31" s="14">
        <v>3</v>
      </c>
      <c r="CW31" s="10">
        <v>3.5</v>
      </c>
      <c r="CX31" s="10">
        <v>4.5</v>
      </c>
      <c r="CY31" s="10">
        <v>3</v>
      </c>
      <c r="DB31" s="10">
        <v>4.5</v>
      </c>
      <c r="DC31" s="10">
        <v>3.5</v>
      </c>
      <c r="DD31" s="10">
        <v>4.5</v>
      </c>
      <c r="DE31" s="10">
        <v>4.5</v>
      </c>
      <c r="DF31" s="10">
        <v>3.5</v>
      </c>
      <c r="DI31" s="10">
        <v>4</v>
      </c>
      <c r="DJ31" s="10">
        <v>3</v>
      </c>
      <c r="DK31" s="10">
        <v>4.5</v>
      </c>
      <c r="DL31" s="10">
        <v>4.5</v>
      </c>
      <c r="DM31" s="10">
        <v>3.5</v>
      </c>
      <c r="DP31" s="10">
        <v>3.5</v>
      </c>
      <c r="DQ31" s="10">
        <v>3.5</v>
      </c>
      <c r="DR31" s="10">
        <v>3</v>
      </c>
      <c r="DS31" s="10">
        <v>3</v>
      </c>
      <c r="DT31" s="13">
        <v>2.5</v>
      </c>
      <c r="DW31" s="10">
        <v>4.5</v>
      </c>
      <c r="DX31" s="10">
        <v>3.5</v>
      </c>
      <c r="DY31" s="10">
        <v>4</v>
      </c>
      <c r="DZ31" s="10">
        <v>4</v>
      </c>
      <c r="EA31" s="10">
        <v>3</v>
      </c>
      <c r="ED31" s="10">
        <v>4.5</v>
      </c>
      <c r="EE31" s="10">
        <v>3.5</v>
      </c>
      <c r="EF31" s="10">
        <v>4.5</v>
      </c>
      <c r="EG31" s="10">
        <v>4.5</v>
      </c>
      <c r="EH31" s="10">
        <v>3</v>
      </c>
      <c r="EK31" s="10">
        <v>3.5</v>
      </c>
      <c r="EL31" s="10">
        <v>2.5</v>
      </c>
      <c r="EM31" s="10">
        <v>4</v>
      </c>
      <c r="EN31" s="10">
        <v>4</v>
      </c>
      <c r="EO31" s="13">
        <v>3</v>
      </c>
      <c r="ER31" s="10">
        <v>3</v>
      </c>
      <c r="ES31" s="13">
        <v>3</v>
      </c>
      <c r="ET31" s="10">
        <v>3.5</v>
      </c>
      <c r="EU31" s="10">
        <v>3.5</v>
      </c>
      <c r="EV31" s="13">
        <v>3</v>
      </c>
      <c r="EY31" s="10">
        <v>4</v>
      </c>
      <c r="EZ31" s="10">
        <v>3</v>
      </c>
      <c r="FA31" s="10">
        <v>3.5</v>
      </c>
      <c r="FB31" s="10">
        <v>3.5</v>
      </c>
      <c r="FC31" s="13">
        <v>2.5</v>
      </c>
      <c r="FF31" s="10">
        <v>3</v>
      </c>
      <c r="FG31" s="13">
        <v>2.5</v>
      </c>
      <c r="FH31" s="10">
        <v>4</v>
      </c>
      <c r="FI31" s="10">
        <v>4</v>
      </c>
      <c r="FJ31" s="13">
        <v>2.5</v>
      </c>
      <c r="FM31" s="10">
        <v>3.5</v>
      </c>
      <c r="FN31" s="13">
        <v>2.5</v>
      </c>
      <c r="FO31" s="10">
        <v>3.5</v>
      </c>
      <c r="FP31" s="10">
        <v>3.5</v>
      </c>
      <c r="FQ31" s="10">
        <v>3</v>
      </c>
      <c r="FT31" s="10">
        <v>3.5</v>
      </c>
      <c r="FU31" s="13">
        <v>2.5</v>
      </c>
      <c r="FV31" s="10">
        <v>3.5</v>
      </c>
      <c r="FW31" s="10">
        <v>3.5</v>
      </c>
      <c r="FX31" s="13">
        <v>2.5</v>
      </c>
      <c r="GA31" s="10">
        <v>4</v>
      </c>
      <c r="GB31" s="10">
        <v>3</v>
      </c>
      <c r="GC31" s="10">
        <v>4.5</v>
      </c>
      <c r="GD31" s="10">
        <v>4.5</v>
      </c>
      <c r="GE31" s="10">
        <v>3.5</v>
      </c>
      <c r="GH31" s="10">
        <v>4.5</v>
      </c>
      <c r="GI31" s="10">
        <v>3.5</v>
      </c>
      <c r="GJ31" s="10">
        <v>4</v>
      </c>
      <c r="GK31" s="10">
        <v>4</v>
      </c>
      <c r="GL31" s="10">
        <v>3.5</v>
      </c>
      <c r="GO31" s="10">
        <v>4.5</v>
      </c>
      <c r="GP31" s="10">
        <v>3.5</v>
      </c>
      <c r="GQ31" s="10">
        <v>4.5</v>
      </c>
      <c r="GR31" s="10">
        <v>4.5</v>
      </c>
      <c r="GS31" s="10">
        <v>3</v>
      </c>
      <c r="GV31" s="10">
        <v>4.5</v>
      </c>
      <c r="GW31" s="10">
        <v>3.5</v>
      </c>
      <c r="GX31" s="10">
        <v>4.5</v>
      </c>
      <c r="GY31" s="10">
        <v>4.5</v>
      </c>
      <c r="GZ31" s="10">
        <v>3.5</v>
      </c>
      <c r="HC31" s="10">
        <v>4.5</v>
      </c>
      <c r="HD31" s="10">
        <v>3.5</v>
      </c>
      <c r="HE31" s="10">
        <v>4.5</v>
      </c>
      <c r="HF31" s="10">
        <v>4.5</v>
      </c>
      <c r="HG31" s="10">
        <v>3.5</v>
      </c>
      <c r="HJ31" s="10">
        <v>3</v>
      </c>
      <c r="HK31" s="13">
        <v>3</v>
      </c>
      <c r="HL31" s="10">
        <v>3.5</v>
      </c>
      <c r="HM31" s="10">
        <v>3.5</v>
      </c>
      <c r="HN31" s="10">
        <v>3</v>
      </c>
      <c r="HQ31" s="13">
        <v>2.5</v>
      </c>
      <c r="HR31" s="13">
        <v>2.5</v>
      </c>
      <c r="HS31" s="13">
        <v>2.5</v>
      </c>
      <c r="HT31" s="13">
        <v>2.5</v>
      </c>
      <c r="HU31" s="13">
        <v>3</v>
      </c>
      <c r="HX31" s="10">
        <v>3</v>
      </c>
      <c r="HY31" s="16">
        <v>3</v>
      </c>
      <c r="HZ31" s="13">
        <v>2.5</v>
      </c>
      <c r="IA31" s="13">
        <v>2.5</v>
      </c>
      <c r="IB31" s="13">
        <v>3</v>
      </c>
      <c r="IE31" s="10">
        <v>4.5</v>
      </c>
      <c r="IF31" s="16">
        <v>3.5</v>
      </c>
      <c r="IG31" s="10">
        <v>4.5</v>
      </c>
      <c r="IH31" s="10">
        <v>4.5</v>
      </c>
      <c r="II31" s="10">
        <v>3.5</v>
      </c>
    </row>
    <row r="32" spans="1:368">
      <c r="BX32" s="8"/>
    </row>
    <row r="33" spans="1:161">
      <c r="A33" s="1" t="s">
        <v>115</v>
      </c>
      <c r="B33" s="1" t="s">
        <v>115</v>
      </c>
      <c r="K33" s="1" t="s">
        <v>0</v>
      </c>
      <c r="L33" s="1" t="s">
        <v>0</v>
      </c>
      <c r="EV33" s="1" t="s">
        <v>116</v>
      </c>
    </row>
    <row r="34" spans="1:161">
      <c r="A34" s="1" t="s">
        <v>117</v>
      </c>
      <c r="B34" s="1" t="s">
        <v>117</v>
      </c>
    </row>
    <row r="36" spans="1:161">
      <c r="A36" s="1" t="s">
        <v>93</v>
      </c>
      <c r="B36" s="1" t="s">
        <v>94</v>
      </c>
    </row>
    <row r="37" spans="1:161">
      <c r="A37" s="1" t="s">
        <v>95</v>
      </c>
      <c r="B37" s="1" t="s">
        <v>96</v>
      </c>
    </row>
    <row r="42" spans="1:161">
      <c r="EK42" s="4" t="s">
        <v>34</v>
      </c>
      <c r="EL42" s="4"/>
      <c r="EM42" s="4"/>
      <c r="EN42" s="4"/>
      <c r="EO42" s="4"/>
      <c r="EP42" s="4"/>
      <c r="EQ42" s="4"/>
      <c r="ER42" s="4" t="s">
        <v>35</v>
      </c>
      <c r="ES42" s="4"/>
      <c r="ET42" s="4"/>
      <c r="EU42" s="4"/>
      <c r="EV42" s="4"/>
      <c r="EW42" s="4"/>
      <c r="EX42" s="4"/>
      <c r="EY42" s="4" t="s">
        <v>36</v>
      </c>
      <c r="EZ42" s="4"/>
      <c r="FA42" s="4"/>
      <c r="FB42" s="4"/>
      <c r="FC42" s="4"/>
      <c r="FD42" s="4"/>
      <c r="FE42" s="4"/>
    </row>
    <row r="43" spans="1:161">
      <c r="EK43" s="2" t="s">
        <v>71</v>
      </c>
      <c r="EL43" s="2" t="s">
        <v>72</v>
      </c>
      <c r="EM43" s="2" t="s">
        <v>66</v>
      </c>
      <c r="EN43" s="2" t="s">
        <v>73</v>
      </c>
      <c r="EO43" s="2" t="s">
        <v>68</v>
      </c>
      <c r="EP43" s="2" t="s">
        <v>69</v>
      </c>
      <c r="EQ43" s="2" t="s">
        <v>70</v>
      </c>
      <c r="ER43" s="2" t="s">
        <v>71</v>
      </c>
      <c r="ES43" s="2" t="s">
        <v>72</v>
      </c>
      <c r="ET43" s="2" t="s">
        <v>66</v>
      </c>
      <c r="EU43" s="2" t="s">
        <v>73</v>
      </c>
      <c r="EV43" s="2" t="s">
        <v>68</v>
      </c>
      <c r="EW43" s="2" t="s">
        <v>69</v>
      </c>
      <c r="EX43" s="2" t="s">
        <v>70</v>
      </c>
      <c r="EY43" s="2" t="s">
        <v>71</v>
      </c>
      <c r="EZ43" s="2" t="s">
        <v>72</v>
      </c>
      <c r="FA43" s="2" t="s">
        <v>66</v>
      </c>
      <c r="FB43" s="2" t="s">
        <v>73</v>
      </c>
      <c r="FC43" s="2" t="s">
        <v>68</v>
      </c>
      <c r="FD43" s="2" t="s">
        <v>69</v>
      </c>
      <c r="FE43" s="2" t="s">
        <v>70</v>
      </c>
    </row>
    <row r="44" spans="1:161">
      <c r="EE44" s="2" t="s">
        <v>118</v>
      </c>
      <c r="EK44" s="45">
        <v>43603</v>
      </c>
      <c r="EL44" s="45">
        <v>43604</v>
      </c>
      <c r="EM44" s="45">
        <v>43605</v>
      </c>
      <c r="EN44" s="45">
        <v>43606</v>
      </c>
      <c r="EO44" s="45">
        <v>43607</v>
      </c>
      <c r="EP44" s="45">
        <v>43608</v>
      </c>
      <c r="EQ44" s="45">
        <v>43609</v>
      </c>
      <c r="ER44" s="45">
        <v>43610</v>
      </c>
      <c r="ES44" s="45">
        <v>43611</v>
      </c>
      <c r="ET44" s="45">
        <v>43612</v>
      </c>
      <c r="EU44" s="45">
        <v>43613</v>
      </c>
      <c r="EV44" s="45">
        <v>43614</v>
      </c>
      <c r="EW44" s="45">
        <v>43615</v>
      </c>
      <c r="EX44" s="45">
        <v>43616</v>
      </c>
      <c r="EY44" s="45">
        <v>43617</v>
      </c>
      <c r="EZ44" s="45">
        <v>43618</v>
      </c>
      <c r="FA44" s="45">
        <v>43619</v>
      </c>
      <c r="FB44" s="45">
        <v>43620</v>
      </c>
      <c r="FC44" s="45">
        <v>43621</v>
      </c>
      <c r="FD44" s="45">
        <v>43622</v>
      </c>
      <c r="FE44" s="45">
        <v>43623</v>
      </c>
    </row>
    <row r="45" spans="1:161">
      <c r="EK45" s="45"/>
      <c r="EL45" s="45"/>
      <c r="EM45" s="45"/>
      <c r="EN45" s="45"/>
      <c r="EO45" s="45"/>
      <c r="EP45" s="45"/>
      <c r="EQ45" s="45"/>
      <c r="ER45" s="45"/>
      <c r="ES45" s="45"/>
      <c r="ET45" s="45"/>
      <c r="EU45" s="45"/>
      <c r="EV45" s="45"/>
      <c r="EW45" s="45"/>
      <c r="EX45" s="45"/>
      <c r="EY45" s="45"/>
      <c r="EZ45" s="45"/>
      <c r="FA45" s="45"/>
      <c r="FB45" s="45"/>
      <c r="FC45" s="45"/>
      <c r="FD45" s="45"/>
      <c r="FE45" s="45"/>
    </row>
    <row r="46" spans="1:161">
      <c r="A46" s="1" t="s">
        <v>75</v>
      </c>
      <c r="EM46" s="1" t="s">
        <v>0</v>
      </c>
      <c r="EN46" s="1" t="s">
        <v>0</v>
      </c>
      <c r="EO46" s="1" t="s">
        <v>2</v>
      </c>
      <c r="EP46" s="1" t="s">
        <v>4</v>
      </c>
      <c r="EQ46" s="1" t="s">
        <v>4</v>
      </c>
      <c r="EV46" s="1" t="s">
        <v>0</v>
      </c>
      <c r="EW46" s="1" t="s">
        <v>2</v>
      </c>
      <c r="EX46" s="1" t="s">
        <v>2</v>
      </c>
      <c r="EY46" s="1" t="s">
        <v>4</v>
      </c>
      <c r="EZ46" s="1" t="s">
        <v>4</v>
      </c>
      <c r="FD46" s="1" t="s">
        <v>0</v>
      </c>
      <c r="FE46" s="1" t="s">
        <v>0</v>
      </c>
    </row>
    <row r="47" spans="1:161">
      <c r="A47" s="1" t="s">
        <v>77</v>
      </c>
      <c r="EK47" s="1" t="s">
        <v>8</v>
      </c>
      <c r="EL47" s="1" t="s">
        <v>8</v>
      </c>
      <c r="EM47" s="1" t="s">
        <v>8</v>
      </c>
      <c r="EN47" s="1" t="s">
        <v>8</v>
      </c>
      <c r="EO47" s="1" t="s">
        <v>8</v>
      </c>
      <c r="ER47" s="1" t="s">
        <v>0</v>
      </c>
      <c r="ES47" s="1" t="s">
        <v>0</v>
      </c>
      <c r="ET47" s="47" t="s">
        <v>119</v>
      </c>
      <c r="EU47" s="47" t="s">
        <v>119</v>
      </c>
      <c r="EV47" s="1" t="s">
        <v>4</v>
      </c>
      <c r="EY47" s="1" t="s">
        <v>8</v>
      </c>
      <c r="EZ47" s="1" t="s">
        <v>8</v>
      </c>
      <c r="FA47" s="1" t="s">
        <v>8</v>
      </c>
      <c r="FB47" s="1" t="s">
        <v>8</v>
      </c>
      <c r="FC47" s="1" t="s">
        <v>8</v>
      </c>
    </row>
    <row r="48" spans="1:161">
      <c r="A48" s="1" t="s">
        <v>79</v>
      </c>
      <c r="EK48" s="1" t="s">
        <v>4</v>
      </c>
      <c r="EL48" s="1" t="s">
        <v>4</v>
      </c>
      <c r="EP48" s="1" t="s">
        <v>0</v>
      </c>
      <c r="EQ48" s="1" t="s">
        <v>0</v>
      </c>
      <c r="ER48" s="1" t="s">
        <v>2</v>
      </c>
      <c r="ES48" s="1" t="s">
        <v>2</v>
      </c>
      <c r="ET48" s="7" t="s">
        <v>4</v>
      </c>
      <c r="EU48" s="7" t="s">
        <v>4</v>
      </c>
      <c r="EY48" s="1" t="s">
        <v>0</v>
      </c>
      <c r="EZ48" s="1" t="s">
        <v>0</v>
      </c>
      <c r="FA48" s="1" t="s">
        <v>2</v>
      </c>
      <c r="FB48" s="1" t="s">
        <v>2</v>
      </c>
      <c r="FC48" s="1" t="s">
        <v>4</v>
      </c>
    </row>
    <row r="49" spans="1:161">
      <c r="A49" s="1" t="s">
        <v>83</v>
      </c>
      <c r="EO49" s="1" t="s">
        <v>0</v>
      </c>
      <c r="EP49" s="1" t="s">
        <v>2</v>
      </c>
      <c r="EQ49" s="1" t="s">
        <v>2</v>
      </c>
      <c r="ER49" s="1" t="s">
        <v>4</v>
      </c>
      <c r="ES49" s="1" t="s">
        <v>4</v>
      </c>
      <c r="EW49" s="1" t="s">
        <v>0</v>
      </c>
      <c r="EX49" s="1" t="s">
        <v>0</v>
      </c>
      <c r="EY49" s="1" t="s">
        <v>2</v>
      </c>
      <c r="EZ49" s="1" t="s">
        <v>2</v>
      </c>
      <c r="FA49" s="1" t="s">
        <v>4</v>
      </c>
      <c r="FB49" s="1" t="s">
        <v>4</v>
      </c>
    </row>
    <row r="50" spans="1:161">
      <c r="A50" s="1" t="s">
        <v>85</v>
      </c>
      <c r="EK50" s="1" t="s">
        <v>2</v>
      </c>
      <c r="EL50" s="1" t="s">
        <v>2</v>
      </c>
      <c r="EM50" s="1" t="s">
        <v>4</v>
      </c>
      <c r="EN50" s="1" t="s">
        <v>4</v>
      </c>
      <c r="ER50" s="1" t="s">
        <v>6</v>
      </c>
      <c r="ES50" s="1" t="s">
        <v>6</v>
      </c>
      <c r="ET50" s="1" t="s">
        <v>6</v>
      </c>
      <c r="EU50" s="1" t="s">
        <v>6</v>
      </c>
      <c r="EV50" s="1" t="s">
        <v>6</v>
      </c>
      <c r="FA50" s="1" t="s">
        <v>0</v>
      </c>
      <c r="FB50" s="1" t="s">
        <v>0</v>
      </c>
      <c r="FC50" s="1" t="s">
        <v>2</v>
      </c>
      <c r="FD50" s="1" t="s">
        <v>4</v>
      </c>
      <c r="FE50" s="1" t="s">
        <v>4</v>
      </c>
    </row>
    <row r="51" spans="1:161">
      <c r="A51" s="1" t="s">
        <v>78</v>
      </c>
      <c r="EK51" s="1" t="s">
        <v>0</v>
      </c>
      <c r="EL51" s="1" t="s">
        <v>0</v>
      </c>
      <c r="EM51" s="1" t="s">
        <v>2</v>
      </c>
      <c r="EN51" s="1" t="s">
        <v>2</v>
      </c>
      <c r="EO51" s="1" t="s">
        <v>4</v>
      </c>
      <c r="ET51" s="1" t="s">
        <v>2</v>
      </c>
      <c r="EU51" s="1" t="s">
        <v>2</v>
      </c>
      <c r="EV51" s="1" t="s">
        <v>2</v>
      </c>
      <c r="EW51" s="1" t="s">
        <v>4</v>
      </c>
      <c r="EX51" s="1" t="s">
        <v>4</v>
      </c>
      <c r="FC51" s="1" t="s">
        <v>0</v>
      </c>
      <c r="FD51" s="1" t="s">
        <v>2</v>
      </c>
      <c r="FE51" s="1" t="s">
        <v>2</v>
      </c>
    </row>
    <row r="52" spans="1:161">
      <c r="A52" s="1" t="s">
        <v>88</v>
      </c>
      <c r="EK52" s="1" t="s">
        <v>6</v>
      </c>
      <c r="EL52" s="1" t="s">
        <v>6</v>
      </c>
      <c r="EM52" s="1" t="s">
        <v>6</v>
      </c>
      <c r="EN52" s="1" t="s">
        <v>6</v>
      </c>
      <c r="EO52" s="1" t="s">
        <v>6</v>
      </c>
      <c r="ER52" s="1" t="s">
        <v>6</v>
      </c>
      <c r="ES52" s="1" t="s">
        <v>6</v>
      </c>
      <c r="ET52" s="1" t="s">
        <v>6</v>
      </c>
      <c r="EU52" s="1" t="s">
        <v>6</v>
      </c>
      <c r="EV52" s="1" t="s">
        <v>6</v>
      </c>
      <c r="EY52" s="1" t="s">
        <v>8</v>
      </c>
      <c r="EZ52" s="1" t="s">
        <v>8</v>
      </c>
      <c r="FA52" s="1" t="s">
        <v>8</v>
      </c>
      <c r="FB52" s="1" t="s">
        <v>8</v>
      </c>
      <c r="FC52" s="1" t="s">
        <v>8</v>
      </c>
    </row>
    <row r="53" spans="1:161">
      <c r="A53" s="1" t="s">
        <v>89</v>
      </c>
      <c r="EK53" s="1" t="s">
        <v>8</v>
      </c>
      <c r="EL53" s="1" t="s">
        <v>8</v>
      </c>
      <c r="EM53" s="1" t="s">
        <v>8</v>
      </c>
      <c r="EN53" s="1" t="s">
        <v>8</v>
      </c>
      <c r="ER53" s="1" t="s">
        <v>8</v>
      </c>
      <c r="ES53" s="1" t="s">
        <v>8</v>
      </c>
      <c r="ET53" s="1" t="s">
        <v>8</v>
      </c>
      <c r="EU53" s="1" t="s">
        <v>8</v>
      </c>
      <c r="EY53" s="1" t="s">
        <v>8</v>
      </c>
      <c r="EZ53" s="1" t="s">
        <v>8</v>
      </c>
      <c r="FA53" s="1" t="s">
        <v>8</v>
      </c>
      <c r="FB53" s="1" t="s">
        <v>8</v>
      </c>
    </row>
    <row r="54" spans="1:161">
      <c r="A54" s="1" t="s">
        <v>90</v>
      </c>
      <c r="EK54" s="1" t="s">
        <v>8</v>
      </c>
      <c r="EM54" s="1" t="s">
        <v>8</v>
      </c>
      <c r="EN54" s="1" t="s">
        <v>8</v>
      </c>
      <c r="EO54" s="1" t="s">
        <v>8</v>
      </c>
      <c r="ER54" s="1" t="s">
        <v>8</v>
      </c>
      <c r="ET54" s="1" t="s">
        <v>8</v>
      </c>
      <c r="EU54" s="1" t="s">
        <v>8</v>
      </c>
      <c r="EV54" s="1" t="s">
        <v>8</v>
      </c>
      <c r="EY54" s="1" t="s">
        <v>8</v>
      </c>
      <c r="FA54" s="1" t="s">
        <v>8</v>
      </c>
      <c r="FB54" s="1" t="s">
        <v>8</v>
      </c>
      <c r="FC54" s="1" t="s">
        <v>8</v>
      </c>
    </row>
    <row r="55" spans="1:161">
      <c r="A55" s="1" t="s">
        <v>91</v>
      </c>
      <c r="EK55" s="1" t="s">
        <v>8</v>
      </c>
      <c r="EL55" s="1" t="s">
        <v>8</v>
      </c>
      <c r="EM55" s="1" t="s">
        <v>8</v>
      </c>
      <c r="EN55" s="1" t="s">
        <v>8</v>
      </c>
      <c r="EO55" s="1" t="s">
        <v>8</v>
      </c>
      <c r="ER55" s="1" t="s">
        <v>8</v>
      </c>
      <c r="ES55" s="1" t="s">
        <v>8</v>
      </c>
      <c r="ET55" s="1" t="s">
        <v>8</v>
      </c>
      <c r="EU55" s="1" t="s">
        <v>8</v>
      </c>
      <c r="EV55" s="1" t="s">
        <v>8</v>
      </c>
      <c r="EY55" s="1" t="s">
        <v>8</v>
      </c>
      <c r="EZ55" s="1" t="s">
        <v>8</v>
      </c>
      <c r="FA55" s="1" t="s">
        <v>8</v>
      </c>
      <c r="FB55" s="1" t="s">
        <v>8</v>
      </c>
      <c r="FC55" s="1" t="s">
        <v>8</v>
      </c>
    </row>
    <row r="57" spans="1:161">
      <c r="A57" s="1" t="s">
        <v>120</v>
      </c>
      <c r="EV57" s="7" t="s">
        <v>121</v>
      </c>
    </row>
  </sheetData>
  <mergeCells count="1">
    <mergeCell ref="AZ28:BA28"/>
  </mergeCells>
  <conditionalFormatting sqref="A46:A57">
    <cfRule type="cellIs" dxfId="1093" priority="92" operator="equal">
      <formula>"r"</formula>
    </cfRule>
    <cfRule type="cellIs" dxfId="1092" priority="93" operator="equal">
      <formula>"z"</formula>
    </cfRule>
    <cfRule type="cellIs" dxfId="1091" priority="94" operator="equal">
      <formula>"x"</formula>
    </cfRule>
    <cfRule type="cellIs" dxfId="1090" priority="95" operator="equal">
      <formula>"v"</formula>
    </cfRule>
    <cfRule type="cellIs" dxfId="1089" priority="96" operator="equal">
      <formula>"n"</formula>
    </cfRule>
    <cfRule type="cellIs" dxfId="1088" priority="97" operator="equal">
      <formula>"m"</formula>
    </cfRule>
    <cfRule type="cellIs" dxfId="1087" priority="98" operator="equal">
      <formula>"o"</formula>
    </cfRule>
  </conditionalFormatting>
  <conditionalFormatting sqref="A1:XFD12 A13 C13:XFD13 A28:AZ28 BB28:XFD28 A41:EJ47 B48:EJ57 A58:XFD1048576">
    <cfRule type="cellIs" dxfId="1086" priority="113" operator="equal">
      <formula>"r"</formula>
    </cfRule>
    <cfRule type="cellIs" dxfId="1085" priority="114" operator="equal">
      <formula>"z"</formula>
    </cfRule>
    <cfRule type="cellIs" dxfId="1084" priority="115" operator="equal">
      <formula>"x"</formula>
    </cfRule>
    <cfRule type="cellIs" dxfId="1083" priority="116" operator="equal">
      <formula>"v"</formula>
    </cfRule>
    <cfRule type="cellIs" dxfId="1082" priority="117" operator="equal">
      <formula>"n"</formula>
    </cfRule>
    <cfRule type="cellIs" dxfId="1081" priority="118" operator="equal">
      <formula>"m"</formula>
    </cfRule>
    <cfRule type="cellIs" dxfId="1080" priority="119" operator="equal">
      <formula>"o"</formula>
    </cfRule>
  </conditionalFormatting>
  <conditionalFormatting sqref="A14:XFD40">
    <cfRule type="cellIs" dxfId="1079" priority="1" operator="equal">
      <formula>"r"</formula>
    </cfRule>
    <cfRule type="cellIs" dxfId="1078" priority="2" operator="equal">
      <formula>"z"</formula>
    </cfRule>
    <cfRule type="cellIs" dxfId="1077" priority="3" operator="equal">
      <formula>"x"</formula>
    </cfRule>
    <cfRule type="cellIs" dxfId="1076" priority="4" operator="equal">
      <formula>"v"</formula>
    </cfRule>
    <cfRule type="cellIs" dxfId="1075" priority="5" operator="equal">
      <formula>"n"</formula>
    </cfRule>
    <cfRule type="cellIs" dxfId="1074" priority="6" operator="equal">
      <formula>"m"</formula>
    </cfRule>
    <cfRule type="cellIs" dxfId="1073" priority="7" operator="equal">
      <formula>"o"</formula>
    </cfRule>
  </conditionalFormatting>
  <conditionalFormatting sqref="EK41:XFD57">
    <cfRule type="cellIs" dxfId="1072" priority="99" operator="equal">
      <formula>"r"</formula>
    </cfRule>
    <cfRule type="cellIs" dxfId="1071" priority="100" operator="equal">
      <formula>"z"</formula>
    </cfRule>
    <cfRule type="cellIs" dxfId="1070" priority="101" operator="equal">
      <formula>"x"</formula>
    </cfRule>
    <cfRule type="cellIs" dxfId="1069" priority="102" operator="equal">
      <formula>"v"</formula>
    </cfRule>
    <cfRule type="cellIs" dxfId="1068" priority="103" operator="equal">
      <formula>"n"</formula>
    </cfRule>
    <cfRule type="cellIs" dxfId="1067" priority="104" operator="equal">
      <formula>"m"</formula>
    </cfRule>
    <cfRule type="cellIs" dxfId="1066" priority="105" operator="equal">
      <formula>"o"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C7326-975E-4DA3-809B-C21DCF3FBC56}">
  <dimension ref="A1:ND57"/>
  <sheetViews>
    <sheetView workbookViewId="0">
      <pane xSplit="1" topLeftCell="DT1" activePane="topRight" state="frozen"/>
      <selection pane="topRight" activeCell="CV35" sqref="CV35"/>
    </sheetView>
  </sheetViews>
  <sheetFormatPr defaultColWidth="9.140625" defaultRowHeight="13.15"/>
  <cols>
    <col min="1" max="1" width="14.5703125" style="1" bestFit="1" customWidth="1"/>
    <col min="2" max="84" width="0" style="1" hidden="1" customWidth="1"/>
    <col min="85" max="86" width="10" style="1" hidden="1" customWidth="1"/>
    <col min="87" max="88" width="11.5703125" style="1" hidden="1" customWidth="1"/>
    <col min="89" max="89" width="10" style="1" hidden="1" customWidth="1"/>
    <col min="90" max="91" width="0" style="1" hidden="1" customWidth="1"/>
    <col min="92" max="96" width="13.5703125" style="1" customWidth="1"/>
    <col min="97" max="98" width="5.85546875" style="1" customWidth="1"/>
    <col min="99" max="103" width="13.5703125" style="1" customWidth="1"/>
    <col min="104" max="105" width="7.42578125" style="1" customWidth="1"/>
    <col min="106" max="149" width="9.140625" style="1" bestFit="1"/>
    <col min="150" max="151" width="9.42578125" style="1" bestFit="1" customWidth="1"/>
    <col min="152" max="152" width="12.140625" style="1" bestFit="1" customWidth="1"/>
    <col min="153" max="16384" width="9.140625" style="1"/>
  </cols>
  <sheetData>
    <row r="1" spans="1:368">
      <c r="A1" s="1" t="s">
        <v>0</v>
      </c>
      <c r="B1" s="1" t="s">
        <v>1</v>
      </c>
    </row>
    <row r="2" spans="1:368">
      <c r="A2" s="1" t="s">
        <v>2</v>
      </c>
      <c r="B2" s="1" t="s">
        <v>3</v>
      </c>
    </row>
    <row r="3" spans="1:368">
      <c r="A3" s="1" t="s">
        <v>4</v>
      </c>
      <c r="B3" s="1" t="s">
        <v>5</v>
      </c>
    </row>
    <row r="4" spans="1:368">
      <c r="A4" s="1" t="s">
        <v>6</v>
      </c>
      <c r="B4" s="1" t="s">
        <v>97</v>
      </c>
    </row>
    <row r="5" spans="1:368">
      <c r="A5" s="1" t="s">
        <v>8</v>
      </c>
      <c r="B5" s="1" t="s">
        <v>9</v>
      </c>
    </row>
    <row r="6" spans="1:368">
      <c r="A6" s="1" t="s">
        <v>10</v>
      </c>
      <c r="B6" s="1" t="s">
        <v>98</v>
      </c>
    </row>
    <row r="7" spans="1:368">
      <c r="A7" s="1" t="s">
        <v>12</v>
      </c>
      <c r="B7" s="1" t="s">
        <v>13</v>
      </c>
    </row>
    <row r="9" spans="1:368" s="4" customFormat="1">
      <c r="C9" s="4" t="s">
        <v>14</v>
      </c>
      <c r="H9" s="4" t="s">
        <v>15</v>
      </c>
      <c r="O9" s="4" t="s">
        <v>16</v>
      </c>
      <c r="V9" s="4" t="s">
        <v>17</v>
      </c>
      <c r="AC9" s="4" t="s">
        <v>18</v>
      </c>
      <c r="AJ9" s="4" t="s">
        <v>19</v>
      </c>
      <c r="AQ9" s="4" t="s">
        <v>20</v>
      </c>
      <c r="AX9" s="4" t="s">
        <v>21</v>
      </c>
      <c r="BE9" s="4" t="s">
        <v>22</v>
      </c>
      <c r="BL9" s="4" t="s">
        <v>23</v>
      </c>
      <c r="BS9" s="4" t="s">
        <v>24</v>
      </c>
      <c r="BZ9" s="4" t="s">
        <v>25</v>
      </c>
      <c r="CG9" s="4" t="s">
        <v>26</v>
      </c>
      <c r="CN9" s="4" t="s">
        <v>27</v>
      </c>
      <c r="CU9" s="4" t="s">
        <v>28</v>
      </c>
      <c r="DB9" s="4" t="s">
        <v>29</v>
      </c>
      <c r="DI9" s="4" t="s">
        <v>30</v>
      </c>
      <c r="DP9" s="4" t="s">
        <v>31</v>
      </c>
      <c r="DW9" s="4" t="s">
        <v>32</v>
      </c>
      <c r="ED9" s="4" t="s">
        <v>33</v>
      </c>
      <c r="EK9" s="4" t="s">
        <v>34</v>
      </c>
      <c r="ER9" s="4" t="s">
        <v>35</v>
      </c>
      <c r="EY9" s="4" t="s">
        <v>36</v>
      </c>
      <c r="FF9" s="4" t="s">
        <v>37</v>
      </c>
      <c r="FM9" s="4" t="s">
        <v>38</v>
      </c>
      <c r="FT9" s="4" t="s">
        <v>39</v>
      </c>
      <c r="GA9" s="4" t="s">
        <v>40</v>
      </c>
      <c r="GH9" s="4" t="s">
        <v>41</v>
      </c>
      <c r="GO9" s="4" t="s">
        <v>42</v>
      </c>
      <c r="GV9" s="4" t="s">
        <v>43</v>
      </c>
      <c r="HC9" s="4" t="s">
        <v>44</v>
      </c>
      <c r="HJ9" s="4" t="s">
        <v>45</v>
      </c>
      <c r="HQ9" s="4" t="s">
        <v>46</v>
      </c>
      <c r="HX9" s="4" t="s">
        <v>47</v>
      </c>
      <c r="IE9" s="4" t="s">
        <v>48</v>
      </c>
      <c r="IL9" s="4" t="s">
        <v>49</v>
      </c>
      <c r="IS9" s="4" t="s">
        <v>50</v>
      </c>
      <c r="IZ9" s="4" t="s">
        <v>51</v>
      </c>
      <c r="JG9" s="4" t="s">
        <v>52</v>
      </c>
      <c r="JN9" s="4" t="s">
        <v>53</v>
      </c>
      <c r="JU9" s="4" t="s">
        <v>54</v>
      </c>
      <c r="KB9" s="4" t="s">
        <v>55</v>
      </c>
      <c r="KI9" s="4" t="s">
        <v>56</v>
      </c>
      <c r="KP9" s="4" t="s">
        <v>57</v>
      </c>
      <c r="KW9" s="4" t="s">
        <v>58</v>
      </c>
      <c r="LD9" s="4" t="s">
        <v>59</v>
      </c>
      <c r="LK9" s="4" t="s">
        <v>60</v>
      </c>
      <c r="LR9" s="4" t="s">
        <v>61</v>
      </c>
      <c r="LY9" s="4" t="s">
        <v>62</v>
      </c>
      <c r="MF9" s="4" t="s">
        <v>63</v>
      </c>
      <c r="MM9" s="4" t="s">
        <v>64</v>
      </c>
      <c r="MT9" s="4" t="s">
        <v>65</v>
      </c>
      <c r="NA9" s="4" t="s">
        <v>14</v>
      </c>
    </row>
    <row r="10" spans="1:368" s="2" customFormat="1">
      <c r="C10" s="2" t="s">
        <v>66</v>
      </c>
      <c r="D10" s="2" t="s">
        <v>67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72</v>
      </c>
      <c r="J10" s="2" t="s">
        <v>66</v>
      </c>
      <c r="K10" s="2" t="s">
        <v>73</v>
      </c>
      <c r="L10" s="2" t="s">
        <v>68</v>
      </c>
      <c r="M10" s="2" t="s">
        <v>69</v>
      </c>
      <c r="N10" s="2" t="s">
        <v>70</v>
      </c>
      <c r="O10" s="2" t="s">
        <v>71</v>
      </c>
      <c r="P10" s="2" t="s">
        <v>72</v>
      </c>
      <c r="Q10" s="2" t="s">
        <v>66</v>
      </c>
      <c r="R10" s="2" t="s">
        <v>73</v>
      </c>
      <c r="S10" s="2" t="s">
        <v>68</v>
      </c>
      <c r="T10" s="2" t="s">
        <v>69</v>
      </c>
      <c r="U10" s="2" t="s">
        <v>70</v>
      </c>
      <c r="V10" s="2" t="s">
        <v>71</v>
      </c>
      <c r="W10" s="2" t="s">
        <v>72</v>
      </c>
      <c r="X10" s="2" t="s">
        <v>66</v>
      </c>
      <c r="Y10" s="2" t="s">
        <v>73</v>
      </c>
      <c r="Z10" s="2" t="s">
        <v>68</v>
      </c>
      <c r="AA10" s="2" t="s">
        <v>69</v>
      </c>
      <c r="AB10" s="2" t="s">
        <v>70</v>
      </c>
      <c r="AC10" s="2" t="s">
        <v>71</v>
      </c>
      <c r="AD10" s="2" t="s">
        <v>72</v>
      </c>
      <c r="AE10" s="2" t="s">
        <v>66</v>
      </c>
      <c r="AF10" s="2" t="s">
        <v>73</v>
      </c>
      <c r="AG10" s="2" t="s">
        <v>68</v>
      </c>
      <c r="AH10" s="2" t="s">
        <v>69</v>
      </c>
      <c r="AI10" s="2" t="s">
        <v>70</v>
      </c>
      <c r="AJ10" s="2" t="s">
        <v>71</v>
      </c>
      <c r="AK10" s="2" t="s">
        <v>72</v>
      </c>
      <c r="AL10" s="2" t="s">
        <v>66</v>
      </c>
      <c r="AM10" s="2" t="s">
        <v>73</v>
      </c>
      <c r="AN10" s="2" t="s">
        <v>68</v>
      </c>
      <c r="AO10" s="2" t="s">
        <v>69</v>
      </c>
      <c r="AP10" s="2" t="s">
        <v>70</v>
      </c>
      <c r="AQ10" s="2" t="s">
        <v>71</v>
      </c>
      <c r="AR10" s="2" t="s">
        <v>72</v>
      </c>
      <c r="AS10" s="2" t="s">
        <v>66</v>
      </c>
      <c r="AT10" s="2" t="s">
        <v>73</v>
      </c>
      <c r="AU10" s="2" t="s">
        <v>68</v>
      </c>
      <c r="AV10" s="2" t="s">
        <v>69</v>
      </c>
      <c r="AW10" s="2" t="s">
        <v>70</v>
      </c>
      <c r="AX10" s="2" t="s">
        <v>71</v>
      </c>
      <c r="AY10" s="2" t="s">
        <v>72</v>
      </c>
      <c r="AZ10" s="2" t="s">
        <v>66</v>
      </c>
      <c r="BA10" s="2" t="s">
        <v>73</v>
      </c>
      <c r="BB10" s="2" t="s">
        <v>68</v>
      </c>
      <c r="BC10" s="2" t="s">
        <v>69</v>
      </c>
      <c r="BD10" s="2" t="s">
        <v>70</v>
      </c>
      <c r="BE10" s="2" t="s">
        <v>71</v>
      </c>
      <c r="BF10" s="2" t="s">
        <v>72</v>
      </c>
      <c r="BG10" s="2" t="s">
        <v>66</v>
      </c>
      <c r="BH10" s="2" t="s">
        <v>73</v>
      </c>
      <c r="BI10" s="2" t="s">
        <v>68</v>
      </c>
      <c r="BJ10" s="2" t="s">
        <v>69</v>
      </c>
      <c r="BK10" s="2" t="s">
        <v>70</v>
      </c>
      <c r="BL10" s="2" t="s">
        <v>71</v>
      </c>
      <c r="BM10" s="2" t="s">
        <v>72</v>
      </c>
      <c r="BN10" s="2" t="s">
        <v>66</v>
      </c>
      <c r="BO10" s="2" t="s">
        <v>73</v>
      </c>
      <c r="BP10" s="2" t="s">
        <v>68</v>
      </c>
      <c r="BQ10" s="2" t="s">
        <v>69</v>
      </c>
      <c r="BR10" s="2" t="s">
        <v>70</v>
      </c>
      <c r="BS10" s="2" t="s">
        <v>71</v>
      </c>
      <c r="BT10" s="2" t="s">
        <v>72</v>
      </c>
      <c r="BU10" s="2" t="s">
        <v>66</v>
      </c>
      <c r="BV10" s="2" t="s">
        <v>73</v>
      </c>
      <c r="BW10" s="2" t="s">
        <v>68</v>
      </c>
      <c r="BX10" s="2" t="s">
        <v>69</v>
      </c>
      <c r="BY10" s="2" t="s">
        <v>70</v>
      </c>
      <c r="BZ10" s="2" t="s">
        <v>71</v>
      </c>
      <c r="CA10" s="2" t="s">
        <v>72</v>
      </c>
      <c r="CB10" s="2" t="s">
        <v>66</v>
      </c>
      <c r="CC10" s="2" t="s">
        <v>73</v>
      </c>
      <c r="CD10" s="2" t="s">
        <v>68</v>
      </c>
      <c r="CE10" s="2" t="s">
        <v>69</v>
      </c>
      <c r="CF10" s="2" t="s">
        <v>70</v>
      </c>
      <c r="CG10" s="2" t="s">
        <v>71</v>
      </c>
      <c r="CH10" s="2" t="s">
        <v>72</v>
      </c>
      <c r="CI10" s="2" t="s">
        <v>66</v>
      </c>
      <c r="CJ10" s="2" t="s">
        <v>73</v>
      </c>
      <c r="CK10" s="2" t="s">
        <v>68</v>
      </c>
      <c r="CL10" s="2" t="s">
        <v>69</v>
      </c>
      <c r="CM10" s="2" t="s">
        <v>70</v>
      </c>
      <c r="CN10" s="2" t="s">
        <v>71</v>
      </c>
      <c r="CO10" s="2" t="s">
        <v>72</v>
      </c>
      <c r="CP10" s="2" t="s">
        <v>66</v>
      </c>
      <c r="CQ10" s="2" t="s">
        <v>73</v>
      </c>
      <c r="CR10" s="2" t="s">
        <v>68</v>
      </c>
      <c r="CS10" s="2" t="s">
        <v>69</v>
      </c>
      <c r="CT10" s="2" t="s">
        <v>70</v>
      </c>
      <c r="CU10" s="2" t="s">
        <v>71</v>
      </c>
      <c r="CV10" s="2" t="s">
        <v>72</v>
      </c>
      <c r="CW10" s="2" t="s">
        <v>66</v>
      </c>
      <c r="CX10" s="2" t="s">
        <v>73</v>
      </c>
      <c r="CY10" s="2" t="s">
        <v>68</v>
      </c>
      <c r="CZ10" s="2" t="s">
        <v>69</v>
      </c>
      <c r="DA10" s="2" t="s">
        <v>70</v>
      </c>
      <c r="DB10" s="2" t="s">
        <v>71</v>
      </c>
      <c r="DC10" s="2" t="s">
        <v>72</v>
      </c>
      <c r="DD10" s="2" t="s">
        <v>66</v>
      </c>
      <c r="DE10" s="2" t="s">
        <v>73</v>
      </c>
      <c r="DF10" s="2" t="s">
        <v>68</v>
      </c>
      <c r="DG10" s="2" t="s">
        <v>69</v>
      </c>
      <c r="DH10" s="2" t="s">
        <v>70</v>
      </c>
      <c r="DI10" s="2" t="s">
        <v>71</v>
      </c>
      <c r="DJ10" s="2" t="s">
        <v>72</v>
      </c>
      <c r="DK10" s="2" t="s">
        <v>66</v>
      </c>
      <c r="DL10" s="2" t="s">
        <v>73</v>
      </c>
      <c r="DM10" s="2" t="s">
        <v>68</v>
      </c>
      <c r="DN10" s="2" t="s">
        <v>69</v>
      </c>
      <c r="DO10" s="2" t="s">
        <v>70</v>
      </c>
      <c r="DP10" s="2" t="s">
        <v>71</v>
      </c>
      <c r="DQ10" s="2" t="s">
        <v>72</v>
      </c>
      <c r="DR10" s="2" t="s">
        <v>66</v>
      </c>
      <c r="DS10" s="2" t="s">
        <v>73</v>
      </c>
      <c r="DT10" s="2" t="s">
        <v>68</v>
      </c>
      <c r="DU10" s="2" t="s">
        <v>69</v>
      </c>
      <c r="DV10" s="2" t="s">
        <v>70</v>
      </c>
      <c r="DW10" s="2" t="s">
        <v>71</v>
      </c>
      <c r="DX10" s="2" t="s">
        <v>72</v>
      </c>
      <c r="DY10" s="2" t="s">
        <v>66</v>
      </c>
      <c r="DZ10" s="2" t="s">
        <v>73</v>
      </c>
      <c r="EA10" s="2" t="s">
        <v>68</v>
      </c>
      <c r="EB10" s="2" t="s">
        <v>69</v>
      </c>
      <c r="EC10" s="2" t="s">
        <v>70</v>
      </c>
      <c r="ED10" s="2" t="s">
        <v>71</v>
      </c>
      <c r="EE10" s="2" t="s">
        <v>72</v>
      </c>
      <c r="EF10" s="2" t="s">
        <v>66</v>
      </c>
      <c r="EG10" s="2" t="s">
        <v>73</v>
      </c>
      <c r="EH10" s="2" t="s">
        <v>68</v>
      </c>
      <c r="EI10" s="2" t="s">
        <v>69</v>
      </c>
      <c r="EJ10" s="2" t="s">
        <v>70</v>
      </c>
      <c r="EK10" s="2" t="s">
        <v>71</v>
      </c>
      <c r="EL10" s="2" t="s">
        <v>72</v>
      </c>
      <c r="EM10" s="2" t="s">
        <v>66</v>
      </c>
      <c r="EN10" s="2" t="s">
        <v>73</v>
      </c>
      <c r="EO10" s="2" t="s">
        <v>68</v>
      </c>
      <c r="EP10" s="2" t="s">
        <v>69</v>
      </c>
      <c r="EQ10" s="2" t="s">
        <v>70</v>
      </c>
      <c r="ER10" s="2" t="s">
        <v>71</v>
      </c>
      <c r="ES10" s="2" t="s">
        <v>72</v>
      </c>
      <c r="ET10" s="2" t="s">
        <v>66</v>
      </c>
      <c r="EU10" s="2" t="s">
        <v>73</v>
      </c>
      <c r="EV10" s="2" t="s">
        <v>68</v>
      </c>
      <c r="EW10" s="2" t="s">
        <v>69</v>
      </c>
      <c r="EX10" s="2" t="s">
        <v>70</v>
      </c>
      <c r="EY10" s="2" t="s">
        <v>71</v>
      </c>
      <c r="EZ10" s="2" t="s">
        <v>72</v>
      </c>
      <c r="FA10" s="2" t="s">
        <v>66</v>
      </c>
      <c r="FB10" s="2" t="s">
        <v>73</v>
      </c>
      <c r="FC10" s="2" t="s">
        <v>68</v>
      </c>
      <c r="FD10" s="2" t="s">
        <v>69</v>
      </c>
      <c r="FE10" s="2" t="s">
        <v>70</v>
      </c>
      <c r="FF10" s="2" t="s">
        <v>71</v>
      </c>
      <c r="FG10" s="2" t="s">
        <v>72</v>
      </c>
      <c r="FH10" s="2" t="s">
        <v>66</v>
      </c>
      <c r="FI10" s="2" t="s">
        <v>73</v>
      </c>
      <c r="FJ10" s="2" t="s">
        <v>68</v>
      </c>
      <c r="FK10" s="2" t="s">
        <v>69</v>
      </c>
      <c r="FL10" s="2" t="s">
        <v>70</v>
      </c>
      <c r="FM10" s="2" t="s">
        <v>71</v>
      </c>
      <c r="FN10" s="2" t="s">
        <v>72</v>
      </c>
      <c r="FO10" s="2" t="s">
        <v>66</v>
      </c>
      <c r="FP10" s="2" t="s">
        <v>73</v>
      </c>
      <c r="FQ10" s="2" t="s">
        <v>68</v>
      </c>
      <c r="FR10" s="2" t="s">
        <v>69</v>
      </c>
      <c r="FS10" s="2" t="s">
        <v>70</v>
      </c>
      <c r="FT10" s="2" t="s">
        <v>71</v>
      </c>
      <c r="FU10" s="2" t="s">
        <v>72</v>
      </c>
      <c r="FV10" s="2" t="s">
        <v>66</v>
      </c>
      <c r="FW10" s="2" t="s">
        <v>73</v>
      </c>
      <c r="FX10" s="2" t="s">
        <v>68</v>
      </c>
      <c r="FY10" s="2" t="s">
        <v>69</v>
      </c>
      <c r="FZ10" s="2" t="s">
        <v>70</v>
      </c>
      <c r="GA10" s="2" t="s">
        <v>71</v>
      </c>
      <c r="GB10" s="2" t="s">
        <v>72</v>
      </c>
      <c r="GC10" s="2" t="s">
        <v>66</v>
      </c>
      <c r="GD10" s="2" t="s">
        <v>73</v>
      </c>
      <c r="GE10" s="2" t="s">
        <v>68</v>
      </c>
      <c r="GF10" s="2" t="s">
        <v>69</v>
      </c>
      <c r="GG10" s="2" t="s">
        <v>70</v>
      </c>
      <c r="GH10" s="2" t="s">
        <v>71</v>
      </c>
      <c r="GI10" s="2" t="s">
        <v>72</v>
      </c>
      <c r="GJ10" s="2" t="s">
        <v>66</v>
      </c>
      <c r="GK10" s="2" t="s">
        <v>73</v>
      </c>
      <c r="GL10" s="2" t="s">
        <v>68</v>
      </c>
      <c r="GM10" s="2" t="s">
        <v>69</v>
      </c>
      <c r="GN10" s="2" t="s">
        <v>70</v>
      </c>
      <c r="GO10" s="2" t="s">
        <v>71</v>
      </c>
      <c r="GP10" s="2" t="s">
        <v>72</v>
      </c>
      <c r="GQ10" s="2" t="s">
        <v>66</v>
      </c>
      <c r="GR10" s="2" t="s">
        <v>73</v>
      </c>
      <c r="GS10" s="2" t="s">
        <v>68</v>
      </c>
      <c r="GT10" s="2" t="s">
        <v>69</v>
      </c>
      <c r="GU10" s="2" t="s">
        <v>70</v>
      </c>
      <c r="GV10" s="2" t="s">
        <v>71</v>
      </c>
      <c r="GW10" s="2" t="s">
        <v>72</v>
      </c>
      <c r="GX10" s="2" t="s">
        <v>66</v>
      </c>
      <c r="GY10" s="2" t="s">
        <v>73</v>
      </c>
      <c r="GZ10" s="2" t="s">
        <v>68</v>
      </c>
      <c r="HA10" s="2" t="s">
        <v>69</v>
      </c>
      <c r="HB10" s="2" t="s">
        <v>70</v>
      </c>
      <c r="HC10" s="2" t="s">
        <v>71</v>
      </c>
      <c r="HD10" s="2" t="s">
        <v>72</v>
      </c>
      <c r="HE10" s="2" t="s">
        <v>66</v>
      </c>
      <c r="HF10" s="2" t="s">
        <v>73</v>
      </c>
      <c r="HG10" s="2" t="s">
        <v>68</v>
      </c>
      <c r="HH10" s="2" t="s">
        <v>69</v>
      </c>
      <c r="HI10" s="2" t="s">
        <v>70</v>
      </c>
      <c r="HJ10" s="2" t="s">
        <v>71</v>
      </c>
      <c r="HK10" s="2" t="s">
        <v>72</v>
      </c>
      <c r="HL10" s="2" t="s">
        <v>66</v>
      </c>
      <c r="HM10" s="2" t="s">
        <v>73</v>
      </c>
      <c r="HN10" s="2" t="s">
        <v>68</v>
      </c>
      <c r="HO10" s="2" t="s">
        <v>69</v>
      </c>
      <c r="HP10" s="2" t="s">
        <v>70</v>
      </c>
      <c r="HQ10" s="2" t="s">
        <v>71</v>
      </c>
      <c r="HR10" s="2" t="s">
        <v>72</v>
      </c>
      <c r="HS10" s="2" t="s">
        <v>66</v>
      </c>
      <c r="HT10" s="2" t="s">
        <v>73</v>
      </c>
      <c r="HU10" s="2" t="s">
        <v>68</v>
      </c>
      <c r="HV10" s="2" t="s">
        <v>69</v>
      </c>
      <c r="HW10" s="2" t="s">
        <v>70</v>
      </c>
      <c r="HX10" s="2" t="s">
        <v>71</v>
      </c>
      <c r="HY10" s="2" t="s">
        <v>72</v>
      </c>
      <c r="HZ10" s="2" t="s">
        <v>66</v>
      </c>
      <c r="IA10" s="2" t="s">
        <v>73</v>
      </c>
      <c r="IB10" s="2" t="s">
        <v>68</v>
      </c>
      <c r="IC10" s="2" t="s">
        <v>69</v>
      </c>
      <c r="ID10" s="2" t="s">
        <v>70</v>
      </c>
      <c r="IE10" s="2" t="s">
        <v>71</v>
      </c>
      <c r="IF10" s="2" t="s">
        <v>72</v>
      </c>
      <c r="IG10" s="2" t="s">
        <v>66</v>
      </c>
      <c r="IH10" s="2" t="s">
        <v>73</v>
      </c>
      <c r="II10" s="2" t="s">
        <v>68</v>
      </c>
      <c r="IJ10" s="2" t="s">
        <v>69</v>
      </c>
      <c r="IK10" s="2" t="s">
        <v>70</v>
      </c>
      <c r="IL10" s="2" t="s">
        <v>71</v>
      </c>
      <c r="IM10" s="2" t="s">
        <v>72</v>
      </c>
      <c r="IN10" s="2" t="s">
        <v>66</v>
      </c>
      <c r="IO10" s="2" t="s">
        <v>73</v>
      </c>
      <c r="IP10" s="2" t="s">
        <v>68</v>
      </c>
      <c r="IQ10" s="2" t="s">
        <v>69</v>
      </c>
      <c r="IR10" s="2" t="s">
        <v>70</v>
      </c>
      <c r="IS10" s="2" t="s">
        <v>71</v>
      </c>
      <c r="IT10" s="2" t="s">
        <v>72</v>
      </c>
      <c r="IU10" s="2" t="s">
        <v>66</v>
      </c>
      <c r="IV10" s="2" t="s">
        <v>73</v>
      </c>
      <c r="IW10" s="2" t="s">
        <v>68</v>
      </c>
      <c r="IX10" s="2" t="s">
        <v>69</v>
      </c>
      <c r="IY10" s="2" t="s">
        <v>70</v>
      </c>
      <c r="IZ10" s="2" t="s">
        <v>71</v>
      </c>
      <c r="JA10" s="2" t="s">
        <v>72</v>
      </c>
      <c r="JB10" s="2" t="s">
        <v>66</v>
      </c>
      <c r="JC10" s="2" t="s">
        <v>73</v>
      </c>
      <c r="JD10" s="2" t="s">
        <v>68</v>
      </c>
      <c r="JE10" s="2" t="s">
        <v>69</v>
      </c>
      <c r="JF10" s="2" t="s">
        <v>70</v>
      </c>
      <c r="JG10" s="2" t="s">
        <v>71</v>
      </c>
      <c r="JH10" s="2" t="s">
        <v>72</v>
      </c>
      <c r="JI10" s="2" t="s">
        <v>66</v>
      </c>
      <c r="JJ10" s="2" t="s">
        <v>73</v>
      </c>
      <c r="JK10" s="2" t="s">
        <v>68</v>
      </c>
      <c r="JL10" s="2" t="s">
        <v>69</v>
      </c>
      <c r="JM10" s="2" t="s">
        <v>70</v>
      </c>
      <c r="JN10" s="2" t="s">
        <v>71</v>
      </c>
      <c r="JO10" s="2" t="s">
        <v>72</v>
      </c>
      <c r="JP10" s="2" t="s">
        <v>66</v>
      </c>
      <c r="JQ10" s="2" t="s">
        <v>73</v>
      </c>
      <c r="JR10" s="2" t="s">
        <v>68</v>
      </c>
      <c r="JS10" s="2" t="s">
        <v>69</v>
      </c>
      <c r="JT10" s="2" t="s">
        <v>70</v>
      </c>
      <c r="JU10" s="2" t="s">
        <v>71</v>
      </c>
      <c r="JV10" s="2" t="s">
        <v>72</v>
      </c>
      <c r="JW10" s="2" t="s">
        <v>66</v>
      </c>
      <c r="JX10" s="2" t="s">
        <v>73</v>
      </c>
      <c r="JY10" s="2" t="s">
        <v>68</v>
      </c>
      <c r="JZ10" s="2" t="s">
        <v>69</v>
      </c>
      <c r="KA10" s="2" t="s">
        <v>70</v>
      </c>
      <c r="KB10" s="2" t="s">
        <v>71</v>
      </c>
      <c r="KC10" s="2" t="s">
        <v>72</v>
      </c>
      <c r="KD10" s="2" t="s">
        <v>66</v>
      </c>
      <c r="KE10" s="2" t="s">
        <v>73</v>
      </c>
      <c r="KF10" s="2" t="s">
        <v>68</v>
      </c>
      <c r="KG10" s="2" t="s">
        <v>69</v>
      </c>
      <c r="KH10" s="2" t="s">
        <v>70</v>
      </c>
      <c r="KI10" s="2" t="s">
        <v>71</v>
      </c>
      <c r="KJ10" s="2" t="s">
        <v>72</v>
      </c>
      <c r="KK10" s="2" t="s">
        <v>66</v>
      </c>
      <c r="KL10" s="2" t="s">
        <v>73</v>
      </c>
      <c r="KM10" s="2" t="s">
        <v>68</v>
      </c>
      <c r="KN10" s="2" t="s">
        <v>69</v>
      </c>
      <c r="KO10" s="2" t="s">
        <v>70</v>
      </c>
      <c r="KP10" s="2" t="s">
        <v>71</v>
      </c>
      <c r="KQ10" s="2" t="s">
        <v>72</v>
      </c>
      <c r="KR10" s="2" t="s">
        <v>66</v>
      </c>
      <c r="KS10" s="2" t="s">
        <v>73</v>
      </c>
      <c r="KT10" s="2" t="s">
        <v>68</v>
      </c>
      <c r="KU10" s="2" t="s">
        <v>69</v>
      </c>
      <c r="KV10" s="2" t="s">
        <v>70</v>
      </c>
      <c r="KW10" s="2" t="s">
        <v>71</v>
      </c>
      <c r="KX10" s="2" t="s">
        <v>72</v>
      </c>
      <c r="KY10" s="2" t="s">
        <v>66</v>
      </c>
      <c r="KZ10" s="2" t="s">
        <v>73</v>
      </c>
      <c r="LA10" s="2" t="s">
        <v>68</v>
      </c>
      <c r="LB10" s="2" t="s">
        <v>69</v>
      </c>
      <c r="LC10" s="2" t="s">
        <v>70</v>
      </c>
      <c r="LD10" s="2" t="s">
        <v>71</v>
      </c>
      <c r="LE10" s="2" t="s">
        <v>72</v>
      </c>
      <c r="LF10" s="2" t="s">
        <v>66</v>
      </c>
      <c r="LG10" s="2" t="s">
        <v>73</v>
      </c>
      <c r="LH10" s="2" t="s">
        <v>68</v>
      </c>
      <c r="LI10" s="2" t="s">
        <v>69</v>
      </c>
      <c r="LJ10" s="2" t="s">
        <v>70</v>
      </c>
      <c r="LK10" s="2" t="s">
        <v>71</v>
      </c>
      <c r="LL10" s="2" t="s">
        <v>72</v>
      </c>
      <c r="LM10" s="2" t="s">
        <v>66</v>
      </c>
      <c r="LN10" s="2" t="s">
        <v>73</v>
      </c>
      <c r="LO10" s="2" t="s">
        <v>68</v>
      </c>
      <c r="LP10" s="2" t="s">
        <v>69</v>
      </c>
      <c r="LQ10" s="2" t="s">
        <v>70</v>
      </c>
      <c r="LR10" s="2" t="s">
        <v>71</v>
      </c>
      <c r="LS10" s="2" t="s">
        <v>72</v>
      </c>
      <c r="LT10" s="2" t="s">
        <v>66</v>
      </c>
      <c r="LU10" s="2" t="s">
        <v>73</v>
      </c>
      <c r="LV10" s="2" t="s">
        <v>68</v>
      </c>
      <c r="LW10" s="2" t="s">
        <v>69</v>
      </c>
      <c r="LX10" s="2" t="s">
        <v>70</v>
      </c>
      <c r="LY10" s="2" t="s">
        <v>71</v>
      </c>
      <c r="LZ10" s="2" t="s">
        <v>72</v>
      </c>
      <c r="MA10" s="2" t="s">
        <v>66</v>
      </c>
      <c r="MB10" s="2" t="s">
        <v>73</v>
      </c>
      <c r="MC10" s="2" t="s">
        <v>68</v>
      </c>
      <c r="MD10" s="2" t="s">
        <v>69</v>
      </c>
      <c r="ME10" s="2" t="s">
        <v>70</v>
      </c>
      <c r="MF10" s="2" t="s">
        <v>71</v>
      </c>
      <c r="MG10" s="2" t="s">
        <v>72</v>
      </c>
      <c r="MH10" s="2" t="s">
        <v>66</v>
      </c>
      <c r="MI10" s="2" t="s">
        <v>73</v>
      </c>
      <c r="MJ10" s="2" t="s">
        <v>68</v>
      </c>
      <c r="MK10" s="2" t="s">
        <v>69</v>
      </c>
      <c r="ML10" s="2" t="s">
        <v>70</v>
      </c>
      <c r="MM10" s="2" t="s">
        <v>71</v>
      </c>
      <c r="MN10" s="2" t="s">
        <v>72</v>
      </c>
      <c r="MO10" s="2" t="s">
        <v>66</v>
      </c>
      <c r="MP10" s="2" t="s">
        <v>73</v>
      </c>
      <c r="MQ10" s="2" t="s">
        <v>68</v>
      </c>
      <c r="MR10" s="2" t="s">
        <v>69</v>
      </c>
      <c r="MS10" s="2" t="s">
        <v>70</v>
      </c>
      <c r="MT10" s="2" t="s">
        <v>71</v>
      </c>
      <c r="MU10" s="2" t="s">
        <v>72</v>
      </c>
      <c r="MV10" s="2" t="s">
        <v>66</v>
      </c>
      <c r="MW10" s="2" t="s">
        <v>73</v>
      </c>
      <c r="MX10" s="2" t="s">
        <v>68</v>
      </c>
      <c r="MY10" s="2" t="s">
        <v>69</v>
      </c>
      <c r="MZ10" s="2" t="s">
        <v>70</v>
      </c>
      <c r="NA10" s="2" t="s">
        <v>71</v>
      </c>
      <c r="NB10" s="2" t="s">
        <v>72</v>
      </c>
      <c r="NC10" s="2" t="s">
        <v>66</v>
      </c>
      <c r="ND10" s="2" t="s">
        <v>73</v>
      </c>
    </row>
    <row r="11" spans="1:368" s="3" customFormat="1">
      <c r="C11" s="45">
        <v>43466</v>
      </c>
      <c r="D11" s="45">
        <v>43467</v>
      </c>
      <c r="E11" s="45">
        <v>43468</v>
      </c>
      <c r="F11" s="45">
        <v>43469</v>
      </c>
      <c r="G11" s="45">
        <v>43470</v>
      </c>
      <c r="H11" s="45">
        <v>43471</v>
      </c>
      <c r="I11" s="45">
        <v>43472</v>
      </c>
      <c r="J11" s="45">
        <v>43473</v>
      </c>
      <c r="K11" s="45">
        <v>43474</v>
      </c>
      <c r="L11" s="45">
        <v>43475</v>
      </c>
      <c r="M11" s="45">
        <v>43476</v>
      </c>
      <c r="N11" s="45">
        <v>43477</v>
      </c>
      <c r="O11" s="45">
        <v>43478</v>
      </c>
      <c r="P11" s="45">
        <v>43479</v>
      </c>
      <c r="Q11" s="45">
        <v>43480</v>
      </c>
      <c r="R11" s="45">
        <v>43481</v>
      </c>
      <c r="S11" s="45">
        <v>43482</v>
      </c>
      <c r="T11" s="45">
        <v>43483</v>
      </c>
      <c r="U11" s="45">
        <v>43484</v>
      </c>
      <c r="V11" s="45">
        <v>43485</v>
      </c>
      <c r="W11" s="45">
        <v>43486</v>
      </c>
      <c r="X11" s="45">
        <v>43487</v>
      </c>
      <c r="Y11" s="45">
        <v>43488</v>
      </c>
      <c r="Z11" s="45">
        <v>43489</v>
      </c>
      <c r="AA11" s="45">
        <v>43490</v>
      </c>
      <c r="AB11" s="45">
        <v>43491</v>
      </c>
      <c r="AC11" s="45">
        <v>43492</v>
      </c>
      <c r="AD11" s="45">
        <v>43493</v>
      </c>
      <c r="AE11" s="45">
        <v>43494</v>
      </c>
      <c r="AF11" s="45">
        <v>43495</v>
      </c>
      <c r="AG11" s="45">
        <v>43496</v>
      </c>
      <c r="AH11" s="45">
        <v>43497</v>
      </c>
      <c r="AI11" s="45">
        <v>43498</v>
      </c>
      <c r="AJ11" s="45">
        <v>43499</v>
      </c>
      <c r="AK11" s="45">
        <v>43500</v>
      </c>
      <c r="AL11" s="45">
        <v>43501</v>
      </c>
      <c r="AM11" s="45">
        <v>43502</v>
      </c>
      <c r="AN11" s="45">
        <v>43503</v>
      </c>
      <c r="AO11" s="45">
        <v>43504</v>
      </c>
      <c r="AP11" s="45">
        <v>43505</v>
      </c>
      <c r="AQ11" s="45">
        <v>43506</v>
      </c>
      <c r="AR11" s="45">
        <v>43507</v>
      </c>
      <c r="AS11" s="45">
        <v>43508</v>
      </c>
      <c r="AT11" s="45">
        <v>43509</v>
      </c>
      <c r="AU11" s="45">
        <v>43510</v>
      </c>
      <c r="AV11" s="45">
        <v>43511</v>
      </c>
      <c r="AW11" s="45">
        <v>43512</v>
      </c>
      <c r="AX11" s="45">
        <v>43513</v>
      </c>
      <c r="AY11" s="45">
        <v>43514</v>
      </c>
      <c r="AZ11" s="45">
        <v>43515</v>
      </c>
      <c r="BA11" s="45">
        <v>43516</v>
      </c>
      <c r="BB11" s="45">
        <v>43517</v>
      </c>
      <c r="BC11" s="45">
        <v>43518</v>
      </c>
      <c r="BD11" s="45">
        <v>43519</v>
      </c>
      <c r="BE11" s="45">
        <v>43520</v>
      </c>
      <c r="BF11" s="45">
        <v>43521</v>
      </c>
      <c r="BG11" s="45">
        <v>43522</v>
      </c>
      <c r="BH11" s="45">
        <v>43523</v>
      </c>
      <c r="BI11" s="45">
        <v>43524</v>
      </c>
      <c r="BJ11" s="3" t="s">
        <v>74</v>
      </c>
      <c r="BK11" s="45">
        <v>43525</v>
      </c>
      <c r="BL11" s="45">
        <v>43526</v>
      </c>
      <c r="BM11" s="45">
        <v>43527</v>
      </c>
      <c r="BN11" s="45">
        <v>43528</v>
      </c>
      <c r="BO11" s="45">
        <v>43529</v>
      </c>
      <c r="BP11" s="45">
        <v>43530</v>
      </c>
      <c r="BQ11" s="45">
        <v>43531</v>
      </c>
      <c r="BR11" s="45">
        <v>43532</v>
      </c>
      <c r="BS11" s="45">
        <v>43533</v>
      </c>
      <c r="BT11" s="45">
        <v>43534</v>
      </c>
      <c r="BU11" s="45">
        <v>43535</v>
      </c>
      <c r="BV11" s="45">
        <v>43536</v>
      </c>
      <c r="BW11" s="45">
        <v>43537</v>
      </c>
      <c r="BX11" s="45">
        <v>43538</v>
      </c>
      <c r="BY11" s="45">
        <v>43539</v>
      </c>
      <c r="BZ11" s="45">
        <v>43540</v>
      </c>
      <c r="CA11" s="45">
        <v>43541</v>
      </c>
      <c r="CB11" s="45">
        <v>43542</v>
      </c>
      <c r="CC11" s="45">
        <v>43543</v>
      </c>
      <c r="CD11" s="45">
        <v>43544</v>
      </c>
      <c r="CE11" s="45">
        <v>43545</v>
      </c>
      <c r="CF11" s="45">
        <v>43546</v>
      </c>
      <c r="CG11" s="45">
        <v>43547</v>
      </c>
      <c r="CH11" s="45">
        <v>43548</v>
      </c>
      <c r="CI11" s="45">
        <v>43549</v>
      </c>
      <c r="CJ11" s="45">
        <v>43550</v>
      </c>
      <c r="CK11" s="45">
        <v>43551</v>
      </c>
      <c r="CL11" s="45">
        <v>43552</v>
      </c>
      <c r="CM11" s="45">
        <v>43553</v>
      </c>
      <c r="CN11" s="45">
        <v>43554</v>
      </c>
      <c r="CO11" s="45">
        <v>43555</v>
      </c>
      <c r="CP11" s="45">
        <v>43556</v>
      </c>
      <c r="CQ11" s="45">
        <v>43557</v>
      </c>
      <c r="CR11" s="45">
        <v>43558</v>
      </c>
      <c r="CS11" s="45">
        <v>43559</v>
      </c>
      <c r="CT11" s="45">
        <v>43560</v>
      </c>
      <c r="CU11" s="45">
        <v>43561</v>
      </c>
      <c r="CV11" s="45">
        <v>43562</v>
      </c>
      <c r="CW11" s="45">
        <v>43563</v>
      </c>
      <c r="CX11" s="45">
        <v>43564</v>
      </c>
      <c r="CY11" s="45">
        <v>43565</v>
      </c>
      <c r="CZ11" s="45">
        <v>43566</v>
      </c>
      <c r="DA11" s="45">
        <v>43567</v>
      </c>
      <c r="DB11" s="45">
        <v>43568</v>
      </c>
      <c r="DC11" s="45">
        <v>43569</v>
      </c>
      <c r="DD11" s="45">
        <v>43570</v>
      </c>
      <c r="DE11" s="45">
        <v>43571</v>
      </c>
      <c r="DF11" s="45">
        <v>43572</v>
      </c>
      <c r="DG11" s="45">
        <v>43573</v>
      </c>
      <c r="DH11" s="45">
        <v>43574</v>
      </c>
      <c r="DI11" s="45">
        <v>43575</v>
      </c>
      <c r="DJ11" s="45">
        <v>43576</v>
      </c>
      <c r="DK11" s="45">
        <v>43577</v>
      </c>
      <c r="DL11" s="45">
        <v>43578</v>
      </c>
      <c r="DM11" s="45">
        <v>43579</v>
      </c>
      <c r="DN11" s="45">
        <v>43580</v>
      </c>
      <c r="DO11" s="45">
        <v>43581</v>
      </c>
      <c r="DP11" s="45">
        <v>43582</v>
      </c>
      <c r="DQ11" s="45">
        <v>43583</v>
      </c>
      <c r="DR11" s="45">
        <v>43584</v>
      </c>
      <c r="DS11" s="45">
        <v>43585</v>
      </c>
      <c r="DT11" s="45">
        <v>43586</v>
      </c>
      <c r="DU11" s="45">
        <v>43587</v>
      </c>
      <c r="DV11" s="45">
        <v>43588</v>
      </c>
      <c r="DW11" s="45">
        <v>43589</v>
      </c>
      <c r="DX11" s="45">
        <v>43590</v>
      </c>
      <c r="DY11" s="45">
        <v>43591</v>
      </c>
      <c r="DZ11" s="45">
        <v>43592</v>
      </c>
      <c r="EA11" s="45">
        <v>43593</v>
      </c>
      <c r="EB11" s="45">
        <v>43594</v>
      </c>
      <c r="EC11" s="45">
        <v>43595</v>
      </c>
      <c r="ED11" s="45">
        <v>43596</v>
      </c>
      <c r="EE11" s="45">
        <v>43597</v>
      </c>
      <c r="EF11" s="45">
        <v>43598</v>
      </c>
      <c r="EG11" s="45">
        <v>43599</v>
      </c>
      <c r="EH11" s="45">
        <v>43600</v>
      </c>
      <c r="EI11" s="45">
        <v>43601</v>
      </c>
      <c r="EJ11" s="45">
        <v>43602</v>
      </c>
      <c r="EK11" s="45">
        <v>43603</v>
      </c>
      <c r="EL11" s="45">
        <v>43604</v>
      </c>
      <c r="EM11" s="45">
        <v>43605</v>
      </c>
      <c r="EN11" s="45">
        <v>43606</v>
      </c>
      <c r="EO11" s="45">
        <v>43607</v>
      </c>
      <c r="EP11" s="45">
        <v>43608</v>
      </c>
      <c r="EQ11" s="45">
        <v>43609</v>
      </c>
      <c r="ER11" s="45">
        <v>43610</v>
      </c>
      <c r="ES11" s="45">
        <v>43611</v>
      </c>
      <c r="ET11" s="45">
        <v>43612</v>
      </c>
      <c r="EU11" s="45">
        <v>43613</v>
      </c>
      <c r="EV11" s="45">
        <v>43614</v>
      </c>
      <c r="EW11" s="45">
        <v>43615</v>
      </c>
      <c r="EX11" s="45">
        <v>43616</v>
      </c>
      <c r="EY11" s="45">
        <v>43617</v>
      </c>
      <c r="EZ11" s="45">
        <v>43618</v>
      </c>
      <c r="FA11" s="45">
        <v>43619</v>
      </c>
      <c r="FB11" s="45">
        <v>43620</v>
      </c>
      <c r="FC11" s="45">
        <v>43621</v>
      </c>
      <c r="FD11" s="45">
        <v>43622</v>
      </c>
      <c r="FE11" s="45">
        <v>43623</v>
      </c>
      <c r="FF11" s="45">
        <v>43624</v>
      </c>
      <c r="FG11" s="45">
        <v>43625</v>
      </c>
      <c r="FH11" s="45">
        <v>43626</v>
      </c>
      <c r="FI11" s="45">
        <v>43627</v>
      </c>
      <c r="FJ11" s="45">
        <v>43628</v>
      </c>
      <c r="FK11" s="45">
        <v>43629</v>
      </c>
      <c r="FL11" s="45">
        <v>43630</v>
      </c>
      <c r="FM11" s="45">
        <v>43631</v>
      </c>
      <c r="FN11" s="45">
        <v>43632</v>
      </c>
      <c r="FO11" s="45">
        <v>43633</v>
      </c>
      <c r="FP11" s="45">
        <v>43634</v>
      </c>
      <c r="FQ11" s="45">
        <v>43635</v>
      </c>
      <c r="FR11" s="45">
        <v>43636</v>
      </c>
      <c r="FS11" s="45">
        <v>43637</v>
      </c>
      <c r="FT11" s="45">
        <v>43638</v>
      </c>
      <c r="FU11" s="45">
        <v>43639</v>
      </c>
      <c r="FV11" s="45">
        <v>43640</v>
      </c>
      <c r="FW11" s="45">
        <v>43641</v>
      </c>
      <c r="FX11" s="45">
        <v>43642</v>
      </c>
      <c r="FY11" s="45">
        <v>43643</v>
      </c>
      <c r="FZ11" s="45">
        <v>43644</v>
      </c>
      <c r="GA11" s="45">
        <v>43645</v>
      </c>
      <c r="GB11" s="45">
        <v>43646</v>
      </c>
      <c r="GC11" s="45">
        <v>43647</v>
      </c>
      <c r="GD11" s="45">
        <v>43648</v>
      </c>
      <c r="GE11" s="45">
        <v>43649</v>
      </c>
      <c r="GF11" s="45">
        <v>43650</v>
      </c>
      <c r="GG11" s="45">
        <v>43651</v>
      </c>
      <c r="GH11" s="45">
        <v>43652</v>
      </c>
      <c r="GI11" s="45">
        <v>43653</v>
      </c>
      <c r="GJ11" s="45">
        <v>43654</v>
      </c>
      <c r="GK11" s="45">
        <v>43655</v>
      </c>
      <c r="GL11" s="45">
        <v>43656</v>
      </c>
      <c r="GM11" s="45">
        <v>43657</v>
      </c>
      <c r="GN11" s="45">
        <v>43658</v>
      </c>
      <c r="GO11" s="45">
        <v>43659</v>
      </c>
      <c r="GP11" s="45">
        <v>43660</v>
      </c>
      <c r="GQ11" s="45">
        <v>43661</v>
      </c>
      <c r="GR11" s="45">
        <v>43662</v>
      </c>
      <c r="GS11" s="45">
        <v>43663</v>
      </c>
      <c r="GT11" s="45">
        <v>43664</v>
      </c>
      <c r="GU11" s="45">
        <v>43665</v>
      </c>
      <c r="GV11" s="45">
        <v>43666</v>
      </c>
      <c r="GW11" s="45">
        <v>43667</v>
      </c>
      <c r="GX11" s="45">
        <v>43668</v>
      </c>
      <c r="GY11" s="45">
        <v>43669</v>
      </c>
      <c r="GZ11" s="45">
        <v>43670</v>
      </c>
      <c r="HA11" s="45">
        <v>43671</v>
      </c>
      <c r="HB11" s="45">
        <v>43672</v>
      </c>
      <c r="HC11" s="45">
        <v>43673</v>
      </c>
      <c r="HD11" s="45">
        <v>43674</v>
      </c>
      <c r="HE11" s="45">
        <v>43675</v>
      </c>
      <c r="HF11" s="45">
        <v>43676</v>
      </c>
      <c r="HG11" s="45">
        <v>43677</v>
      </c>
      <c r="HH11" s="45">
        <v>43678</v>
      </c>
      <c r="HI11" s="45">
        <v>43679</v>
      </c>
      <c r="HJ11" s="45">
        <v>43680</v>
      </c>
      <c r="HK11" s="45">
        <v>43681</v>
      </c>
      <c r="HL11" s="45">
        <v>43682</v>
      </c>
      <c r="HM11" s="45">
        <v>43683</v>
      </c>
      <c r="HN11" s="45">
        <v>43684</v>
      </c>
      <c r="HO11" s="45">
        <v>43685</v>
      </c>
      <c r="HP11" s="45">
        <v>43686</v>
      </c>
      <c r="HQ11" s="45">
        <v>43687</v>
      </c>
      <c r="HR11" s="45">
        <v>43688</v>
      </c>
      <c r="HS11" s="45">
        <v>43689</v>
      </c>
      <c r="HT11" s="45">
        <v>43690</v>
      </c>
      <c r="HU11" s="45">
        <v>43691</v>
      </c>
      <c r="HV11" s="45">
        <v>43692</v>
      </c>
      <c r="HW11" s="45">
        <v>43693</v>
      </c>
      <c r="HX11" s="45">
        <v>43694</v>
      </c>
      <c r="HY11" s="45">
        <v>43695</v>
      </c>
      <c r="HZ11" s="45">
        <v>43696</v>
      </c>
      <c r="IA11" s="45">
        <v>43697</v>
      </c>
      <c r="IB11" s="45">
        <v>43698</v>
      </c>
      <c r="IC11" s="45">
        <v>43699</v>
      </c>
      <c r="ID11" s="45">
        <v>43700</v>
      </c>
      <c r="IE11" s="45">
        <v>43701</v>
      </c>
      <c r="IF11" s="45">
        <v>43702</v>
      </c>
      <c r="IG11" s="45">
        <v>43703</v>
      </c>
      <c r="IH11" s="45">
        <v>43704</v>
      </c>
      <c r="II11" s="45">
        <v>43705</v>
      </c>
      <c r="IJ11" s="45">
        <v>43706</v>
      </c>
      <c r="IK11" s="45">
        <v>43707</v>
      </c>
      <c r="IL11" s="45">
        <v>43708</v>
      </c>
      <c r="IM11" s="45">
        <v>43709</v>
      </c>
      <c r="IN11" s="45">
        <v>43710</v>
      </c>
      <c r="IO11" s="45">
        <v>43711</v>
      </c>
      <c r="IP11" s="45">
        <v>43712</v>
      </c>
      <c r="IQ11" s="45">
        <v>43713</v>
      </c>
      <c r="IR11" s="45">
        <v>43714</v>
      </c>
      <c r="IS11" s="45">
        <v>43715</v>
      </c>
      <c r="IT11" s="45">
        <v>43716</v>
      </c>
      <c r="IU11" s="45">
        <v>43717</v>
      </c>
      <c r="IV11" s="45">
        <v>43718</v>
      </c>
      <c r="IW11" s="45">
        <v>43719</v>
      </c>
      <c r="IX11" s="45">
        <v>43720</v>
      </c>
      <c r="IY11" s="45">
        <v>43721</v>
      </c>
      <c r="IZ11" s="45">
        <v>43722</v>
      </c>
      <c r="JA11" s="45">
        <v>43723</v>
      </c>
      <c r="JB11" s="45">
        <v>43724</v>
      </c>
      <c r="JC11" s="45">
        <v>43725</v>
      </c>
      <c r="JD11" s="45">
        <v>43726</v>
      </c>
      <c r="JE11" s="45">
        <v>43727</v>
      </c>
      <c r="JF11" s="45">
        <v>43728</v>
      </c>
      <c r="JG11" s="45">
        <v>43729</v>
      </c>
      <c r="JH11" s="45">
        <v>43730</v>
      </c>
      <c r="JI11" s="45">
        <v>43731</v>
      </c>
      <c r="JJ11" s="45">
        <v>43732</v>
      </c>
      <c r="JK11" s="45">
        <v>43733</v>
      </c>
      <c r="JL11" s="45">
        <v>43734</v>
      </c>
      <c r="JM11" s="45">
        <v>43735</v>
      </c>
      <c r="JN11" s="45">
        <v>43736</v>
      </c>
      <c r="JO11" s="45">
        <v>43737</v>
      </c>
      <c r="JP11" s="45">
        <v>43738</v>
      </c>
      <c r="JQ11" s="45">
        <v>43739</v>
      </c>
      <c r="JR11" s="45">
        <v>43740</v>
      </c>
      <c r="JS11" s="45">
        <v>43741</v>
      </c>
      <c r="JT11" s="45">
        <v>43742</v>
      </c>
      <c r="JU11" s="45">
        <v>43743</v>
      </c>
      <c r="JV11" s="45">
        <v>43744</v>
      </c>
      <c r="JW11" s="45">
        <v>43745</v>
      </c>
      <c r="JX11" s="45">
        <v>43746</v>
      </c>
      <c r="JY11" s="45">
        <v>43747</v>
      </c>
      <c r="JZ11" s="45">
        <v>43748</v>
      </c>
      <c r="KA11" s="45">
        <v>43749</v>
      </c>
      <c r="KB11" s="45">
        <v>43750</v>
      </c>
      <c r="KC11" s="45">
        <v>43751</v>
      </c>
      <c r="KD11" s="45">
        <v>43752</v>
      </c>
      <c r="KE11" s="45">
        <v>43753</v>
      </c>
      <c r="KF11" s="45">
        <v>43754</v>
      </c>
      <c r="KG11" s="45">
        <v>43755</v>
      </c>
      <c r="KH11" s="45">
        <v>43756</v>
      </c>
      <c r="KI11" s="45">
        <v>43757</v>
      </c>
      <c r="KJ11" s="45">
        <v>43758</v>
      </c>
      <c r="KK11" s="45">
        <v>43759</v>
      </c>
      <c r="KL11" s="45">
        <v>43760</v>
      </c>
      <c r="KM11" s="45">
        <v>43761</v>
      </c>
      <c r="KN11" s="45">
        <v>43762</v>
      </c>
      <c r="KO11" s="45">
        <v>43763</v>
      </c>
      <c r="KP11" s="45">
        <v>43764</v>
      </c>
      <c r="KQ11" s="45">
        <v>43765</v>
      </c>
      <c r="KR11" s="45">
        <v>43766</v>
      </c>
      <c r="KS11" s="45">
        <v>43767</v>
      </c>
      <c r="KT11" s="45">
        <v>43768</v>
      </c>
      <c r="KU11" s="45">
        <v>43769</v>
      </c>
      <c r="KV11" s="45">
        <v>43770</v>
      </c>
      <c r="KW11" s="45">
        <v>43771</v>
      </c>
      <c r="KX11" s="45">
        <v>43772</v>
      </c>
      <c r="KY11" s="45">
        <v>43773</v>
      </c>
      <c r="KZ11" s="45">
        <v>43774</v>
      </c>
      <c r="LA11" s="45">
        <v>43775</v>
      </c>
      <c r="LB11" s="45">
        <v>43776</v>
      </c>
      <c r="LC11" s="45">
        <v>43777</v>
      </c>
      <c r="LD11" s="45">
        <v>43778</v>
      </c>
      <c r="LE11" s="45">
        <v>43779</v>
      </c>
      <c r="LF11" s="45">
        <v>43780</v>
      </c>
      <c r="LG11" s="45">
        <v>43781</v>
      </c>
      <c r="LH11" s="45">
        <v>43782</v>
      </c>
      <c r="LI11" s="45">
        <v>43783</v>
      </c>
      <c r="LJ11" s="45">
        <v>43784</v>
      </c>
      <c r="LK11" s="45">
        <v>43785</v>
      </c>
      <c r="LL11" s="45">
        <v>43786</v>
      </c>
      <c r="LM11" s="45">
        <v>43787</v>
      </c>
      <c r="LN11" s="45">
        <v>43788</v>
      </c>
      <c r="LO11" s="45">
        <v>43789</v>
      </c>
      <c r="LP11" s="45">
        <v>43790</v>
      </c>
      <c r="LQ11" s="45">
        <v>43791</v>
      </c>
      <c r="LR11" s="45">
        <v>43792</v>
      </c>
      <c r="LS11" s="45">
        <v>43793</v>
      </c>
      <c r="LT11" s="45">
        <v>43794</v>
      </c>
      <c r="LU11" s="45">
        <v>43795</v>
      </c>
      <c r="LV11" s="45">
        <v>43796</v>
      </c>
      <c r="LW11" s="45">
        <v>43797</v>
      </c>
      <c r="LX11" s="45">
        <v>43798</v>
      </c>
      <c r="LY11" s="45">
        <v>43799</v>
      </c>
      <c r="LZ11" s="45">
        <v>43800</v>
      </c>
      <c r="MA11" s="45">
        <v>43801</v>
      </c>
      <c r="MB11" s="45">
        <v>43802</v>
      </c>
      <c r="MC11" s="45">
        <v>43803</v>
      </c>
      <c r="MD11" s="45">
        <v>43804</v>
      </c>
      <c r="ME11" s="45">
        <v>43805</v>
      </c>
      <c r="MF11" s="45">
        <v>43806</v>
      </c>
      <c r="MG11" s="45">
        <v>43807</v>
      </c>
      <c r="MH11" s="45">
        <v>43808</v>
      </c>
      <c r="MI11" s="45">
        <v>43809</v>
      </c>
      <c r="MJ11" s="45">
        <v>43810</v>
      </c>
      <c r="MK11" s="45">
        <v>43811</v>
      </c>
      <c r="ML11" s="45">
        <v>43812</v>
      </c>
      <c r="MM11" s="45">
        <v>43813</v>
      </c>
      <c r="MN11" s="45">
        <v>43814</v>
      </c>
      <c r="MO11" s="45">
        <v>43815</v>
      </c>
      <c r="MP11" s="45">
        <v>43816</v>
      </c>
      <c r="MQ11" s="45">
        <v>43817</v>
      </c>
      <c r="MR11" s="45">
        <v>43818</v>
      </c>
      <c r="MS11" s="45">
        <v>43819</v>
      </c>
      <c r="MT11" s="45">
        <v>43820</v>
      </c>
      <c r="MU11" s="45">
        <v>43821</v>
      </c>
      <c r="MV11" s="45">
        <v>43822</v>
      </c>
      <c r="MW11" s="45">
        <v>43823</v>
      </c>
      <c r="MX11" s="45">
        <v>43824</v>
      </c>
      <c r="MY11" s="45">
        <v>43825</v>
      </c>
      <c r="MZ11" s="45">
        <v>43826</v>
      </c>
      <c r="NA11" s="45">
        <v>43827</v>
      </c>
      <c r="NB11" s="45">
        <v>43828</v>
      </c>
      <c r="NC11" s="45">
        <v>43829</v>
      </c>
      <c r="ND11" s="45">
        <v>43830</v>
      </c>
    </row>
    <row r="12" spans="1:368" s="12" customFormat="1" ht="10.15"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</row>
    <row r="13" spans="1:368">
      <c r="A13" s="1" t="s">
        <v>91</v>
      </c>
      <c r="B13" s="1" t="s">
        <v>75</v>
      </c>
      <c r="C13" s="1" t="s">
        <v>12</v>
      </c>
      <c r="D13" s="1" t="s">
        <v>0</v>
      </c>
      <c r="E13" s="1" t="s">
        <v>2</v>
      </c>
      <c r="F13" s="1" t="s">
        <v>4</v>
      </c>
      <c r="G13" s="1" t="s">
        <v>4</v>
      </c>
      <c r="K13" s="1" t="s">
        <v>0</v>
      </c>
      <c r="L13" s="1" t="s">
        <v>0</v>
      </c>
      <c r="M13" s="1" t="s">
        <v>2</v>
      </c>
      <c r="N13" s="1" t="s">
        <v>2</v>
      </c>
      <c r="O13" s="1" t="s">
        <v>4</v>
      </c>
      <c r="P13" s="1" t="s">
        <v>6</v>
      </c>
      <c r="T13" s="1" t="s">
        <v>0</v>
      </c>
      <c r="U13" s="1" t="s">
        <v>0</v>
      </c>
      <c r="V13" s="1" t="s">
        <v>2</v>
      </c>
      <c r="W13" s="1" t="s">
        <v>2</v>
      </c>
      <c r="X13" s="1" t="s">
        <v>4</v>
      </c>
      <c r="Y13" s="1" t="s">
        <v>4</v>
      </c>
      <c r="AC13" s="1" t="s">
        <v>0</v>
      </c>
      <c r="AD13" s="1" t="s">
        <v>0</v>
      </c>
      <c r="AE13" s="1" t="s">
        <v>2</v>
      </c>
      <c r="AF13" s="1" t="s">
        <v>2</v>
      </c>
      <c r="AG13" s="1" t="s">
        <v>4</v>
      </c>
      <c r="AL13" s="1" t="s">
        <v>0</v>
      </c>
      <c r="AM13" s="1" t="s">
        <v>0</v>
      </c>
      <c r="AN13" s="1" t="s">
        <v>2</v>
      </c>
      <c r="AO13" s="1" t="s">
        <v>4</v>
      </c>
      <c r="AP13" s="1" t="s">
        <v>4</v>
      </c>
      <c r="AU13" s="1" t="s">
        <v>0</v>
      </c>
      <c r="AV13" s="1" t="s">
        <v>2</v>
      </c>
      <c r="AW13" s="1" t="s">
        <v>2</v>
      </c>
      <c r="AX13" s="1" t="s">
        <v>4</v>
      </c>
      <c r="AY13" s="1" t="s">
        <v>4</v>
      </c>
      <c r="BC13" s="1" t="s">
        <v>0</v>
      </c>
      <c r="BD13" s="1" t="s">
        <v>0</v>
      </c>
      <c r="BE13" s="1" t="s">
        <v>2</v>
      </c>
      <c r="BF13" s="1" t="s">
        <v>2</v>
      </c>
      <c r="BG13" s="1" t="s">
        <v>4</v>
      </c>
      <c r="BH13" s="1" t="s">
        <v>4</v>
      </c>
      <c r="BL13" s="1" t="s">
        <v>0</v>
      </c>
      <c r="BM13" s="1" t="s">
        <v>0</v>
      </c>
      <c r="BN13" s="1" t="s">
        <v>2</v>
      </c>
      <c r="BO13" s="1" t="s">
        <v>2</v>
      </c>
      <c r="BP13" s="1" t="s">
        <v>4</v>
      </c>
      <c r="BU13" s="1" t="s">
        <v>0</v>
      </c>
      <c r="BV13" s="1" t="s">
        <v>0</v>
      </c>
      <c r="BW13" s="1" t="s">
        <v>2</v>
      </c>
      <c r="BX13" s="1" t="s">
        <v>4</v>
      </c>
      <c r="BY13" s="1" t="s">
        <v>4</v>
      </c>
      <c r="CD13" s="1" t="s">
        <v>0</v>
      </c>
      <c r="CE13" s="1" t="s">
        <v>2</v>
      </c>
      <c r="CF13" s="1" t="s">
        <v>2</v>
      </c>
      <c r="CG13" s="1" t="s">
        <v>4</v>
      </c>
      <c r="CH13" s="1" t="s">
        <v>4</v>
      </c>
      <c r="CL13" s="1" t="s">
        <v>0</v>
      </c>
      <c r="CM13" s="1" t="s">
        <v>0</v>
      </c>
      <c r="CN13" s="1" t="s">
        <v>2</v>
      </c>
      <c r="CO13" s="1" t="s">
        <v>2</v>
      </c>
      <c r="CP13" s="1" t="s">
        <v>4</v>
      </c>
      <c r="CQ13" s="1" t="s">
        <v>4</v>
      </c>
      <c r="CU13" s="1" t="s">
        <v>0</v>
      </c>
      <c r="CV13" s="1" t="s">
        <v>0</v>
      </c>
      <c r="CW13" s="1" t="s">
        <v>2</v>
      </c>
      <c r="CX13" s="1" t="s">
        <v>2</v>
      </c>
      <c r="CY13" s="1" t="s">
        <v>4</v>
      </c>
      <c r="DD13" s="1" t="s">
        <v>0</v>
      </c>
      <c r="DE13" s="1" t="s">
        <v>0</v>
      </c>
      <c r="DF13" s="1" t="s">
        <v>2</v>
      </c>
      <c r="DG13" s="1" t="s">
        <v>4</v>
      </c>
      <c r="DH13" s="1" t="s">
        <v>4</v>
      </c>
      <c r="DM13" s="1" t="s">
        <v>0</v>
      </c>
      <c r="DN13" s="1" t="s">
        <v>2</v>
      </c>
      <c r="DO13" s="1" t="s">
        <v>2</v>
      </c>
      <c r="DP13" s="1" t="s">
        <v>4</v>
      </c>
      <c r="DQ13" s="1" t="s">
        <v>4</v>
      </c>
      <c r="DU13" s="1" t="s">
        <v>0</v>
      </c>
      <c r="DV13" s="1" t="s">
        <v>0</v>
      </c>
      <c r="DW13" s="1" t="s">
        <v>2</v>
      </c>
      <c r="DX13" s="1" t="s">
        <v>2</v>
      </c>
      <c r="DY13" s="1" t="s">
        <v>4</v>
      </c>
      <c r="DZ13" s="1" t="s">
        <v>4</v>
      </c>
      <c r="ED13" s="1" t="s">
        <v>0</v>
      </c>
      <c r="EE13" s="1" t="s">
        <v>0</v>
      </c>
      <c r="EF13" s="1" t="s">
        <v>2</v>
      </c>
      <c r="EG13" s="1" t="s">
        <v>2</v>
      </c>
      <c r="EH13" s="1" t="s">
        <v>4</v>
      </c>
      <c r="EM13" s="1" t="s">
        <v>0</v>
      </c>
      <c r="EN13" s="1" t="s">
        <v>0</v>
      </c>
      <c r="EO13" s="1" t="s">
        <v>2</v>
      </c>
      <c r="EP13" s="1" t="s">
        <v>4</v>
      </c>
      <c r="EQ13" s="1" t="s">
        <v>4</v>
      </c>
      <c r="EV13" s="1" t="s">
        <v>0</v>
      </c>
      <c r="EW13" s="1" t="s">
        <v>2</v>
      </c>
      <c r="EX13" s="1" t="s">
        <v>2</v>
      </c>
      <c r="EY13" s="1" t="s">
        <v>4</v>
      </c>
      <c r="EZ13" s="1" t="s">
        <v>4</v>
      </c>
      <c r="FD13" s="1" t="s">
        <v>0</v>
      </c>
      <c r="FE13" s="1" t="s">
        <v>0</v>
      </c>
      <c r="FF13" s="1" t="s">
        <v>2</v>
      </c>
      <c r="FG13" s="1" t="s">
        <v>2</v>
      </c>
      <c r="FH13" s="1" t="s">
        <v>4</v>
      </c>
      <c r="FI13" s="1" t="s">
        <v>4</v>
      </c>
      <c r="FM13" s="1" t="s">
        <v>0</v>
      </c>
      <c r="FN13" s="1" t="s">
        <v>0</v>
      </c>
      <c r="FO13" s="1" t="s">
        <v>2</v>
      </c>
      <c r="FP13" s="1" t="s">
        <v>2</v>
      </c>
      <c r="FQ13" s="1" t="s">
        <v>4</v>
      </c>
      <c r="FV13" s="1" t="s">
        <v>0</v>
      </c>
      <c r="FW13" s="1" t="s">
        <v>0</v>
      </c>
      <c r="FX13" s="1" t="s">
        <v>2</v>
      </c>
      <c r="FY13" s="1" t="s">
        <v>4</v>
      </c>
      <c r="FZ13" s="1" t="s">
        <v>4</v>
      </c>
      <c r="GE13" s="1" t="s">
        <v>0</v>
      </c>
      <c r="GF13" s="1" t="s">
        <v>2</v>
      </c>
      <c r="GG13" s="1" t="s">
        <v>2</v>
      </c>
      <c r="GH13" s="1" t="s">
        <v>4</v>
      </c>
      <c r="GI13" s="1" t="s">
        <v>4</v>
      </c>
      <c r="GM13" s="1" t="s">
        <v>0</v>
      </c>
      <c r="GN13" s="1" t="s">
        <v>0</v>
      </c>
      <c r="GO13" s="1" t="s">
        <v>2</v>
      </c>
      <c r="GP13" s="1" t="s">
        <v>2</v>
      </c>
      <c r="GQ13" s="1" t="s">
        <v>4</v>
      </c>
      <c r="GR13" s="1" t="s">
        <v>4</v>
      </c>
      <c r="GV13" s="1" t="s">
        <v>0</v>
      </c>
      <c r="GW13" s="1" t="s">
        <v>0</v>
      </c>
      <c r="GX13" s="1" t="s">
        <v>2</v>
      </c>
      <c r="GY13" s="1" t="s">
        <v>2</v>
      </c>
      <c r="GZ13" s="1" t="s">
        <v>4</v>
      </c>
      <c r="HE13" s="1" t="s">
        <v>0</v>
      </c>
      <c r="HF13" s="1" t="s">
        <v>0</v>
      </c>
      <c r="HG13" s="1" t="s">
        <v>2</v>
      </c>
      <c r="HH13" s="1" t="s">
        <v>4</v>
      </c>
      <c r="HI13" s="1" t="s">
        <v>4</v>
      </c>
      <c r="HN13" s="1" t="s">
        <v>0</v>
      </c>
      <c r="HO13" s="1" t="s">
        <v>2</v>
      </c>
      <c r="HP13" s="1" t="s">
        <v>2</v>
      </c>
      <c r="HQ13" s="1" t="s">
        <v>4</v>
      </c>
      <c r="HR13" s="1" t="s">
        <v>4</v>
      </c>
      <c r="HV13" s="1" t="s">
        <v>0</v>
      </c>
      <c r="HW13" s="1" t="s">
        <v>0</v>
      </c>
      <c r="HX13" s="1" t="s">
        <v>2</v>
      </c>
      <c r="HY13" s="1" t="s">
        <v>2</v>
      </c>
      <c r="HZ13" s="1" t="s">
        <v>4</v>
      </c>
      <c r="IA13" s="1" t="s">
        <v>4</v>
      </c>
      <c r="IE13" s="1" t="s">
        <v>0</v>
      </c>
      <c r="IF13" s="1" t="s">
        <v>0</v>
      </c>
      <c r="IG13" s="1" t="s">
        <v>2</v>
      </c>
      <c r="IH13" s="1" t="s">
        <v>2</v>
      </c>
      <c r="II13" s="1" t="s">
        <v>4</v>
      </c>
      <c r="IN13" s="1" t="s">
        <v>0</v>
      </c>
      <c r="IO13" s="1" t="s">
        <v>0</v>
      </c>
      <c r="IP13" s="1" t="s">
        <v>2</v>
      </c>
      <c r="IQ13" s="1" t="s">
        <v>4</v>
      </c>
      <c r="IR13" s="1" t="s">
        <v>4</v>
      </c>
      <c r="IW13" s="1" t="s">
        <v>0</v>
      </c>
      <c r="IX13" s="1" t="s">
        <v>2</v>
      </c>
      <c r="IY13" s="1" t="s">
        <v>2</v>
      </c>
      <c r="IZ13" s="1" t="s">
        <v>4</v>
      </c>
      <c r="JA13" s="1" t="s">
        <v>4</v>
      </c>
      <c r="JE13" s="1" t="s">
        <v>0</v>
      </c>
      <c r="JF13" s="1" t="s">
        <v>0</v>
      </c>
      <c r="JG13" s="1" t="s">
        <v>2</v>
      </c>
      <c r="JH13" s="1" t="s">
        <v>2</v>
      </c>
      <c r="JI13" s="1" t="s">
        <v>4</v>
      </c>
      <c r="JJ13" s="1" t="s">
        <v>4</v>
      </c>
      <c r="JN13" s="1" t="s">
        <v>0</v>
      </c>
      <c r="JO13" s="1" t="s">
        <v>0</v>
      </c>
      <c r="JP13" s="1" t="s">
        <v>2</v>
      </c>
      <c r="JQ13" s="1" t="s">
        <v>2</v>
      </c>
      <c r="JR13" s="1" t="s">
        <v>4</v>
      </c>
      <c r="JW13" s="1" t="s">
        <v>0</v>
      </c>
      <c r="JX13" s="1" t="s">
        <v>0</v>
      </c>
      <c r="JY13" s="1" t="s">
        <v>2</v>
      </c>
      <c r="JZ13" s="1" t="s">
        <v>4</v>
      </c>
      <c r="KA13" s="1" t="s">
        <v>4</v>
      </c>
      <c r="KF13" s="1" t="s">
        <v>0</v>
      </c>
      <c r="KG13" s="1" t="s">
        <v>2</v>
      </c>
      <c r="KH13" s="1" t="s">
        <v>2</v>
      </c>
      <c r="KI13" s="1" t="s">
        <v>4</v>
      </c>
      <c r="KJ13" s="1" t="s">
        <v>4</v>
      </c>
      <c r="KN13" s="1" t="s">
        <v>0</v>
      </c>
      <c r="KO13" s="1" t="s">
        <v>0</v>
      </c>
      <c r="KP13" s="1" t="s">
        <v>2</v>
      </c>
      <c r="KQ13" s="1" t="s">
        <v>2</v>
      </c>
      <c r="KR13" s="1" t="s">
        <v>4</v>
      </c>
      <c r="KS13" s="1" t="s">
        <v>4</v>
      </c>
      <c r="KW13" s="1" t="s">
        <v>0</v>
      </c>
      <c r="KX13" s="1" t="s">
        <v>0</v>
      </c>
      <c r="KY13" s="1" t="s">
        <v>2</v>
      </c>
      <c r="KZ13" s="1" t="s">
        <v>2</v>
      </c>
      <c r="LA13" s="1" t="s">
        <v>4</v>
      </c>
      <c r="LF13" s="1" t="s">
        <v>0</v>
      </c>
      <c r="LG13" s="1" t="s">
        <v>0</v>
      </c>
      <c r="LH13" s="1" t="s">
        <v>2</v>
      </c>
      <c r="LI13" s="1" t="s">
        <v>4</v>
      </c>
      <c r="LJ13" s="1" t="s">
        <v>4</v>
      </c>
      <c r="LO13" s="1" t="s">
        <v>0</v>
      </c>
      <c r="LP13" s="1" t="s">
        <v>2</v>
      </c>
      <c r="LQ13" s="1" t="s">
        <v>2</v>
      </c>
      <c r="LR13" s="1" t="s">
        <v>4</v>
      </c>
      <c r="LS13" s="1" t="s">
        <v>4</v>
      </c>
      <c r="LW13" s="1" t="s">
        <v>0</v>
      </c>
      <c r="LX13" s="1" t="s">
        <v>0</v>
      </c>
      <c r="LY13" s="1" t="s">
        <v>2</v>
      </c>
      <c r="LZ13" s="1" t="s">
        <v>2</v>
      </c>
      <c r="MA13" s="1" t="s">
        <v>4</v>
      </c>
      <c r="MB13" s="1" t="s">
        <v>4</v>
      </c>
      <c r="MF13" s="1" t="s">
        <v>0</v>
      </c>
      <c r="MG13" s="1" t="s">
        <v>0</v>
      </c>
      <c r="MH13" s="1" t="s">
        <v>2</v>
      </c>
      <c r="MI13" s="1" t="s">
        <v>2</v>
      </c>
      <c r="MJ13" s="1" t="s">
        <v>4</v>
      </c>
      <c r="MO13" s="1" t="s">
        <v>0</v>
      </c>
      <c r="MP13" s="1" t="s">
        <v>0</v>
      </c>
      <c r="MQ13" s="1" t="s">
        <v>2</v>
      </c>
      <c r="MR13" s="1" t="s">
        <v>4</v>
      </c>
      <c r="MS13" s="1" t="s">
        <v>4</v>
      </c>
      <c r="MX13" s="1" t="s">
        <v>0</v>
      </c>
      <c r="MY13" s="1" t="s">
        <v>2</v>
      </c>
      <c r="MZ13" s="1" t="s">
        <v>2</v>
      </c>
      <c r="NA13" s="1" t="s">
        <v>4</v>
      </c>
      <c r="NB13" s="1" t="s">
        <v>4</v>
      </c>
    </row>
    <row r="15" spans="1:368">
      <c r="A15" s="1" t="s">
        <v>77</v>
      </c>
      <c r="B15" s="1" t="s">
        <v>77</v>
      </c>
      <c r="C15" s="1" t="s">
        <v>6</v>
      </c>
      <c r="D15" s="1" t="s">
        <v>6</v>
      </c>
      <c r="E15" s="1" t="s">
        <v>6</v>
      </c>
      <c r="F15" s="1" t="s">
        <v>6</v>
      </c>
      <c r="G15" s="1" t="s">
        <v>6</v>
      </c>
      <c r="H15" s="1" t="s">
        <v>6</v>
      </c>
      <c r="I15" s="1" t="s">
        <v>6</v>
      </c>
      <c r="J15" s="1" t="s">
        <v>6</v>
      </c>
      <c r="K15" s="1" t="s">
        <v>6</v>
      </c>
      <c r="L15" s="1" t="s">
        <v>6</v>
      </c>
      <c r="M15" s="1" t="s">
        <v>6</v>
      </c>
      <c r="N15" s="1" t="s">
        <v>6</v>
      </c>
      <c r="O15" s="1" t="s">
        <v>2</v>
      </c>
      <c r="P15" s="1" t="s">
        <v>4</v>
      </c>
      <c r="R15" s="1" t="s">
        <v>8</v>
      </c>
      <c r="S15" s="1" t="s">
        <v>8</v>
      </c>
      <c r="U15" s="1" t="s">
        <v>0</v>
      </c>
      <c r="V15" s="1" t="s">
        <v>8</v>
      </c>
      <c r="W15" s="1" t="s">
        <v>8</v>
      </c>
      <c r="X15" s="1" t="s">
        <v>8</v>
      </c>
      <c r="Y15" s="1" t="s">
        <v>8</v>
      </c>
      <c r="AC15" s="1" t="s">
        <v>8</v>
      </c>
      <c r="AD15" s="1" t="s">
        <v>8</v>
      </c>
      <c r="AE15" s="1" t="s">
        <v>8</v>
      </c>
      <c r="AF15" s="1" t="s">
        <v>8</v>
      </c>
      <c r="AG15" s="1" t="s">
        <v>8</v>
      </c>
      <c r="AJ15" s="1" t="s">
        <v>8</v>
      </c>
      <c r="AK15" s="1" t="s">
        <v>8</v>
      </c>
      <c r="AL15" s="1" t="s">
        <v>8</v>
      </c>
      <c r="AM15" s="1" t="s">
        <v>8</v>
      </c>
      <c r="AN15" s="1" t="s">
        <v>8</v>
      </c>
      <c r="AQ15" s="1" t="s">
        <v>8</v>
      </c>
      <c r="AR15" s="1" t="s">
        <v>8</v>
      </c>
      <c r="AS15" s="1" t="s">
        <v>8</v>
      </c>
      <c r="AT15" s="1" t="s">
        <v>8</v>
      </c>
      <c r="AU15" s="1" t="s">
        <v>8</v>
      </c>
      <c r="AX15" s="1" t="s">
        <v>8</v>
      </c>
      <c r="AY15" s="1" t="s">
        <v>8</v>
      </c>
      <c r="AZ15" s="1" t="s">
        <v>8</v>
      </c>
      <c r="BA15" s="1" t="s">
        <v>8</v>
      </c>
      <c r="BB15" s="1" t="s">
        <v>8</v>
      </c>
      <c r="BE15" s="1" t="s">
        <v>8</v>
      </c>
      <c r="BF15" s="1" t="s">
        <v>8</v>
      </c>
      <c r="BG15" s="1" t="s">
        <v>8</v>
      </c>
      <c r="BH15" s="1" t="s">
        <v>8</v>
      </c>
      <c r="BK15" s="1" t="s">
        <v>2</v>
      </c>
      <c r="BL15" s="1" t="s">
        <v>4</v>
      </c>
      <c r="BM15" s="1" t="s">
        <v>4</v>
      </c>
      <c r="BQ15" s="1" t="s">
        <v>2</v>
      </c>
      <c r="BR15" s="1" t="s">
        <v>2</v>
      </c>
      <c r="BS15" s="1" t="s">
        <v>2</v>
      </c>
      <c r="BT15" s="1" t="s">
        <v>2</v>
      </c>
      <c r="BU15" s="1" t="s">
        <v>4</v>
      </c>
      <c r="BV15" s="1" t="s">
        <v>4</v>
      </c>
      <c r="BX15" s="1" t="s">
        <v>4</v>
      </c>
      <c r="BY15" s="1" t="s">
        <v>4</v>
      </c>
      <c r="CB15" s="1" t="s">
        <v>2</v>
      </c>
      <c r="CC15" s="1" t="s">
        <v>2</v>
      </c>
      <c r="CD15" s="1" t="s">
        <v>4</v>
      </c>
      <c r="CG15" s="1" t="s">
        <v>4</v>
      </c>
      <c r="CH15" s="1" t="s">
        <v>4</v>
      </c>
      <c r="CK15" s="1" t="s">
        <v>2</v>
      </c>
      <c r="CL15" s="1" t="s">
        <v>4</v>
      </c>
      <c r="CM15" s="1" t="s">
        <v>4</v>
      </c>
      <c r="CR15" s="1" t="s">
        <v>0</v>
      </c>
      <c r="CS15" s="1" t="s">
        <v>2</v>
      </c>
      <c r="CT15" s="1" t="s">
        <v>2</v>
      </c>
      <c r="CU15" s="1" t="s">
        <v>4</v>
      </c>
      <c r="CV15" s="1" t="s">
        <v>4</v>
      </c>
      <c r="CZ15" s="1" t="s">
        <v>0</v>
      </c>
      <c r="DA15" s="1" t="s">
        <v>0</v>
      </c>
      <c r="DB15" s="1" t="s">
        <v>2</v>
      </c>
      <c r="DC15" s="1" t="s">
        <v>2</v>
      </c>
      <c r="DD15" s="1" t="s">
        <v>4</v>
      </c>
      <c r="DE15" s="1" t="s">
        <v>4</v>
      </c>
      <c r="DI15" s="1" t="s">
        <v>0</v>
      </c>
      <c r="DJ15" s="1" t="s">
        <v>8</v>
      </c>
      <c r="DK15" s="1" t="s">
        <v>8</v>
      </c>
      <c r="DL15" s="1" t="s">
        <v>8</v>
      </c>
      <c r="DM15" s="1" t="s">
        <v>8</v>
      </c>
      <c r="DP15" s="1" t="s">
        <v>8</v>
      </c>
      <c r="DQ15" s="1" t="s">
        <v>8</v>
      </c>
      <c r="DR15" s="1" t="s">
        <v>8</v>
      </c>
      <c r="DS15" s="1" t="s">
        <v>8</v>
      </c>
      <c r="DT15" s="1" t="s">
        <v>8</v>
      </c>
      <c r="DW15" s="1" t="s">
        <v>8</v>
      </c>
      <c r="DX15" s="1" t="s">
        <v>8</v>
      </c>
      <c r="DY15" s="1" t="s">
        <v>8</v>
      </c>
      <c r="DZ15" s="1" t="s">
        <v>8</v>
      </c>
      <c r="EA15" s="1" t="s">
        <v>8</v>
      </c>
      <c r="ED15" s="1" t="s">
        <v>8</v>
      </c>
      <c r="EE15" s="1" t="s">
        <v>8</v>
      </c>
      <c r="EF15" s="1" t="s">
        <v>8</v>
      </c>
      <c r="EG15" s="1" t="s">
        <v>8</v>
      </c>
      <c r="EH15" s="1" t="s">
        <v>8</v>
      </c>
      <c r="EM15" s="1" t="s">
        <v>0</v>
      </c>
      <c r="EN15" s="1" t="s">
        <v>0</v>
      </c>
      <c r="EO15" s="1" t="s">
        <v>2</v>
      </c>
      <c r="EP15" s="1" t="s">
        <v>4</v>
      </c>
      <c r="EQ15" s="1" t="s">
        <v>4</v>
      </c>
      <c r="EV15" s="1" t="s">
        <v>0</v>
      </c>
      <c r="EW15" s="1" t="s">
        <v>2</v>
      </c>
      <c r="EX15" s="1" t="s">
        <v>2</v>
      </c>
      <c r="EY15" s="1" t="s">
        <v>4</v>
      </c>
      <c r="EZ15" s="1" t="s">
        <v>4</v>
      </c>
      <c r="FD15" s="1" t="s">
        <v>0</v>
      </c>
      <c r="FE15" s="1" t="s">
        <v>0</v>
      </c>
      <c r="FF15" s="1" t="s">
        <v>2</v>
      </c>
      <c r="FG15" s="1" t="s">
        <v>2</v>
      </c>
      <c r="FH15" s="1" t="s">
        <v>4</v>
      </c>
      <c r="FI15" s="1" t="s">
        <v>4</v>
      </c>
      <c r="FM15" s="1" t="s">
        <v>0</v>
      </c>
      <c r="FN15" s="1" t="s">
        <v>0</v>
      </c>
      <c r="FO15" s="1" t="s">
        <v>2</v>
      </c>
      <c r="FP15" s="1" t="s">
        <v>2</v>
      </c>
      <c r="FQ15" s="1" t="s">
        <v>4</v>
      </c>
      <c r="FV15" s="1" t="s">
        <v>0</v>
      </c>
      <c r="FW15" s="1" t="s">
        <v>0</v>
      </c>
      <c r="FX15" s="1" t="s">
        <v>0</v>
      </c>
      <c r="FY15" s="1" t="s">
        <v>4</v>
      </c>
      <c r="FZ15" s="1" t="s">
        <v>4</v>
      </c>
      <c r="GE15" s="1" t="s">
        <v>0</v>
      </c>
      <c r="GF15" s="1" t="s">
        <v>2</v>
      </c>
      <c r="GG15" s="1" t="s">
        <v>2</v>
      </c>
      <c r="GH15" s="1" t="s">
        <v>4</v>
      </c>
      <c r="GI15" s="1" t="s">
        <v>4</v>
      </c>
      <c r="GM15" s="1" t="s">
        <v>0</v>
      </c>
      <c r="GN15" s="1" t="s">
        <v>0</v>
      </c>
      <c r="GO15" s="1" t="s">
        <v>2</v>
      </c>
      <c r="GP15" s="1" t="s">
        <v>2</v>
      </c>
      <c r="GQ15" s="1" t="s">
        <v>4</v>
      </c>
      <c r="GR15" s="1" t="s">
        <v>4</v>
      </c>
      <c r="GV15" s="1" t="s">
        <v>0</v>
      </c>
      <c r="GW15" s="1" t="s">
        <v>0</v>
      </c>
      <c r="GX15" s="1" t="s">
        <v>2</v>
      </c>
      <c r="GY15" s="1" t="s">
        <v>2</v>
      </c>
      <c r="GZ15" s="1" t="s">
        <v>4</v>
      </c>
      <c r="HE15" s="1" t="s">
        <v>0</v>
      </c>
      <c r="HF15" s="1" t="s">
        <v>0</v>
      </c>
      <c r="HG15" s="1" t="s">
        <v>2</v>
      </c>
      <c r="HH15" s="1" t="s">
        <v>4</v>
      </c>
      <c r="HI15" s="1" t="s">
        <v>4</v>
      </c>
      <c r="HN15" s="1" t="s">
        <v>0</v>
      </c>
      <c r="HO15" s="1" t="s">
        <v>2</v>
      </c>
      <c r="HP15" s="1" t="s">
        <v>2</v>
      </c>
      <c r="HQ15" s="1" t="s">
        <v>4</v>
      </c>
      <c r="HR15" s="1" t="s">
        <v>4</v>
      </c>
      <c r="HV15" s="1" t="s">
        <v>0</v>
      </c>
      <c r="HW15" s="1" t="s">
        <v>0</v>
      </c>
      <c r="HX15" s="1" t="s">
        <v>2</v>
      </c>
      <c r="HY15" s="1" t="s">
        <v>2</v>
      </c>
      <c r="HZ15" s="1" t="s">
        <v>4</v>
      </c>
      <c r="IA15" s="1" t="s">
        <v>4</v>
      </c>
      <c r="IE15" s="1" t="s">
        <v>0</v>
      </c>
      <c r="IF15" s="1" t="s">
        <v>0</v>
      </c>
      <c r="IG15" s="1" t="s">
        <v>2</v>
      </c>
      <c r="IH15" s="1" t="s">
        <v>2</v>
      </c>
      <c r="II15" s="1" t="s">
        <v>4</v>
      </c>
      <c r="IN15" s="1" t="s">
        <v>0</v>
      </c>
      <c r="IO15" s="1" t="s">
        <v>0</v>
      </c>
      <c r="IP15" s="1" t="s">
        <v>2</v>
      </c>
      <c r="IQ15" s="1" t="s">
        <v>4</v>
      </c>
      <c r="IR15" s="1" t="s">
        <v>4</v>
      </c>
      <c r="IW15" s="1" t="s">
        <v>0</v>
      </c>
      <c r="IX15" s="1" t="s">
        <v>2</v>
      </c>
      <c r="IY15" s="1" t="s">
        <v>2</v>
      </c>
      <c r="IZ15" s="1" t="s">
        <v>4</v>
      </c>
      <c r="JA15" s="1" t="s">
        <v>4</v>
      </c>
      <c r="JE15" s="1" t="s">
        <v>0</v>
      </c>
      <c r="JF15" s="1" t="s">
        <v>0</v>
      </c>
      <c r="JG15" s="1" t="s">
        <v>2</v>
      </c>
      <c r="JH15" s="1" t="s">
        <v>2</v>
      </c>
      <c r="JI15" s="1" t="s">
        <v>4</v>
      </c>
      <c r="JJ15" s="1" t="s">
        <v>4</v>
      </c>
      <c r="JN15" s="1" t="s">
        <v>0</v>
      </c>
      <c r="JO15" s="1" t="s">
        <v>0</v>
      </c>
      <c r="JP15" s="1" t="s">
        <v>2</v>
      </c>
      <c r="JQ15" s="1" t="s">
        <v>2</v>
      </c>
      <c r="JR15" s="1" t="s">
        <v>4</v>
      </c>
      <c r="JW15" s="1" t="s">
        <v>0</v>
      </c>
      <c r="JX15" s="1" t="s">
        <v>0</v>
      </c>
      <c r="JY15" s="1" t="s">
        <v>2</v>
      </c>
      <c r="JZ15" s="1" t="s">
        <v>4</v>
      </c>
      <c r="KA15" s="1" t="s">
        <v>4</v>
      </c>
      <c r="KF15" s="1" t="s">
        <v>0</v>
      </c>
      <c r="KG15" s="1" t="s">
        <v>2</v>
      </c>
      <c r="KH15" s="1" t="s">
        <v>2</v>
      </c>
      <c r="KI15" s="1" t="s">
        <v>4</v>
      </c>
      <c r="KJ15" s="1" t="s">
        <v>4</v>
      </c>
      <c r="KN15" s="1" t="s">
        <v>0</v>
      </c>
      <c r="KO15" s="1" t="s">
        <v>0</v>
      </c>
      <c r="KP15" s="1" t="s">
        <v>2</v>
      </c>
      <c r="KQ15" s="1" t="s">
        <v>2</v>
      </c>
      <c r="KR15" s="1" t="s">
        <v>4</v>
      </c>
      <c r="KS15" s="1" t="s">
        <v>4</v>
      </c>
      <c r="KW15" s="1" t="s">
        <v>0</v>
      </c>
      <c r="KX15" s="1" t="s">
        <v>0</v>
      </c>
      <c r="KY15" s="1" t="s">
        <v>2</v>
      </c>
      <c r="KZ15" s="1" t="s">
        <v>2</v>
      </c>
      <c r="LA15" s="1" t="s">
        <v>4</v>
      </c>
      <c r="LF15" s="1" t="s">
        <v>0</v>
      </c>
      <c r="LG15" s="1" t="s">
        <v>0</v>
      </c>
      <c r="LH15" s="1" t="s">
        <v>2</v>
      </c>
      <c r="LI15" s="1" t="s">
        <v>4</v>
      </c>
      <c r="LJ15" s="1" t="s">
        <v>4</v>
      </c>
      <c r="LO15" s="1" t="s">
        <v>0</v>
      </c>
      <c r="LP15" s="1" t="s">
        <v>2</v>
      </c>
      <c r="LQ15" s="1" t="s">
        <v>2</v>
      </c>
      <c r="LR15" s="1" t="s">
        <v>4</v>
      </c>
      <c r="LS15" s="1" t="s">
        <v>4</v>
      </c>
      <c r="LW15" s="1" t="s">
        <v>0</v>
      </c>
      <c r="LX15" s="1" t="s">
        <v>0</v>
      </c>
      <c r="LY15" s="1" t="s">
        <v>2</v>
      </c>
      <c r="LZ15" s="1" t="s">
        <v>2</v>
      </c>
      <c r="MA15" s="1" t="s">
        <v>4</v>
      </c>
      <c r="MB15" s="1" t="s">
        <v>4</v>
      </c>
      <c r="MF15" s="1" t="s">
        <v>0</v>
      </c>
      <c r="MG15" s="1" t="s">
        <v>0</v>
      </c>
      <c r="MH15" s="1" t="s">
        <v>2</v>
      </c>
      <c r="MI15" s="1" t="s">
        <v>2</v>
      </c>
      <c r="MJ15" s="1" t="s">
        <v>4</v>
      </c>
      <c r="MO15" s="1" t="s">
        <v>0</v>
      </c>
      <c r="MP15" s="1" t="s">
        <v>0</v>
      </c>
      <c r="MQ15" s="1" t="s">
        <v>2</v>
      </c>
      <c r="MR15" s="1" t="s">
        <v>4</v>
      </c>
      <c r="MS15" s="1" t="s">
        <v>4</v>
      </c>
      <c r="MX15" s="1" t="s">
        <v>0</v>
      </c>
      <c r="MY15" s="1" t="s">
        <v>2</v>
      </c>
      <c r="MZ15" s="1" t="s">
        <v>2</v>
      </c>
      <c r="NA15" s="1" t="s">
        <v>4</v>
      </c>
      <c r="NB15" s="1" t="s">
        <v>4</v>
      </c>
    </row>
    <row r="16" spans="1:368">
      <c r="DY16" s="1" t="s">
        <v>122</v>
      </c>
      <c r="ER16" s="1" t="s">
        <v>0</v>
      </c>
      <c r="ES16" s="1" t="s">
        <v>0</v>
      </c>
      <c r="ET16" s="1" t="s">
        <v>101</v>
      </c>
      <c r="EU16" s="1" t="s">
        <v>101</v>
      </c>
      <c r="EV16" s="1" t="s">
        <v>4</v>
      </c>
    </row>
    <row r="17" spans="1:368">
      <c r="A17" s="1" t="s">
        <v>79</v>
      </c>
      <c r="B17" s="1" t="s">
        <v>79</v>
      </c>
      <c r="C17" s="1" t="s">
        <v>12</v>
      </c>
      <c r="D17" s="1" t="s">
        <v>0</v>
      </c>
      <c r="E17" s="1" t="s">
        <v>2</v>
      </c>
      <c r="F17" s="1" t="s">
        <v>4</v>
      </c>
      <c r="G17" s="1" t="s">
        <v>12</v>
      </c>
      <c r="H17" s="1" t="s">
        <v>2</v>
      </c>
      <c r="N17" s="1" t="s">
        <v>0</v>
      </c>
      <c r="O17" s="1" t="s">
        <v>0</v>
      </c>
      <c r="P17" s="1" t="s">
        <v>8</v>
      </c>
      <c r="Q17" s="1" t="s">
        <v>2</v>
      </c>
      <c r="R17" s="1" t="s">
        <v>2</v>
      </c>
      <c r="S17" s="1" t="s">
        <v>4</v>
      </c>
      <c r="X17" s="1" t="s">
        <v>0</v>
      </c>
      <c r="Y17" s="1" t="s">
        <v>0</v>
      </c>
      <c r="Z17" s="1" t="s">
        <v>2</v>
      </c>
      <c r="AA17" s="1" t="s">
        <v>4</v>
      </c>
      <c r="AB17" s="1" t="s">
        <v>4</v>
      </c>
      <c r="AG17" s="1" t="s">
        <v>0</v>
      </c>
      <c r="AH17" s="1" t="s">
        <v>2</v>
      </c>
      <c r="AI17" s="1" t="s">
        <v>2</v>
      </c>
      <c r="AJ17" s="1" t="s">
        <v>4</v>
      </c>
      <c r="AK17" s="1" t="s">
        <v>4</v>
      </c>
      <c r="AO17" s="1" t="s">
        <v>0</v>
      </c>
      <c r="AP17" s="1" t="s">
        <v>0</v>
      </c>
      <c r="AQ17" s="1" t="s">
        <v>2</v>
      </c>
      <c r="AR17" s="1" t="s">
        <v>2</v>
      </c>
      <c r="AS17" s="1" t="s">
        <v>4</v>
      </c>
      <c r="AT17" s="1" t="s">
        <v>4</v>
      </c>
      <c r="AX17" s="1" t="s">
        <v>0</v>
      </c>
      <c r="AY17" s="1" t="s">
        <v>0</v>
      </c>
      <c r="AZ17" s="1" t="s">
        <v>2</v>
      </c>
      <c r="BA17" s="1" t="s">
        <v>2</v>
      </c>
      <c r="BB17" s="1" t="s">
        <v>4</v>
      </c>
      <c r="BG17" s="1" t="s">
        <v>0</v>
      </c>
      <c r="BH17" s="1" t="s">
        <v>0</v>
      </c>
      <c r="BI17" s="1" t="s">
        <v>2</v>
      </c>
      <c r="BJ17" s="1" t="s">
        <v>4</v>
      </c>
      <c r="BK17" s="1" t="s">
        <v>4</v>
      </c>
      <c r="BP17" s="1" t="s">
        <v>0</v>
      </c>
      <c r="BQ17" s="1" t="s">
        <v>0</v>
      </c>
      <c r="BR17" s="1" t="s">
        <v>0</v>
      </c>
      <c r="BS17" s="1" t="s">
        <v>4</v>
      </c>
      <c r="BT17" s="1" t="s">
        <v>4</v>
      </c>
      <c r="BX17" s="1" t="s">
        <v>0</v>
      </c>
      <c r="BY17" s="1" t="s">
        <v>0</v>
      </c>
      <c r="BZ17" s="1" t="s">
        <v>2</v>
      </c>
      <c r="CA17" s="1" t="s">
        <v>2</v>
      </c>
      <c r="CB17" s="1" t="s">
        <v>4</v>
      </c>
      <c r="CC17" s="1" t="s">
        <v>4</v>
      </c>
      <c r="CG17" s="1" t="s">
        <v>0</v>
      </c>
      <c r="CH17" s="1" t="s">
        <v>0</v>
      </c>
      <c r="CI17" s="1" t="s">
        <v>2</v>
      </c>
      <c r="CJ17" s="1" t="s">
        <v>2</v>
      </c>
      <c r="CK17" s="1" t="s">
        <v>4</v>
      </c>
      <c r="CP17" s="1" t="s">
        <v>0</v>
      </c>
      <c r="CQ17" s="1" t="s">
        <v>0</v>
      </c>
      <c r="CR17" s="1" t="s">
        <v>2</v>
      </c>
      <c r="CS17" s="1" t="s">
        <v>4</v>
      </c>
      <c r="CT17" s="1" t="s">
        <v>4</v>
      </c>
      <c r="CY17" s="1" t="s">
        <v>0</v>
      </c>
      <c r="CZ17" s="1" t="s">
        <v>2</v>
      </c>
      <c r="DA17" s="1" t="s">
        <v>2</v>
      </c>
      <c r="DB17" s="1" t="s">
        <v>4</v>
      </c>
      <c r="DC17" s="1" t="s">
        <v>4</v>
      </c>
      <c r="DG17" s="1" t="s">
        <v>0</v>
      </c>
      <c r="DH17" s="1" t="s">
        <v>0</v>
      </c>
      <c r="DI17" s="1" t="s">
        <v>2</v>
      </c>
      <c r="DJ17" s="1" t="s">
        <v>2</v>
      </c>
      <c r="DK17" s="1" t="s">
        <v>4</v>
      </c>
      <c r="DL17" s="1" t="s">
        <v>4</v>
      </c>
      <c r="DP17" s="1" t="s">
        <v>0</v>
      </c>
      <c r="DQ17" s="1" t="s">
        <v>0</v>
      </c>
      <c r="DR17" s="1" t="s">
        <v>2</v>
      </c>
      <c r="DS17" s="1" t="s">
        <v>2</v>
      </c>
      <c r="DT17" s="1" t="s">
        <v>4</v>
      </c>
      <c r="DY17" s="9" t="s">
        <v>123</v>
      </c>
      <c r="DZ17" s="1" t="s">
        <v>0</v>
      </c>
      <c r="EA17" s="1" t="s">
        <v>2</v>
      </c>
      <c r="EB17" s="1" t="s">
        <v>4</v>
      </c>
      <c r="EC17" s="1" t="s">
        <v>4</v>
      </c>
      <c r="EH17" s="1" t="s">
        <v>0</v>
      </c>
      <c r="EI17" s="1" t="s">
        <v>2</v>
      </c>
      <c r="EJ17" s="1" t="s">
        <v>2</v>
      </c>
      <c r="EK17" s="1" t="s">
        <v>4</v>
      </c>
      <c r="EL17" s="1" t="s">
        <v>4</v>
      </c>
      <c r="EP17" s="1" t="s">
        <v>0</v>
      </c>
      <c r="EQ17" s="1" t="s">
        <v>0</v>
      </c>
      <c r="ER17" s="1" t="s">
        <v>2</v>
      </c>
      <c r="ES17" s="1" t="s">
        <v>2</v>
      </c>
      <c r="ET17" s="1" t="s">
        <v>4</v>
      </c>
      <c r="EU17" s="1" t="s">
        <v>4</v>
      </c>
      <c r="EY17" s="1" t="s">
        <v>0</v>
      </c>
      <c r="EZ17" s="1" t="s">
        <v>0</v>
      </c>
      <c r="FA17" s="1" t="s">
        <v>2</v>
      </c>
      <c r="FB17" s="1" t="s">
        <v>2</v>
      </c>
      <c r="FC17" s="1" t="s">
        <v>4</v>
      </c>
      <c r="FH17" s="1" t="s">
        <v>0</v>
      </c>
      <c r="FI17" s="1" t="s">
        <v>0</v>
      </c>
      <c r="FJ17" s="1" t="s">
        <v>2</v>
      </c>
      <c r="FK17" s="1" t="s">
        <v>4</v>
      </c>
      <c r="FL17" s="1" t="s">
        <v>4</v>
      </c>
      <c r="FQ17" s="1" t="s">
        <v>0</v>
      </c>
      <c r="FR17" s="1" t="s">
        <v>2</v>
      </c>
      <c r="FS17" s="1" t="s">
        <v>2</v>
      </c>
      <c r="FT17" s="1" t="s">
        <v>4</v>
      </c>
      <c r="FU17" s="1" t="s">
        <v>4</v>
      </c>
      <c r="FY17" s="1" t="s">
        <v>0</v>
      </c>
      <c r="FZ17" s="1" t="s">
        <v>0</v>
      </c>
      <c r="GA17" s="1" t="s">
        <v>2</v>
      </c>
      <c r="GB17" s="1" t="s">
        <v>2</v>
      </c>
      <c r="GC17" s="1" t="s">
        <v>4</v>
      </c>
      <c r="GD17" s="1" t="s">
        <v>4</v>
      </c>
      <c r="GH17" s="1" t="s">
        <v>0</v>
      </c>
      <c r="GI17" s="1" t="s">
        <v>0</v>
      </c>
      <c r="GJ17" s="1" t="s">
        <v>2</v>
      </c>
      <c r="GK17" s="1" t="s">
        <v>2</v>
      </c>
      <c r="GL17" s="1" t="s">
        <v>4</v>
      </c>
      <c r="GQ17" s="1" t="s">
        <v>0</v>
      </c>
      <c r="GR17" s="1" t="s">
        <v>0</v>
      </c>
      <c r="GS17" s="1" t="s">
        <v>2</v>
      </c>
      <c r="GT17" s="1" t="s">
        <v>4</v>
      </c>
      <c r="GU17" s="1" t="s">
        <v>4</v>
      </c>
      <c r="GZ17" s="1" t="s">
        <v>0</v>
      </c>
      <c r="HA17" s="1" t="s">
        <v>2</v>
      </c>
      <c r="HB17" s="1" t="s">
        <v>2</v>
      </c>
      <c r="HC17" s="1" t="s">
        <v>4</v>
      </c>
      <c r="HD17" s="1" t="s">
        <v>4</v>
      </c>
      <c r="HH17" s="1" t="s">
        <v>0</v>
      </c>
      <c r="HI17" s="1" t="s">
        <v>0</v>
      </c>
      <c r="HJ17" s="1" t="s">
        <v>2</v>
      </c>
      <c r="HK17" s="1" t="s">
        <v>2</v>
      </c>
      <c r="HL17" s="1" t="s">
        <v>4</v>
      </c>
      <c r="HM17" s="1" t="s">
        <v>4</v>
      </c>
      <c r="HQ17" s="1" t="s">
        <v>0</v>
      </c>
      <c r="HR17" s="1" t="s">
        <v>0</v>
      </c>
      <c r="HS17" s="1" t="s">
        <v>2</v>
      </c>
      <c r="HT17" s="1" t="s">
        <v>2</v>
      </c>
      <c r="HU17" s="1" t="s">
        <v>4</v>
      </c>
      <c r="HZ17" s="1" t="s">
        <v>0</v>
      </c>
      <c r="IA17" s="1" t="s">
        <v>0</v>
      </c>
      <c r="IB17" s="1" t="s">
        <v>2</v>
      </c>
      <c r="IC17" s="1" t="s">
        <v>4</v>
      </c>
      <c r="ID17" s="1" t="s">
        <v>4</v>
      </c>
      <c r="II17" s="1" t="s">
        <v>0</v>
      </c>
      <c r="IJ17" s="1" t="s">
        <v>2</v>
      </c>
      <c r="IK17" s="1" t="s">
        <v>2</v>
      </c>
      <c r="IL17" s="1" t="s">
        <v>4</v>
      </c>
      <c r="IM17" s="1" t="s">
        <v>4</v>
      </c>
      <c r="IQ17" s="1" t="s">
        <v>0</v>
      </c>
      <c r="IR17" s="1" t="s">
        <v>0</v>
      </c>
      <c r="IS17" s="1" t="s">
        <v>2</v>
      </c>
      <c r="IT17" s="1" t="s">
        <v>2</v>
      </c>
      <c r="IU17" s="1" t="s">
        <v>4</v>
      </c>
      <c r="IV17" s="1" t="s">
        <v>4</v>
      </c>
      <c r="IZ17" s="1" t="s">
        <v>0</v>
      </c>
      <c r="JA17" s="1" t="s">
        <v>0</v>
      </c>
      <c r="JB17" s="1" t="s">
        <v>2</v>
      </c>
      <c r="JC17" s="1" t="s">
        <v>2</v>
      </c>
      <c r="JD17" s="1" t="s">
        <v>4</v>
      </c>
      <c r="JI17" s="1" t="s">
        <v>0</v>
      </c>
      <c r="JJ17" s="1" t="s">
        <v>0</v>
      </c>
      <c r="JK17" s="1" t="s">
        <v>2</v>
      </c>
      <c r="JL17" s="1" t="s">
        <v>4</v>
      </c>
      <c r="JM17" s="1" t="s">
        <v>4</v>
      </c>
      <c r="JR17" s="1" t="s">
        <v>0</v>
      </c>
      <c r="JS17" s="1" t="s">
        <v>2</v>
      </c>
      <c r="JT17" s="1" t="s">
        <v>2</v>
      </c>
      <c r="JU17" s="1" t="s">
        <v>4</v>
      </c>
      <c r="JV17" s="1" t="s">
        <v>4</v>
      </c>
      <c r="JZ17" s="1" t="s">
        <v>0</v>
      </c>
      <c r="KA17" s="1" t="s">
        <v>0</v>
      </c>
      <c r="KB17" s="1" t="s">
        <v>2</v>
      </c>
      <c r="KC17" s="1" t="s">
        <v>2</v>
      </c>
      <c r="KD17" s="1" t="s">
        <v>4</v>
      </c>
      <c r="KE17" s="1" t="s">
        <v>4</v>
      </c>
      <c r="KI17" s="1" t="s">
        <v>0</v>
      </c>
      <c r="KJ17" s="1" t="s">
        <v>0</v>
      </c>
      <c r="KK17" s="1" t="s">
        <v>2</v>
      </c>
      <c r="KL17" s="1" t="s">
        <v>2</v>
      </c>
      <c r="KM17" s="1" t="s">
        <v>4</v>
      </c>
      <c r="KR17" s="1" t="s">
        <v>0</v>
      </c>
      <c r="KS17" s="1" t="s">
        <v>0</v>
      </c>
      <c r="KT17" s="1" t="s">
        <v>2</v>
      </c>
      <c r="KU17" s="1" t="s">
        <v>4</v>
      </c>
      <c r="KV17" s="1" t="s">
        <v>4</v>
      </c>
      <c r="LA17" s="1" t="s">
        <v>0</v>
      </c>
      <c r="LB17" s="1" t="s">
        <v>2</v>
      </c>
      <c r="LC17" s="1" t="s">
        <v>2</v>
      </c>
      <c r="LD17" s="1" t="s">
        <v>4</v>
      </c>
      <c r="LE17" s="1" t="s">
        <v>4</v>
      </c>
      <c r="LI17" s="1" t="s">
        <v>0</v>
      </c>
      <c r="LJ17" s="1" t="s">
        <v>0</v>
      </c>
      <c r="LK17" s="1" t="s">
        <v>2</v>
      </c>
      <c r="LL17" s="1" t="s">
        <v>2</v>
      </c>
      <c r="LM17" s="1" t="s">
        <v>4</v>
      </c>
      <c r="LN17" s="1" t="s">
        <v>4</v>
      </c>
      <c r="LR17" s="1" t="s">
        <v>0</v>
      </c>
      <c r="LS17" s="1" t="s">
        <v>0</v>
      </c>
      <c r="LT17" s="1" t="s">
        <v>2</v>
      </c>
      <c r="LU17" s="1" t="s">
        <v>2</v>
      </c>
      <c r="LV17" s="1" t="s">
        <v>4</v>
      </c>
      <c r="MA17" s="1" t="s">
        <v>0</v>
      </c>
      <c r="MB17" s="1" t="s">
        <v>0</v>
      </c>
      <c r="MC17" s="1" t="s">
        <v>2</v>
      </c>
      <c r="MD17" s="1" t="s">
        <v>4</v>
      </c>
      <c r="ME17" s="1" t="s">
        <v>4</v>
      </c>
      <c r="MJ17" s="1" t="s">
        <v>0</v>
      </c>
      <c r="MK17" s="1" t="s">
        <v>2</v>
      </c>
      <c r="ML17" s="1" t="s">
        <v>2</v>
      </c>
      <c r="MM17" s="1" t="s">
        <v>4</v>
      </c>
      <c r="MN17" s="1" t="s">
        <v>4</v>
      </c>
      <c r="MR17" s="1" t="s">
        <v>0</v>
      </c>
      <c r="MS17" s="1" t="s">
        <v>0</v>
      </c>
      <c r="MT17" s="1" t="s">
        <v>2</v>
      </c>
      <c r="MU17" s="1" t="s">
        <v>2</v>
      </c>
      <c r="MV17" s="1" t="s">
        <v>4</v>
      </c>
      <c r="MW17" s="1" t="s">
        <v>4</v>
      </c>
      <c r="NA17" s="1" t="s">
        <v>0</v>
      </c>
      <c r="NB17" s="1" t="s">
        <v>0</v>
      </c>
      <c r="NC17" s="1" t="s">
        <v>2</v>
      </c>
      <c r="ND17" s="1" t="s">
        <v>2</v>
      </c>
    </row>
    <row r="18" spans="1:368">
      <c r="CQ18" s="25" t="s">
        <v>113</v>
      </c>
      <c r="DJ18" s="1" t="s">
        <v>124</v>
      </c>
      <c r="EY18" s="1" t="s">
        <v>6</v>
      </c>
      <c r="EZ18" s="1" t="s">
        <v>6</v>
      </c>
      <c r="FA18" s="1" t="s">
        <v>6</v>
      </c>
      <c r="FB18" s="1" t="s">
        <v>6</v>
      </c>
      <c r="FC18" s="1" t="s">
        <v>6</v>
      </c>
      <c r="FH18" s="1" t="s">
        <v>6</v>
      </c>
      <c r="FI18" s="1" t="s">
        <v>6</v>
      </c>
      <c r="FJ18" s="1" t="s">
        <v>6</v>
      </c>
      <c r="FK18" s="1" t="s">
        <v>6</v>
      </c>
      <c r="FL18" s="1" t="s">
        <v>6</v>
      </c>
      <c r="FQ18" s="1" t="s">
        <v>6</v>
      </c>
      <c r="FR18" s="1" t="s">
        <v>6</v>
      </c>
      <c r="FS18" s="1" t="s">
        <v>6</v>
      </c>
      <c r="FT18" s="1" t="s">
        <v>6</v>
      </c>
      <c r="FU18" s="1" t="s">
        <v>6</v>
      </c>
    </row>
    <row r="19" spans="1:368">
      <c r="A19" s="1" t="s">
        <v>83</v>
      </c>
      <c r="B19" s="1" t="s">
        <v>83</v>
      </c>
      <c r="E19" s="1" t="s">
        <v>6</v>
      </c>
      <c r="F19" s="1" t="s">
        <v>6</v>
      </c>
      <c r="G19" s="1" t="s">
        <v>6</v>
      </c>
      <c r="H19" s="1" t="s">
        <v>4</v>
      </c>
      <c r="I19" s="1" t="s">
        <v>4</v>
      </c>
      <c r="J19" s="1" t="s">
        <v>4</v>
      </c>
      <c r="M19" s="1" t="s">
        <v>0</v>
      </c>
      <c r="N19" s="1" t="s">
        <v>0</v>
      </c>
      <c r="O19" s="1" t="s">
        <v>2</v>
      </c>
      <c r="P19" s="1" t="s">
        <v>2</v>
      </c>
      <c r="Q19" s="1" t="s">
        <v>4</v>
      </c>
      <c r="R19" s="1" t="s">
        <v>4</v>
      </c>
      <c r="V19" s="1" t="s">
        <v>0</v>
      </c>
      <c r="W19" s="1" t="s">
        <v>0</v>
      </c>
      <c r="X19" s="1" t="s">
        <v>2</v>
      </c>
      <c r="Y19" s="1" t="s">
        <v>2</v>
      </c>
      <c r="Z19" s="1" t="s">
        <v>4</v>
      </c>
      <c r="AE19" s="1" t="s">
        <v>0</v>
      </c>
      <c r="AF19" s="1" t="s">
        <v>0</v>
      </c>
      <c r="AG19" s="1" t="s">
        <v>2</v>
      </c>
      <c r="AH19" s="1" t="s">
        <v>4</v>
      </c>
      <c r="AI19" s="1" t="s">
        <v>4</v>
      </c>
      <c r="AN19" s="1" t="s">
        <v>0</v>
      </c>
      <c r="AO19" s="1" t="s">
        <v>2</v>
      </c>
      <c r="AP19" s="1" t="s">
        <v>2</v>
      </c>
      <c r="AQ19" s="1" t="s">
        <v>4</v>
      </c>
      <c r="AR19" s="1" t="s">
        <v>4</v>
      </c>
      <c r="AV19" s="1" t="s">
        <v>0</v>
      </c>
      <c r="AW19" s="1" t="s">
        <v>0</v>
      </c>
      <c r="AX19" s="1" t="s">
        <v>2</v>
      </c>
      <c r="AY19" s="1" t="s">
        <v>2</v>
      </c>
      <c r="AZ19" s="1" t="s">
        <v>4</v>
      </c>
      <c r="BA19" s="1" t="s">
        <v>4</v>
      </c>
      <c r="BE19" s="1" t="s">
        <v>0</v>
      </c>
      <c r="BF19" s="1" t="s">
        <v>0</v>
      </c>
      <c r="BG19" s="1" t="s">
        <v>2</v>
      </c>
      <c r="BH19" s="1" t="s">
        <v>2</v>
      </c>
      <c r="BI19" s="1" t="s">
        <v>4</v>
      </c>
      <c r="BN19" s="1" t="s">
        <v>0</v>
      </c>
      <c r="BO19" s="1" t="s">
        <v>0</v>
      </c>
      <c r="BP19" s="1" t="s">
        <v>2</v>
      </c>
      <c r="BQ19" s="1" t="s">
        <v>4</v>
      </c>
      <c r="BR19" s="1" t="s">
        <v>4</v>
      </c>
      <c r="BW19" s="1" t="s">
        <v>0</v>
      </c>
      <c r="BX19" s="1" t="s">
        <v>2</v>
      </c>
      <c r="BY19" s="1" t="s">
        <v>2</v>
      </c>
      <c r="BZ19" s="1" t="s">
        <v>4</v>
      </c>
      <c r="CA19" s="1" t="s">
        <v>4</v>
      </c>
      <c r="CE19" s="1" t="s">
        <v>2</v>
      </c>
      <c r="CF19" s="1" t="s">
        <v>2</v>
      </c>
      <c r="CG19" s="1" t="s">
        <v>2</v>
      </c>
      <c r="CH19" s="1" t="s">
        <v>2</v>
      </c>
      <c r="CI19" s="1" t="s">
        <v>4</v>
      </c>
      <c r="CJ19" s="1" t="s">
        <v>4</v>
      </c>
      <c r="CN19" s="1" t="s">
        <v>0</v>
      </c>
      <c r="CO19" s="1" t="s">
        <v>0</v>
      </c>
      <c r="CP19" s="1" t="s">
        <v>2</v>
      </c>
      <c r="CQ19" s="1" t="s">
        <v>2</v>
      </c>
      <c r="CR19" s="1" t="s">
        <v>4</v>
      </c>
      <c r="CU19" s="1" t="s">
        <v>0</v>
      </c>
      <c r="CW19" s="1" t="s">
        <v>0</v>
      </c>
      <c r="CX19" s="1" t="s">
        <v>0</v>
      </c>
      <c r="CY19" s="1" t="s">
        <v>2</v>
      </c>
      <c r="CZ19" s="1" t="s">
        <v>4</v>
      </c>
      <c r="DA19" s="1" t="s">
        <v>4</v>
      </c>
      <c r="DF19" s="1" t="s">
        <v>0</v>
      </c>
      <c r="DG19" s="1" t="s">
        <v>2</v>
      </c>
      <c r="DH19" s="1" t="s">
        <v>2</v>
      </c>
      <c r="DI19" s="1" t="s">
        <v>4</v>
      </c>
      <c r="DJ19" s="1" t="s">
        <v>4</v>
      </c>
      <c r="DN19" s="1" t="s">
        <v>0</v>
      </c>
      <c r="DO19" s="1" t="s">
        <v>0</v>
      </c>
      <c r="DP19" s="1" t="s">
        <v>2</v>
      </c>
      <c r="DQ19" s="1" t="s">
        <v>2</v>
      </c>
      <c r="DR19" s="1" t="s">
        <v>4</v>
      </c>
      <c r="DS19" s="1" t="s">
        <v>4</v>
      </c>
      <c r="DW19" s="1" t="s">
        <v>0</v>
      </c>
      <c r="DX19" s="1" t="s">
        <v>0</v>
      </c>
      <c r="DY19" s="1" t="s">
        <v>2</v>
      </c>
      <c r="DZ19" s="1" t="s">
        <v>2</v>
      </c>
      <c r="EA19" s="1" t="s">
        <v>4</v>
      </c>
      <c r="EF19" s="1" t="s">
        <v>0</v>
      </c>
      <c r="EG19" s="1" t="s">
        <v>0</v>
      </c>
      <c r="EH19" s="1" t="s">
        <v>2</v>
      </c>
      <c r="EI19" s="1" t="s">
        <v>4</v>
      </c>
      <c r="EJ19" s="1" t="s">
        <v>4</v>
      </c>
      <c r="EO19" s="1" t="s">
        <v>0</v>
      </c>
      <c r="EP19" s="1" t="s">
        <v>2</v>
      </c>
      <c r="EQ19" s="1" t="s">
        <v>2</v>
      </c>
      <c r="ER19" s="1" t="s">
        <v>4</v>
      </c>
      <c r="ES19" s="1" t="s">
        <v>4</v>
      </c>
      <c r="EW19" s="1" t="s">
        <v>0</v>
      </c>
      <c r="EX19" s="1" t="s">
        <v>0</v>
      </c>
      <c r="EY19" s="1" t="s">
        <v>2</v>
      </c>
      <c r="EZ19" s="1" t="s">
        <v>2</v>
      </c>
      <c r="FA19" s="1" t="s">
        <v>4</v>
      </c>
      <c r="FB19" s="1" t="s">
        <v>4</v>
      </c>
      <c r="FF19" s="1" t="s">
        <v>0</v>
      </c>
      <c r="FG19" s="1" t="s">
        <v>0</v>
      </c>
      <c r="FH19" s="1" t="s">
        <v>2</v>
      </c>
      <c r="FI19" s="1" t="s">
        <v>2</v>
      </c>
      <c r="FJ19" s="1" t="s">
        <v>4</v>
      </c>
      <c r="FO19" s="1" t="s">
        <v>0</v>
      </c>
      <c r="FP19" s="1" t="s">
        <v>0</v>
      </c>
      <c r="FQ19" s="1" t="s">
        <v>2</v>
      </c>
      <c r="FR19" s="1" t="s">
        <v>4</v>
      </c>
      <c r="FS19" s="1" t="s">
        <v>4</v>
      </c>
      <c r="FX19" s="1" t="s">
        <v>6</v>
      </c>
      <c r="FY19" s="1" t="s">
        <v>2</v>
      </c>
      <c r="FZ19" s="1" t="s">
        <v>2</v>
      </c>
      <c r="GA19" s="1" t="s">
        <v>4</v>
      </c>
      <c r="GB19" s="1" t="s">
        <v>4</v>
      </c>
      <c r="GF19" s="1" t="s">
        <v>0</v>
      </c>
      <c r="GG19" s="1" t="s">
        <v>0</v>
      </c>
      <c r="GH19" s="1" t="s">
        <v>2</v>
      </c>
      <c r="GI19" s="1" t="s">
        <v>2</v>
      </c>
      <c r="GJ19" s="1" t="s">
        <v>4</v>
      </c>
      <c r="GK19" s="1" t="s">
        <v>4</v>
      </c>
      <c r="GO19" s="1" t="s">
        <v>0</v>
      </c>
      <c r="GP19" s="1" t="s">
        <v>0</v>
      </c>
      <c r="GQ19" s="1" t="s">
        <v>2</v>
      </c>
      <c r="GR19" s="1" t="s">
        <v>2</v>
      </c>
      <c r="GS19" s="1" t="s">
        <v>4</v>
      </c>
      <c r="GX19" s="1" t="s">
        <v>0</v>
      </c>
      <c r="GY19" s="1" t="s">
        <v>0</v>
      </c>
      <c r="GZ19" s="1" t="s">
        <v>2</v>
      </c>
      <c r="HA19" s="1" t="s">
        <v>4</v>
      </c>
      <c r="HB19" s="1" t="s">
        <v>4</v>
      </c>
      <c r="HG19" s="1" t="s">
        <v>0</v>
      </c>
      <c r="HH19" s="1" t="s">
        <v>2</v>
      </c>
      <c r="HI19" s="1" t="s">
        <v>2</v>
      </c>
      <c r="HJ19" s="1" t="s">
        <v>4</v>
      </c>
      <c r="HK19" s="1" t="s">
        <v>4</v>
      </c>
      <c r="HO19" s="1" t="s">
        <v>0</v>
      </c>
      <c r="HP19" s="1" t="s">
        <v>0</v>
      </c>
      <c r="HQ19" s="1" t="s">
        <v>2</v>
      </c>
      <c r="HR19" s="1" t="s">
        <v>2</v>
      </c>
      <c r="HS19" s="1" t="s">
        <v>4</v>
      </c>
      <c r="HT19" s="1" t="s">
        <v>4</v>
      </c>
      <c r="HX19" s="1" t="s">
        <v>0</v>
      </c>
      <c r="HY19" s="1" t="s">
        <v>0</v>
      </c>
      <c r="HZ19" s="1" t="s">
        <v>2</v>
      </c>
      <c r="IA19" s="1" t="s">
        <v>2</v>
      </c>
      <c r="IB19" s="1" t="s">
        <v>4</v>
      </c>
      <c r="IG19" s="1" t="s">
        <v>0</v>
      </c>
      <c r="IH19" s="1" t="s">
        <v>0</v>
      </c>
      <c r="II19" s="1" t="s">
        <v>2</v>
      </c>
      <c r="IJ19" s="1" t="s">
        <v>4</v>
      </c>
      <c r="IK19" s="1" t="s">
        <v>4</v>
      </c>
      <c r="IP19" s="1" t="s">
        <v>0</v>
      </c>
      <c r="IQ19" s="1" t="s">
        <v>2</v>
      </c>
      <c r="IR19" s="1" t="s">
        <v>2</v>
      </c>
      <c r="IS19" s="1" t="s">
        <v>4</v>
      </c>
      <c r="IT19" s="1" t="s">
        <v>4</v>
      </c>
      <c r="IX19" s="1" t="s">
        <v>0</v>
      </c>
      <c r="IY19" s="1" t="s">
        <v>0</v>
      </c>
      <c r="IZ19" s="1" t="s">
        <v>2</v>
      </c>
      <c r="JA19" s="1" t="s">
        <v>2</v>
      </c>
      <c r="JB19" s="1" t="s">
        <v>4</v>
      </c>
      <c r="JC19" s="1" t="s">
        <v>4</v>
      </c>
      <c r="JG19" s="1" t="s">
        <v>0</v>
      </c>
      <c r="JH19" s="1" t="s">
        <v>0</v>
      </c>
      <c r="JI19" s="1" t="s">
        <v>2</v>
      </c>
      <c r="JJ19" s="1" t="s">
        <v>2</v>
      </c>
      <c r="JK19" s="1" t="s">
        <v>4</v>
      </c>
      <c r="JP19" s="1" t="s">
        <v>0</v>
      </c>
      <c r="JQ19" s="1" t="s">
        <v>0</v>
      </c>
      <c r="JR19" s="1" t="s">
        <v>2</v>
      </c>
      <c r="JS19" s="1" t="s">
        <v>4</v>
      </c>
      <c r="JT19" s="1" t="s">
        <v>4</v>
      </c>
      <c r="JX19" s="1" t="s">
        <v>0</v>
      </c>
      <c r="JY19" s="1" t="s">
        <v>2</v>
      </c>
      <c r="JZ19" s="1" t="s">
        <v>2</v>
      </c>
      <c r="KA19" s="1" t="s">
        <v>4</v>
      </c>
      <c r="KB19" s="1" t="s">
        <v>4</v>
      </c>
      <c r="KF19" s="1" t="s">
        <v>0</v>
      </c>
      <c r="KG19" s="1" t="s">
        <v>0</v>
      </c>
      <c r="KH19" s="1" t="s">
        <v>2</v>
      </c>
      <c r="KI19" s="1" t="s">
        <v>2</v>
      </c>
      <c r="KJ19" s="1" t="s">
        <v>4</v>
      </c>
      <c r="KK19" s="1" t="s">
        <v>4</v>
      </c>
      <c r="KO19" s="1" t="s">
        <v>0</v>
      </c>
      <c r="KP19" s="1" t="s">
        <v>0</v>
      </c>
      <c r="KQ19" s="1" t="s">
        <v>2</v>
      </c>
      <c r="KR19" s="1" t="s">
        <v>2</v>
      </c>
      <c r="KS19" s="1" t="s">
        <v>4</v>
      </c>
      <c r="KX19" s="1" t="s">
        <v>0</v>
      </c>
      <c r="KY19" s="1" t="s">
        <v>0</v>
      </c>
      <c r="KZ19" s="1" t="s">
        <v>2</v>
      </c>
      <c r="LA19" s="1" t="s">
        <v>4</v>
      </c>
      <c r="LB19" s="1" t="s">
        <v>4</v>
      </c>
      <c r="LH19" s="1" t="s">
        <v>0</v>
      </c>
      <c r="LI19" s="1" t="s">
        <v>2</v>
      </c>
      <c r="LJ19" s="1" t="s">
        <v>2</v>
      </c>
      <c r="LK19" s="1" t="s">
        <v>4</v>
      </c>
      <c r="LL19" s="1" t="s">
        <v>4</v>
      </c>
      <c r="LP19" s="1" t="s">
        <v>0</v>
      </c>
      <c r="LQ19" s="1" t="s">
        <v>0</v>
      </c>
      <c r="LR19" s="1" t="s">
        <v>2</v>
      </c>
      <c r="LS19" s="1" t="s">
        <v>2</v>
      </c>
      <c r="LT19" s="1" t="s">
        <v>4</v>
      </c>
      <c r="LU19" s="1" t="s">
        <v>4</v>
      </c>
      <c r="LY19" s="1" t="s">
        <v>0</v>
      </c>
      <c r="LZ19" s="1" t="s">
        <v>0</v>
      </c>
      <c r="MA19" s="1" t="s">
        <v>2</v>
      </c>
      <c r="MB19" s="1" t="s">
        <v>2</v>
      </c>
      <c r="MC19" s="1" t="s">
        <v>4</v>
      </c>
      <c r="MH19" s="1" t="s">
        <v>0</v>
      </c>
      <c r="MI19" s="1" t="s">
        <v>0</v>
      </c>
      <c r="MJ19" s="1" t="s">
        <v>2</v>
      </c>
      <c r="MK19" s="1" t="s">
        <v>4</v>
      </c>
      <c r="ML19" s="1" t="s">
        <v>4</v>
      </c>
      <c r="MQ19" s="1" t="s">
        <v>0</v>
      </c>
      <c r="MR19" s="1" t="s">
        <v>2</v>
      </c>
      <c r="MS19" s="1" t="s">
        <v>2</v>
      </c>
      <c r="MT19" s="1" t="s">
        <v>4</v>
      </c>
      <c r="MU19" s="1" t="s">
        <v>4</v>
      </c>
      <c r="MY19" s="1" t="s">
        <v>0</v>
      </c>
      <c r="MZ19" s="1" t="s">
        <v>0</v>
      </c>
      <c r="NA19" s="1" t="s">
        <v>2</v>
      </c>
      <c r="NB19" s="1" t="s">
        <v>2</v>
      </c>
      <c r="NC19" s="1" t="s">
        <v>4</v>
      </c>
      <c r="ND19" s="1" t="s">
        <v>4</v>
      </c>
    </row>
    <row r="20" spans="1:368" s="8" customFormat="1">
      <c r="BN20" s="8" t="s">
        <v>99</v>
      </c>
      <c r="BO20" s="8" t="s">
        <v>99</v>
      </c>
      <c r="BW20" s="8" t="s">
        <v>99</v>
      </c>
      <c r="CN20" s="8" t="s">
        <v>99</v>
      </c>
      <c r="CO20" s="8" t="s">
        <v>99</v>
      </c>
      <c r="CP20" s="22" t="s">
        <v>108</v>
      </c>
      <c r="CU20" s="8" t="s">
        <v>113</v>
      </c>
      <c r="CW20" s="8" t="s">
        <v>99</v>
      </c>
      <c r="CX20" s="8" t="s">
        <v>99</v>
      </c>
      <c r="DF20" s="8" t="s">
        <v>99</v>
      </c>
      <c r="DW20" s="8" t="s">
        <v>99</v>
      </c>
      <c r="DX20" s="8" t="s">
        <v>99</v>
      </c>
      <c r="EF20" s="8" t="s">
        <v>99</v>
      </c>
      <c r="EG20" s="8" t="s">
        <v>99</v>
      </c>
      <c r="EO20" s="8" t="s">
        <v>102</v>
      </c>
      <c r="FF20" s="8" t="s">
        <v>99</v>
      </c>
      <c r="FG20" s="8" t="s">
        <v>99</v>
      </c>
      <c r="FO20" s="8" t="s">
        <v>99</v>
      </c>
      <c r="FP20" s="8" t="s">
        <v>99</v>
      </c>
      <c r="GO20" s="8" t="s">
        <v>99</v>
      </c>
      <c r="GP20" s="8" t="s">
        <v>99</v>
      </c>
      <c r="GX20" s="8" t="s">
        <v>99</v>
      </c>
      <c r="GY20" s="8" t="s">
        <v>99</v>
      </c>
      <c r="HG20" s="8" t="s">
        <v>99</v>
      </c>
      <c r="HO20" s="8" t="s">
        <v>6</v>
      </c>
      <c r="HP20" s="8" t="s">
        <v>6</v>
      </c>
      <c r="HQ20" s="8" t="s">
        <v>6</v>
      </c>
      <c r="HR20" s="8" t="s">
        <v>8</v>
      </c>
      <c r="HS20" s="8" t="s">
        <v>6</v>
      </c>
      <c r="HT20" s="8" t="s">
        <v>6</v>
      </c>
      <c r="HX20" s="8" t="s">
        <v>6</v>
      </c>
      <c r="HY20" s="8" t="s">
        <v>6</v>
      </c>
      <c r="HZ20" s="8" t="s">
        <v>6</v>
      </c>
      <c r="IA20" s="8" t="s">
        <v>6</v>
      </c>
      <c r="IB20" s="8" t="s">
        <v>103</v>
      </c>
      <c r="IG20" s="8" t="s">
        <v>99</v>
      </c>
      <c r="IH20" s="8" t="s">
        <v>99</v>
      </c>
    </row>
    <row r="21" spans="1:368">
      <c r="A21" s="1" t="s">
        <v>85</v>
      </c>
      <c r="B21" s="1" t="s">
        <v>85</v>
      </c>
      <c r="C21" s="1" t="s">
        <v>4</v>
      </c>
      <c r="D21" s="1" t="s">
        <v>4</v>
      </c>
      <c r="H21" s="1" t="s">
        <v>0</v>
      </c>
      <c r="I21" s="1" t="s">
        <v>2</v>
      </c>
      <c r="J21" s="1" t="s">
        <v>2</v>
      </c>
      <c r="K21" s="1" t="s">
        <v>4</v>
      </c>
      <c r="L21" s="1" t="s">
        <v>4</v>
      </c>
      <c r="Q21" s="1" t="s">
        <v>0</v>
      </c>
      <c r="R21" s="1" t="s">
        <v>0</v>
      </c>
      <c r="S21" s="1" t="s">
        <v>2</v>
      </c>
      <c r="T21" s="1" t="s">
        <v>4</v>
      </c>
      <c r="U21" s="1" t="s">
        <v>4</v>
      </c>
      <c r="Z21" s="1" t="s">
        <v>0</v>
      </c>
      <c r="AA21" s="1" t="s">
        <v>2</v>
      </c>
      <c r="AB21" s="1" t="s">
        <v>2</v>
      </c>
      <c r="AC21" s="1" t="s">
        <v>4</v>
      </c>
      <c r="AD21" s="1" t="s">
        <v>4</v>
      </c>
      <c r="AH21" s="1" t="s">
        <v>0</v>
      </c>
      <c r="AI21" s="1" t="s">
        <v>0</v>
      </c>
      <c r="AJ21" s="1" t="s">
        <v>2</v>
      </c>
      <c r="AK21" s="1" t="s">
        <v>2</v>
      </c>
      <c r="AL21" s="1" t="s">
        <v>4</v>
      </c>
      <c r="AM21" s="1" t="s">
        <v>4</v>
      </c>
      <c r="AQ21" s="1" t="s">
        <v>0</v>
      </c>
      <c r="AR21" s="1" t="s">
        <v>0</v>
      </c>
      <c r="AS21" s="1" t="s">
        <v>2</v>
      </c>
      <c r="AT21" s="1" t="s">
        <v>2</v>
      </c>
      <c r="AU21" s="1" t="s">
        <v>4</v>
      </c>
      <c r="AZ21" s="1" t="s">
        <v>0</v>
      </c>
      <c r="BA21" s="1" t="s">
        <v>0</v>
      </c>
      <c r="BB21" s="1" t="s">
        <v>2</v>
      </c>
      <c r="BC21" s="1" t="s">
        <v>4</v>
      </c>
      <c r="BD21" s="1" t="s">
        <v>4</v>
      </c>
      <c r="BI21" s="1" t="s">
        <v>0</v>
      </c>
      <c r="BJ21" s="1" t="s">
        <v>2</v>
      </c>
      <c r="BL21" s="1" t="s">
        <v>8</v>
      </c>
      <c r="BM21" s="1" t="s">
        <v>8</v>
      </c>
      <c r="BN21" s="1" t="s">
        <v>8</v>
      </c>
      <c r="BO21" s="1" t="s">
        <v>8</v>
      </c>
      <c r="BP21" s="1" t="s">
        <v>8</v>
      </c>
      <c r="BS21" s="1" t="s">
        <v>0</v>
      </c>
      <c r="BT21" s="1" t="s">
        <v>8</v>
      </c>
      <c r="BU21" s="1" t="s">
        <v>8</v>
      </c>
      <c r="BV21" s="1" t="s">
        <v>8</v>
      </c>
      <c r="BW21" s="1" t="s">
        <v>8</v>
      </c>
      <c r="BZ21" s="1" t="s">
        <v>8</v>
      </c>
      <c r="CA21" s="1" t="s">
        <v>8</v>
      </c>
      <c r="CB21" s="1" t="s">
        <v>8</v>
      </c>
      <c r="CC21" s="1" t="s">
        <v>0</v>
      </c>
      <c r="CD21" s="1" t="s">
        <v>8</v>
      </c>
      <c r="CG21" s="1" t="s">
        <v>8</v>
      </c>
      <c r="CH21" s="1" t="s">
        <v>8</v>
      </c>
      <c r="CI21" s="1" t="s">
        <v>8</v>
      </c>
      <c r="CJ21" s="1" t="s">
        <v>8</v>
      </c>
      <c r="CK21" s="1" t="s">
        <v>0</v>
      </c>
      <c r="CN21" s="1" t="s">
        <v>8</v>
      </c>
      <c r="CO21" s="1" t="s">
        <v>8</v>
      </c>
      <c r="CP21" s="22" t="s">
        <v>125</v>
      </c>
      <c r="CQ21" s="1" t="s">
        <v>8</v>
      </c>
      <c r="CR21" s="26" t="s">
        <v>126</v>
      </c>
      <c r="CU21" s="1" t="s">
        <v>8</v>
      </c>
      <c r="CV21" s="1" t="s">
        <v>8</v>
      </c>
      <c r="CW21" s="1" t="s">
        <v>8</v>
      </c>
      <c r="CX21" s="1" t="s">
        <v>8</v>
      </c>
      <c r="CY21" s="24" t="s">
        <v>126</v>
      </c>
      <c r="DB21" s="1" t="s">
        <v>0</v>
      </c>
      <c r="DC21" s="1" t="s">
        <v>0</v>
      </c>
      <c r="DD21" s="1" t="s">
        <v>8</v>
      </c>
      <c r="DE21" s="1" t="s">
        <v>8</v>
      </c>
      <c r="DF21" s="1" t="s">
        <v>8</v>
      </c>
      <c r="DI21" s="1" t="s">
        <v>6</v>
      </c>
      <c r="DJ21" s="1" t="s">
        <v>0</v>
      </c>
      <c r="DK21" s="1" t="s">
        <v>2</v>
      </c>
      <c r="DL21" s="1" t="s">
        <v>2</v>
      </c>
      <c r="DM21" s="1" t="s">
        <v>4</v>
      </c>
      <c r="DR21" s="1" t="s">
        <v>0</v>
      </c>
      <c r="DS21" s="1" t="s">
        <v>0</v>
      </c>
      <c r="DT21" s="1" t="s">
        <v>2</v>
      </c>
      <c r="DU21" s="1" t="s">
        <v>4</v>
      </c>
      <c r="DV21" s="1" t="s">
        <v>4</v>
      </c>
      <c r="EA21" s="1" t="s">
        <v>0</v>
      </c>
      <c r="EB21" s="1" t="s">
        <v>2</v>
      </c>
      <c r="EC21" s="1" t="s">
        <v>2</v>
      </c>
      <c r="ED21" s="1" t="s">
        <v>4</v>
      </c>
      <c r="EE21" s="1" t="s">
        <v>4</v>
      </c>
      <c r="EI21" s="1" t="s">
        <v>0</v>
      </c>
      <c r="EJ21" s="1" t="s">
        <v>0</v>
      </c>
      <c r="EK21" s="1" t="s">
        <v>2</v>
      </c>
      <c r="EL21" s="1" t="s">
        <v>2</v>
      </c>
      <c r="EM21" s="1" t="s">
        <v>4</v>
      </c>
      <c r="EN21" s="1" t="s">
        <v>4</v>
      </c>
      <c r="ER21" s="1" t="s">
        <v>0</v>
      </c>
      <c r="ES21" s="1" t="s">
        <v>0</v>
      </c>
      <c r="ET21" s="1" t="s">
        <v>2</v>
      </c>
      <c r="EU21" s="1" t="s">
        <v>2</v>
      </c>
      <c r="EV21" s="1" t="s">
        <v>4</v>
      </c>
      <c r="FA21" s="1" t="s">
        <v>0</v>
      </c>
      <c r="FB21" s="1" t="s">
        <v>0</v>
      </c>
      <c r="FC21" s="1" t="s">
        <v>2</v>
      </c>
      <c r="FD21" s="1" t="s">
        <v>4</v>
      </c>
      <c r="FE21" s="1" t="s">
        <v>4</v>
      </c>
      <c r="FJ21" s="1" t="s">
        <v>0</v>
      </c>
      <c r="FK21" s="1" t="s">
        <v>2</v>
      </c>
      <c r="FL21" s="1" t="s">
        <v>2</v>
      </c>
      <c r="FM21" s="1" t="s">
        <v>4</v>
      </c>
      <c r="FN21" s="1" t="s">
        <v>4</v>
      </c>
      <c r="FR21" s="1" t="s">
        <v>0</v>
      </c>
      <c r="FS21" s="1" t="s">
        <v>0</v>
      </c>
      <c r="FT21" s="1" t="s">
        <v>2</v>
      </c>
      <c r="FU21" s="1" t="s">
        <v>2</v>
      </c>
      <c r="FV21" s="1" t="s">
        <v>4</v>
      </c>
      <c r="FW21" s="1" t="s">
        <v>4</v>
      </c>
      <c r="FX21" s="1" t="s">
        <v>4</v>
      </c>
      <c r="GA21" s="1" t="s">
        <v>0</v>
      </c>
      <c r="GB21" s="1" t="s">
        <v>0</v>
      </c>
      <c r="GC21" s="1" t="s">
        <v>2</v>
      </c>
      <c r="GD21" s="1" t="s">
        <v>2</v>
      </c>
      <c r="GE21" s="1" t="s">
        <v>4</v>
      </c>
      <c r="GJ21" s="1" t="s">
        <v>0</v>
      </c>
      <c r="GK21" s="1" t="s">
        <v>0</v>
      </c>
      <c r="GL21" s="1" t="s">
        <v>2</v>
      </c>
      <c r="GM21" s="1" t="s">
        <v>4</v>
      </c>
      <c r="GN21" s="1" t="s">
        <v>4</v>
      </c>
      <c r="GS21" s="1" t="s">
        <v>0</v>
      </c>
      <c r="GT21" s="1" t="s">
        <v>2</v>
      </c>
      <c r="GU21" s="1" t="s">
        <v>2</v>
      </c>
      <c r="GV21" s="1" t="s">
        <v>4</v>
      </c>
      <c r="GW21" s="1" t="s">
        <v>4</v>
      </c>
      <c r="HA21" s="1" t="s">
        <v>0</v>
      </c>
      <c r="HB21" s="1" t="s">
        <v>0</v>
      </c>
      <c r="HC21" s="1" t="s">
        <v>2</v>
      </c>
      <c r="HD21" s="1" t="s">
        <v>2</v>
      </c>
      <c r="HE21" s="1" t="s">
        <v>4</v>
      </c>
      <c r="HF21" s="1" t="s">
        <v>4</v>
      </c>
      <c r="HJ21" s="1" t="s">
        <v>0</v>
      </c>
      <c r="HK21" s="1" t="s">
        <v>0</v>
      </c>
      <c r="HL21" s="1" t="s">
        <v>2</v>
      </c>
      <c r="HM21" s="1" t="s">
        <v>2</v>
      </c>
      <c r="HN21" s="1" t="s">
        <v>4</v>
      </c>
      <c r="HS21" s="1" t="s">
        <v>0</v>
      </c>
      <c r="HT21" s="1" t="s">
        <v>0</v>
      </c>
      <c r="HU21" s="1" t="s">
        <v>2</v>
      </c>
      <c r="HV21" s="1" t="s">
        <v>4</v>
      </c>
      <c r="HW21" s="1" t="s">
        <v>4</v>
      </c>
      <c r="IB21" s="1" t="s">
        <v>0</v>
      </c>
      <c r="IC21" s="1" t="s">
        <v>2</v>
      </c>
      <c r="ID21" s="1" t="s">
        <v>2</v>
      </c>
      <c r="IE21" s="1" t="s">
        <v>4</v>
      </c>
      <c r="IF21" s="1" t="s">
        <v>4</v>
      </c>
      <c r="IJ21" s="1" t="s">
        <v>0</v>
      </c>
      <c r="IK21" s="1" t="s">
        <v>0</v>
      </c>
      <c r="IL21" s="1" t="s">
        <v>2</v>
      </c>
      <c r="IM21" s="1" t="s">
        <v>2</v>
      </c>
      <c r="IN21" s="1" t="s">
        <v>4</v>
      </c>
      <c r="IO21" s="1" t="s">
        <v>4</v>
      </c>
      <c r="IS21" s="1" t="s">
        <v>0</v>
      </c>
      <c r="IT21" s="1" t="s">
        <v>0</v>
      </c>
      <c r="IU21" s="1" t="s">
        <v>2</v>
      </c>
      <c r="IV21" s="1" t="s">
        <v>2</v>
      </c>
      <c r="IW21" s="1" t="s">
        <v>4</v>
      </c>
      <c r="JB21" s="1" t="s">
        <v>0</v>
      </c>
      <c r="JC21" s="1" t="s">
        <v>0</v>
      </c>
      <c r="JD21" s="1" t="s">
        <v>2</v>
      </c>
      <c r="JE21" s="1" t="s">
        <v>4</v>
      </c>
      <c r="JF21" s="1" t="s">
        <v>4</v>
      </c>
      <c r="JK21" s="1" t="s">
        <v>0</v>
      </c>
      <c r="JL21" s="1" t="s">
        <v>2</v>
      </c>
      <c r="JM21" s="1" t="s">
        <v>2</v>
      </c>
      <c r="JN21" s="1" t="s">
        <v>4</v>
      </c>
      <c r="JO21" s="1" t="s">
        <v>4</v>
      </c>
      <c r="JS21" s="1" t="s">
        <v>0</v>
      </c>
      <c r="JT21" s="1" t="s">
        <v>0</v>
      </c>
      <c r="JU21" s="1" t="s">
        <v>2</v>
      </c>
      <c r="JV21" s="1" t="s">
        <v>2</v>
      </c>
      <c r="JW21" s="1" t="s">
        <v>4</v>
      </c>
      <c r="JX21" s="1" t="s">
        <v>4</v>
      </c>
      <c r="KB21" s="1" t="s">
        <v>0</v>
      </c>
      <c r="KC21" s="1" t="s">
        <v>0</v>
      </c>
      <c r="KD21" s="1" t="s">
        <v>2</v>
      </c>
      <c r="KE21" s="1" t="s">
        <v>2</v>
      </c>
      <c r="KF21" s="1" t="s">
        <v>4</v>
      </c>
      <c r="KK21" s="1" t="s">
        <v>0</v>
      </c>
      <c r="KL21" s="1" t="s">
        <v>0</v>
      </c>
      <c r="KM21" s="1" t="s">
        <v>2</v>
      </c>
      <c r="KN21" s="1" t="s">
        <v>4</v>
      </c>
      <c r="KO21" s="1" t="s">
        <v>4</v>
      </c>
      <c r="KT21" s="1" t="s">
        <v>0</v>
      </c>
      <c r="KU21" s="1" t="s">
        <v>2</v>
      </c>
      <c r="KV21" s="1" t="s">
        <v>2</v>
      </c>
      <c r="KW21" s="1" t="s">
        <v>4</v>
      </c>
      <c r="KX21" s="1" t="s">
        <v>4</v>
      </c>
      <c r="LB21" s="1" t="s">
        <v>0</v>
      </c>
      <c r="LC21" s="1" t="s">
        <v>0</v>
      </c>
      <c r="LD21" s="1" t="s">
        <v>2</v>
      </c>
      <c r="LE21" s="1" t="s">
        <v>2</v>
      </c>
      <c r="LF21" s="1" t="s">
        <v>4</v>
      </c>
      <c r="LG21" s="1" t="s">
        <v>4</v>
      </c>
      <c r="LK21" s="1" t="s">
        <v>0</v>
      </c>
      <c r="LL21" s="1" t="s">
        <v>0</v>
      </c>
      <c r="LM21" s="1" t="s">
        <v>2</v>
      </c>
      <c r="LN21" s="1" t="s">
        <v>2</v>
      </c>
      <c r="LO21" s="1" t="s">
        <v>4</v>
      </c>
      <c r="LT21" s="1" t="s">
        <v>0</v>
      </c>
      <c r="LU21" s="1" t="s">
        <v>0</v>
      </c>
      <c r="LV21" s="1" t="s">
        <v>2</v>
      </c>
      <c r="LW21" s="1" t="s">
        <v>4</v>
      </c>
      <c r="LX21" s="1" t="s">
        <v>4</v>
      </c>
      <c r="MC21" s="1" t="s">
        <v>0</v>
      </c>
      <c r="MD21" s="1" t="s">
        <v>2</v>
      </c>
      <c r="ME21" s="1" t="s">
        <v>2</v>
      </c>
      <c r="MF21" s="1" t="s">
        <v>4</v>
      </c>
      <c r="MG21" s="1" t="s">
        <v>4</v>
      </c>
      <c r="MK21" s="1" t="s">
        <v>0</v>
      </c>
      <c r="ML21" s="1" t="s">
        <v>0</v>
      </c>
      <c r="MM21" s="1" t="s">
        <v>2</v>
      </c>
      <c r="MN21" s="1" t="s">
        <v>2</v>
      </c>
      <c r="MO21" s="1" t="s">
        <v>4</v>
      </c>
      <c r="MP21" s="1" t="s">
        <v>4</v>
      </c>
      <c r="MT21" s="1" t="s">
        <v>0</v>
      </c>
      <c r="MU21" s="1" t="s">
        <v>0</v>
      </c>
      <c r="MV21" s="1" t="s">
        <v>2</v>
      </c>
      <c r="MW21" s="1" t="s">
        <v>2</v>
      </c>
      <c r="MX21" s="1" t="s">
        <v>4</v>
      </c>
      <c r="NC21" s="1" t="s">
        <v>0</v>
      </c>
      <c r="ND21" s="1" t="s">
        <v>0</v>
      </c>
    </row>
    <row r="22" spans="1:368" s="8" customFormat="1">
      <c r="CR22" s="8" t="s">
        <v>104</v>
      </c>
      <c r="CW22" s="27"/>
      <c r="CX22" s="27"/>
      <c r="DF22" s="8" t="s">
        <v>105</v>
      </c>
      <c r="ER22" s="8" t="s">
        <v>6</v>
      </c>
      <c r="ES22" s="8" t="s">
        <v>6</v>
      </c>
      <c r="ET22" s="8" t="s">
        <v>6</v>
      </c>
      <c r="EU22" s="8" t="s">
        <v>6</v>
      </c>
      <c r="EV22" s="8" t="s">
        <v>6</v>
      </c>
      <c r="HS22" s="8" t="s">
        <v>104</v>
      </c>
      <c r="HT22" s="8" t="s">
        <v>104</v>
      </c>
      <c r="HU22" s="8" t="s">
        <v>104</v>
      </c>
      <c r="IB22" s="8" t="s">
        <v>104</v>
      </c>
    </row>
    <row r="23" spans="1:368">
      <c r="A23" s="1" t="s">
        <v>78</v>
      </c>
      <c r="B23" s="1" t="s">
        <v>78</v>
      </c>
      <c r="C23" s="1" t="s">
        <v>12</v>
      </c>
      <c r="D23" s="1" t="s">
        <v>2</v>
      </c>
      <c r="E23" s="1" t="s">
        <v>4</v>
      </c>
      <c r="I23" s="1" t="s">
        <v>0</v>
      </c>
      <c r="J23" s="1" t="s">
        <v>0</v>
      </c>
      <c r="K23" s="1" t="s">
        <v>2</v>
      </c>
      <c r="L23" s="1" t="s">
        <v>2</v>
      </c>
      <c r="M23" s="1" t="s">
        <v>4</v>
      </c>
      <c r="N23" s="1" t="s">
        <v>4</v>
      </c>
      <c r="S23" s="1" t="s">
        <v>0</v>
      </c>
      <c r="T23" s="1" t="s">
        <v>2</v>
      </c>
      <c r="U23" s="1" t="s">
        <v>2</v>
      </c>
      <c r="V23" s="1" t="s">
        <v>4</v>
      </c>
      <c r="W23" s="1" t="s">
        <v>4</v>
      </c>
      <c r="AA23" s="1" t="s">
        <v>0</v>
      </c>
      <c r="AB23" s="1" t="s">
        <v>0</v>
      </c>
      <c r="AC23" s="1" t="s">
        <v>2</v>
      </c>
      <c r="AD23" s="1" t="s">
        <v>2</v>
      </c>
      <c r="AE23" s="1" t="s">
        <v>4</v>
      </c>
      <c r="AF23" s="1" t="s">
        <v>4</v>
      </c>
      <c r="AJ23" s="1" t="s">
        <v>0</v>
      </c>
      <c r="AK23" s="1" t="s">
        <v>0</v>
      </c>
      <c r="AL23" s="1" t="s">
        <v>2</v>
      </c>
      <c r="AM23" s="1" t="s">
        <v>2</v>
      </c>
      <c r="AN23" s="1" t="s">
        <v>4</v>
      </c>
      <c r="AS23" s="1" t="s">
        <v>0</v>
      </c>
      <c r="AT23" s="1" t="s">
        <v>0</v>
      </c>
      <c r="AU23" s="1" t="s">
        <v>2</v>
      </c>
      <c r="AV23" s="1" t="s">
        <v>4</v>
      </c>
      <c r="AW23" s="1" t="s">
        <v>4</v>
      </c>
      <c r="BB23" s="1" t="s">
        <v>0</v>
      </c>
      <c r="BC23" s="1" t="s">
        <v>2</v>
      </c>
      <c r="BD23" s="1" t="s">
        <v>2</v>
      </c>
      <c r="BE23" s="1" t="s">
        <v>4</v>
      </c>
      <c r="BF23" s="1" t="s">
        <v>4</v>
      </c>
      <c r="BJ23" s="1" t="s">
        <v>0</v>
      </c>
      <c r="BK23" s="1" t="s">
        <v>0</v>
      </c>
      <c r="BL23" s="1" t="s">
        <v>2</v>
      </c>
      <c r="BM23" s="1" t="s">
        <v>2</v>
      </c>
      <c r="BN23" s="1" t="s">
        <v>4</v>
      </c>
      <c r="BO23" s="1" t="s">
        <v>4</v>
      </c>
      <c r="BS23" s="1" t="s">
        <v>6</v>
      </c>
      <c r="BT23" s="1" t="s">
        <v>0</v>
      </c>
      <c r="BU23" s="1" t="s">
        <v>2</v>
      </c>
      <c r="BV23" s="1" t="s">
        <v>2</v>
      </c>
      <c r="BW23" s="1" t="s">
        <v>4</v>
      </c>
      <c r="CB23" s="1" t="s">
        <v>0</v>
      </c>
      <c r="CC23" s="1" t="s">
        <v>8</v>
      </c>
      <c r="CD23" s="1" t="s">
        <v>2</v>
      </c>
      <c r="CE23" s="1" t="s">
        <v>4</v>
      </c>
      <c r="CF23" s="1" t="s">
        <v>4</v>
      </c>
      <c r="CK23" s="1" t="s">
        <v>8</v>
      </c>
      <c r="CL23" s="1" t="s">
        <v>2</v>
      </c>
      <c r="CM23" s="1" t="s">
        <v>2</v>
      </c>
      <c r="CN23" s="1" t="s">
        <v>4</v>
      </c>
      <c r="CO23" s="1" t="s">
        <v>4</v>
      </c>
      <c r="CS23" s="1" t="s">
        <v>0</v>
      </c>
      <c r="CT23" s="1" t="s">
        <v>0</v>
      </c>
      <c r="CU23" s="1" t="s">
        <v>2</v>
      </c>
      <c r="CV23" s="1" t="s">
        <v>2</v>
      </c>
      <c r="CW23" s="1" t="s">
        <v>4</v>
      </c>
      <c r="CX23" s="1" t="s">
        <v>4</v>
      </c>
      <c r="DB23" s="1" t="s">
        <v>6</v>
      </c>
      <c r="DC23" s="1" t="s">
        <v>6</v>
      </c>
      <c r="DD23" s="1" t="s">
        <v>2</v>
      </c>
      <c r="DE23" s="1" t="s">
        <v>2</v>
      </c>
      <c r="DF23" s="1" t="s">
        <v>4</v>
      </c>
      <c r="DK23" s="1" t="s">
        <v>0</v>
      </c>
      <c r="DL23" s="1" t="s">
        <v>0</v>
      </c>
      <c r="DM23" s="1" t="s">
        <v>2</v>
      </c>
      <c r="DN23" s="1" t="s">
        <v>4</v>
      </c>
      <c r="DO23" s="1" t="s">
        <v>4</v>
      </c>
      <c r="DT23" s="1" t="s">
        <v>0</v>
      </c>
      <c r="DU23" s="1" t="s">
        <v>2</v>
      </c>
      <c r="DV23" s="1" t="s">
        <v>2</v>
      </c>
      <c r="DW23" s="1" t="s">
        <v>4</v>
      </c>
      <c r="DX23" s="1" t="s">
        <v>4</v>
      </c>
      <c r="EB23" s="1" t="s">
        <v>0</v>
      </c>
      <c r="EC23" s="1" t="s">
        <v>0</v>
      </c>
      <c r="ED23" s="1" t="s">
        <v>2</v>
      </c>
      <c r="EE23" s="1" t="s">
        <v>2</v>
      </c>
      <c r="EF23" s="1" t="s">
        <v>4</v>
      </c>
      <c r="EG23" s="1" t="s">
        <v>4</v>
      </c>
      <c r="EK23" s="1" t="s">
        <v>0</v>
      </c>
      <c r="EL23" s="1" t="s">
        <v>0</v>
      </c>
      <c r="EM23" s="1" t="s">
        <v>2</v>
      </c>
      <c r="EN23" s="1" t="s">
        <v>2</v>
      </c>
      <c r="EO23" s="1" t="s">
        <v>4</v>
      </c>
      <c r="ET23" s="1" t="s">
        <v>0</v>
      </c>
      <c r="EU23" s="1" t="s">
        <v>0</v>
      </c>
      <c r="EV23" s="1" t="s">
        <v>2</v>
      </c>
      <c r="EW23" s="1" t="s">
        <v>4</v>
      </c>
      <c r="EX23" s="1" t="s">
        <v>4</v>
      </c>
      <c r="FC23" s="1" t="s">
        <v>0</v>
      </c>
      <c r="FD23" s="1" t="s">
        <v>2</v>
      </c>
      <c r="FE23" s="1" t="s">
        <v>2</v>
      </c>
      <c r="FF23" s="1" t="s">
        <v>4</v>
      </c>
      <c r="FG23" s="1" t="s">
        <v>4</v>
      </c>
      <c r="FK23" s="1" t="s">
        <v>0</v>
      </c>
      <c r="FL23" s="1" t="s">
        <v>0</v>
      </c>
      <c r="FM23" s="1" t="s">
        <v>2</v>
      </c>
      <c r="FN23" s="1" t="s">
        <v>2</v>
      </c>
      <c r="FO23" s="1" t="s">
        <v>4</v>
      </c>
      <c r="FP23" s="1" t="s">
        <v>4</v>
      </c>
      <c r="FT23" s="1" t="s">
        <v>0</v>
      </c>
      <c r="FU23" s="1" t="s">
        <v>0</v>
      </c>
      <c r="FV23" s="1" t="s">
        <v>2</v>
      </c>
      <c r="FW23" s="1" t="s">
        <v>2</v>
      </c>
      <c r="FX23" s="1" t="s">
        <v>6</v>
      </c>
      <c r="GC23" s="1" t="s">
        <v>0</v>
      </c>
      <c r="GD23" s="1" t="s">
        <v>0</v>
      </c>
      <c r="GE23" s="1" t="s">
        <v>2</v>
      </c>
      <c r="GF23" s="1" t="s">
        <v>4</v>
      </c>
      <c r="GG23" s="1" t="s">
        <v>4</v>
      </c>
      <c r="GL23" s="1" t="s">
        <v>0</v>
      </c>
      <c r="GM23" s="1" t="s">
        <v>2</v>
      </c>
      <c r="GN23" s="1" t="s">
        <v>2</v>
      </c>
      <c r="GO23" s="1" t="s">
        <v>4</v>
      </c>
      <c r="GP23" s="1" t="s">
        <v>4</v>
      </c>
      <c r="GT23" s="1" t="s">
        <v>0</v>
      </c>
      <c r="GU23" s="1" t="s">
        <v>0</v>
      </c>
      <c r="GV23" s="1" t="s">
        <v>2</v>
      </c>
      <c r="GW23" s="1" t="s">
        <v>2</v>
      </c>
      <c r="GX23" s="1" t="s">
        <v>4</v>
      </c>
      <c r="GY23" s="1" t="s">
        <v>4</v>
      </c>
      <c r="HC23" s="1" t="s">
        <v>0</v>
      </c>
      <c r="HD23" s="1" t="s">
        <v>0</v>
      </c>
      <c r="HE23" s="1" t="s">
        <v>2</v>
      </c>
      <c r="HF23" s="1" t="s">
        <v>2</v>
      </c>
      <c r="HG23" s="1" t="s">
        <v>4</v>
      </c>
      <c r="HL23" s="1" t="s">
        <v>0</v>
      </c>
      <c r="HM23" s="1" t="s">
        <v>0</v>
      </c>
      <c r="HN23" s="1" t="s">
        <v>2</v>
      </c>
      <c r="HO23" s="1" t="s">
        <v>4</v>
      </c>
      <c r="HP23" s="1" t="s">
        <v>4</v>
      </c>
      <c r="HU23" s="1" t="s">
        <v>0</v>
      </c>
      <c r="HV23" s="1" t="s">
        <v>2</v>
      </c>
      <c r="HW23" s="1" t="s">
        <v>2</v>
      </c>
      <c r="HX23" s="1" t="s">
        <v>4</v>
      </c>
      <c r="HY23" s="1" t="s">
        <v>4</v>
      </c>
      <c r="IB23" s="1" t="s">
        <v>8</v>
      </c>
      <c r="IC23" s="1" t="s">
        <v>0</v>
      </c>
      <c r="ID23" s="1" t="s">
        <v>0</v>
      </c>
      <c r="IE23" s="1" t="s">
        <v>2</v>
      </c>
      <c r="IF23" s="1" t="s">
        <v>2</v>
      </c>
      <c r="IG23" s="1" t="s">
        <v>4</v>
      </c>
      <c r="IH23" s="1" t="s">
        <v>4</v>
      </c>
      <c r="IL23" s="1" t="s">
        <v>0</v>
      </c>
      <c r="IM23" s="1" t="s">
        <v>0</v>
      </c>
      <c r="IN23" s="1" t="s">
        <v>2</v>
      </c>
      <c r="IO23" s="1" t="s">
        <v>2</v>
      </c>
      <c r="IP23" s="1" t="s">
        <v>4</v>
      </c>
      <c r="IU23" s="1" t="s">
        <v>0</v>
      </c>
      <c r="IV23" s="1" t="s">
        <v>0</v>
      </c>
      <c r="IW23" s="1" t="s">
        <v>2</v>
      </c>
      <c r="IX23" s="1" t="s">
        <v>4</v>
      </c>
      <c r="IY23" s="1" t="s">
        <v>4</v>
      </c>
      <c r="JD23" s="1" t="s">
        <v>0</v>
      </c>
      <c r="JE23" s="1" t="s">
        <v>2</v>
      </c>
      <c r="JF23" s="1" t="s">
        <v>2</v>
      </c>
      <c r="JG23" s="1" t="s">
        <v>4</v>
      </c>
      <c r="JH23" s="1" t="s">
        <v>4</v>
      </c>
      <c r="JL23" s="1" t="s">
        <v>0</v>
      </c>
      <c r="JM23" s="1" t="s">
        <v>0</v>
      </c>
      <c r="JN23" s="1" t="s">
        <v>2</v>
      </c>
      <c r="JO23" s="1" t="s">
        <v>2</v>
      </c>
      <c r="JP23" s="1" t="s">
        <v>4</v>
      </c>
      <c r="JQ23" s="1" t="s">
        <v>4</v>
      </c>
      <c r="JU23" s="1" t="s">
        <v>0</v>
      </c>
      <c r="JV23" s="1" t="s">
        <v>0</v>
      </c>
      <c r="JW23" s="1" t="s">
        <v>2</v>
      </c>
      <c r="JX23" s="1" t="s">
        <v>2</v>
      </c>
      <c r="JY23" s="1" t="s">
        <v>4</v>
      </c>
      <c r="KD23" s="1" t="s">
        <v>0</v>
      </c>
      <c r="KE23" s="1" t="s">
        <v>0</v>
      </c>
      <c r="KF23" s="1" t="s">
        <v>2</v>
      </c>
      <c r="KG23" s="1" t="s">
        <v>4</v>
      </c>
      <c r="KH23" s="1" t="s">
        <v>4</v>
      </c>
      <c r="KM23" s="1" t="s">
        <v>0</v>
      </c>
      <c r="KN23" s="1" t="s">
        <v>2</v>
      </c>
      <c r="KO23" s="1" t="s">
        <v>2</v>
      </c>
      <c r="KP23" s="1" t="s">
        <v>4</v>
      </c>
      <c r="KQ23" s="1" t="s">
        <v>4</v>
      </c>
      <c r="KU23" s="1" t="s">
        <v>0</v>
      </c>
      <c r="KV23" s="1" t="s">
        <v>0</v>
      </c>
      <c r="KW23" s="1" t="s">
        <v>2</v>
      </c>
      <c r="KX23" s="1" t="s">
        <v>2</v>
      </c>
      <c r="KY23" s="1" t="s">
        <v>4</v>
      </c>
      <c r="KZ23" s="1" t="s">
        <v>4</v>
      </c>
      <c r="LD23" s="1" t="s">
        <v>0</v>
      </c>
      <c r="LE23" s="1" t="s">
        <v>0</v>
      </c>
      <c r="LF23" s="1" t="s">
        <v>2</v>
      </c>
      <c r="LG23" s="1" t="s">
        <v>2</v>
      </c>
      <c r="LH23" s="1" t="s">
        <v>4</v>
      </c>
      <c r="LM23" s="1" t="s">
        <v>0</v>
      </c>
      <c r="LN23" s="1" t="s">
        <v>0</v>
      </c>
      <c r="LO23" s="1" t="s">
        <v>2</v>
      </c>
      <c r="LP23" s="1" t="s">
        <v>4</v>
      </c>
      <c r="LQ23" s="1" t="s">
        <v>4</v>
      </c>
      <c r="LV23" s="1" t="s">
        <v>0</v>
      </c>
      <c r="LW23" s="1" t="s">
        <v>2</v>
      </c>
      <c r="LX23" s="1" t="s">
        <v>2</v>
      </c>
      <c r="LY23" s="1" t="s">
        <v>4</v>
      </c>
      <c r="LZ23" s="1" t="s">
        <v>4</v>
      </c>
      <c r="MD23" s="1" t="s">
        <v>0</v>
      </c>
      <c r="ME23" s="1" t="s">
        <v>0</v>
      </c>
      <c r="MF23" s="1" t="s">
        <v>2</v>
      </c>
      <c r="MG23" s="1" t="s">
        <v>2</v>
      </c>
      <c r="MH23" s="1" t="s">
        <v>4</v>
      </c>
      <c r="MI23" s="1" t="s">
        <v>4</v>
      </c>
      <c r="MM23" s="1" t="s">
        <v>0</v>
      </c>
      <c r="MN23" s="1" t="s">
        <v>0</v>
      </c>
      <c r="MO23" s="1" t="s">
        <v>2</v>
      </c>
      <c r="MP23" s="1" t="s">
        <v>2</v>
      </c>
      <c r="MQ23" s="1" t="s">
        <v>4</v>
      </c>
      <c r="MV23" s="1" t="s">
        <v>0</v>
      </c>
      <c r="MW23" s="1" t="s">
        <v>0</v>
      </c>
      <c r="MX23" s="1" t="s">
        <v>2</v>
      </c>
      <c r="MY23" s="1" t="s">
        <v>4</v>
      </c>
      <c r="MZ23" s="1" t="s">
        <v>4</v>
      </c>
    </row>
    <row r="24" spans="1:368" s="8" customFormat="1">
      <c r="BS24" s="8" t="s">
        <v>106</v>
      </c>
      <c r="CB24" s="8" t="s">
        <v>107</v>
      </c>
      <c r="CC24" s="8" t="s">
        <v>107</v>
      </c>
      <c r="CK24" s="8" t="s">
        <v>107</v>
      </c>
      <c r="CU24" s="22" t="s">
        <v>108</v>
      </c>
      <c r="CV24" s="22" t="s">
        <v>108</v>
      </c>
      <c r="DB24" s="8" t="s">
        <v>107</v>
      </c>
      <c r="DC24" s="8" t="s">
        <v>107</v>
      </c>
      <c r="DK24" s="8" t="s">
        <v>107</v>
      </c>
      <c r="DL24" s="8" t="s">
        <v>107</v>
      </c>
      <c r="DT24" s="8" t="s">
        <v>107</v>
      </c>
      <c r="ET24" s="8" t="s">
        <v>2</v>
      </c>
      <c r="EU24" s="8" t="s">
        <v>2</v>
      </c>
    </row>
    <row r="25" spans="1:368" ht="26.45">
      <c r="A25" s="1" t="s">
        <v>88</v>
      </c>
      <c r="B25" s="1" t="s">
        <v>88</v>
      </c>
      <c r="C25" s="1" t="s">
        <v>8</v>
      </c>
      <c r="D25" s="1" t="s">
        <v>8</v>
      </c>
      <c r="E25" s="1" t="s">
        <v>8</v>
      </c>
      <c r="H25" s="1" t="s">
        <v>8</v>
      </c>
      <c r="I25" s="1" t="s">
        <v>8</v>
      </c>
      <c r="J25" s="1" t="s">
        <v>8</v>
      </c>
      <c r="K25" s="1" t="s">
        <v>8</v>
      </c>
      <c r="L25" s="1" t="s">
        <v>8</v>
      </c>
      <c r="O25" s="1" t="s">
        <v>8</v>
      </c>
      <c r="P25" s="1" t="s">
        <v>8</v>
      </c>
      <c r="Q25" s="1" t="s">
        <v>8</v>
      </c>
      <c r="R25" s="1" t="s">
        <v>8</v>
      </c>
      <c r="S25" s="1" t="s">
        <v>8</v>
      </c>
      <c r="V25" s="1" t="s">
        <v>8</v>
      </c>
      <c r="W25" s="1" t="s">
        <v>8</v>
      </c>
      <c r="X25" s="1" t="s">
        <v>8</v>
      </c>
      <c r="Y25" s="1" t="s">
        <v>8</v>
      </c>
      <c r="Z25" s="1" t="s">
        <v>8</v>
      </c>
      <c r="AC25" s="1" t="s">
        <v>8</v>
      </c>
      <c r="AD25" s="1" t="s">
        <v>8</v>
      </c>
      <c r="AE25" s="1" t="s">
        <v>8</v>
      </c>
      <c r="AF25" s="1" t="s">
        <v>8</v>
      </c>
      <c r="AG25" s="1" t="s">
        <v>8</v>
      </c>
      <c r="AJ25" s="1" t="s">
        <v>8</v>
      </c>
      <c r="AK25" s="1" t="s">
        <v>8</v>
      </c>
      <c r="AL25" s="1" t="s">
        <v>8</v>
      </c>
      <c r="AM25" s="1" t="s">
        <v>8</v>
      </c>
      <c r="AN25" s="1" t="s">
        <v>8</v>
      </c>
      <c r="AQ25" s="1" t="s">
        <v>8</v>
      </c>
      <c r="AR25" s="1" t="s">
        <v>8</v>
      </c>
      <c r="AS25" s="1" t="s">
        <v>8</v>
      </c>
      <c r="AT25" s="1" t="s">
        <v>8</v>
      </c>
      <c r="AU25" s="1" t="s">
        <v>8</v>
      </c>
      <c r="AX25" s="1" t="s">
        <v>8</v>
      </c>
      <c r="AY25" s="1" t="s">
        <v>8</v>
      </c>
      <c r="AZ25" s="1" t="s">
        <v>8</v>
      </c>
      <c r="BA25" s="1" t="s">
        <v>8</v>
      </c>
      <c r="BB25" s="1" t="s">
        <v>8</v>
      </c>
      <c r="BE25" s="1" t="s">
        <v>8</v>
      </c>
      <c r="BF25" s="1" t="s">
        <v>8</v>
      </c>
      <c r="BG25" s="1" t="s">
        <v>8</v>
      </c>
      <c r="BH25" s="1" t="s">
        <v>8</v>
      </c>
      <c r="BI25" s="1" t="s">
        <v>8</v>
      </c>
      <c r="BL25" s="1" t="s">
        <v>8</v>
      </c>
      <c r="BM25" s="1" t="s">
        <v>8</v>
      </c>
      <c r="BN25" s="1" t="s">
        <v>8</v>
      </c>
      <c r="BO25" s="1" t="s">
        <v>8</v>
      </c>
      <c r="BP25" s="1" t="s">
        <v>8</v>
      </c>
      <c r="BS25" s="1" t="s">
        <v>8</v>
      </c>
      <c r="BT25" s="1" t="s">
        <v>8</v>
      </c>
      <c r="BU25" s="1" t="s">
        <v>8</v>
      </c>
      <c r="BV25" s="1" t="s">
        <v>8</v>
      </c>
      <c r="BW25" s="1" t="s">
        <v>8</v>
      </c>
      <c r="BZ25" s="1" t="s">
        <v>8</v>
      </c>
      <c r="CA25" s="1" t="s">
        <v>8</v>
      </c>
      <c r="CB25" s="1" t="s">
        <v>8</v>
      </c>
      <c r="CC25" s="1" t="s">
        <v>8</v>
      </c>
      <c r="CD25" s="1" t="s">
        <v>8</v>
      </c>
      <c r="CG25" s="20" t="s">
        <v>127</v>
      </c>
      <c r="CH25" s="21" t="s">
        <v>8</v>
      </c>
      <c r="CI25" s="20" t="s">
        <v>126</v>
      </c>
      <c r="CJ25" s="21" t="s">
        <v>8</v>
      </c>
      <c r="CK25" s="21" t="s">
        <v>8</v>
      </c>
      <c r="CN25" s="22" t="s">
        <v>127</v>
      </c>
      <c r="CO25" s="23" t="s">
        <v>8</v>
      </c>
      <c r="CP25" s="22" t="s">
        <v>126</v>
      </c>
      <c r="CQ25" s="23" t="s">
        <v>8</v>
      </c>
      <c r="CR25" s="24" t="s">
        <v>128</v>
      </c>
      <c r="CU25" s="24" t="s">
        <v>129</v>
      </c>
      <c r="CV25" s="1" t="s">
        <v>8</v>
      </c>
      <c r="CW25" s="24" t="s">
        <v>129</v>
      </c>
      <c r="CX25" s="24" t="s">
        <v>128</v>
      </c>
      <c r="CY25" s="1" t="s">
        <v>8</v>
      </c>
      <c r="DC25" s="1" t="s">
        <v>8</v>
      </c>
      <c r="DD25" s="1" t="s">
        <v>8</v>
      </c>
      <c r="DE25" s="1" t="s">
        <v>8</v>
      </c>
      <c r="DF25" s="1" t="s">
        <v>8</v>
      </c>
      <c r="DI25" s="1" t="s">
        <v>8</v>
      </c>
      <c r="DJ25" s="1" t="s">
        <v>8</v>
      </c>
      <c r="DK25" s="1" t="s">
        <v>8</v>
      </c>
      <c r="DL25" s="1" t="s">
        <v>8</v>
      </c>
      <c r="DM25" s="1" t="s">
        <v>8</v>
      </c>
      <c r="DP25" s="1" t="s">
        <v>8</v>
      </c>
      <c r="DQ25" s="1" t="s">
        <v>8</v>
      </c>
      <c r="DR25" s="1" t="s">
        <v>8</v>
      </c>
      <c r="DS25" s="1" t="s">
        <v>8</v>
      </c>
      <c r="DT25" s="1" t="s">
        <v>8</v>
      </c>
      <c r="DW25" s="1" t="s">
        <v>8</v>
      </c>
      <c r="DX25" s="1" t="s">
        <v>8</v>
      </c>
      <c r="DY25" s="1" t="s">
        <v>8</v>
      </c>
      <c r="DZ25" s="1" t="s">
        <v>8</v>
      </c>
      <c r="EA25" s="1" t="s">
        <v>8</v>
      </c>
      <c r="ED25" s="1" t="s">
        <v>8</v>
      </c>
      <c r="EE25" s="1" t="s">
        <v>8</v>
      </c>
      <c r="EF25" s="1" t="s">
        <v>8</v>
      </c>
      <c r="EG25" s="1" t="s">
        <v>8</v>
      </c>
      <c r="EH25" s="1" t="s">
        <v>8</v>
      </c>
      <c r="EK25" s="1" t="s">
        <v>6</v>
      </c>
      <c r="EL25" s="1" t="s">
        <v>6</v>
      </c>
      <c r="EM25" s="1" t="s">
        <v>6</v>
      </c>
      <c r="EN25" s="1" t="s">
        <v>6</v>
      </c>
      <c r="EO25" s="1" t="s">
        <v>6</v>
      </c>
      <c r="ER25" s="1" t="s">
        <v>6</v>
      </c>
      <c r="ES25" s="1" t="s">
        <v>6</v>
      </c>
      <c r="ET25" s="1" t="s">
        <v>6</v>
      </c>
      <c r="EU25" s="1" t="s">
        <v>6</v>
      </c>
      <c r="EV25" s="1" t="s">
        <v>6</v>
      </c>
      <c r="EY25" s="1" t="s">
        <v>8</v>
      </c>
      <c r="EZ25" s="1" t="s">
        <v>8</v>
      </c>
      <c r="FA25" s="1" t="s">
        <v>8</v>
      </c>
      <c r="FB25" s="1" t="s">
        <v>8</v>
      </c>
      <c r="FC25" s="1" t="s">
        <v>8</v>
      </c>
      <c r="FF25" s="1" t="s">
        <v>8</v>
      </c>
      <c r="FG25" s="1" t="s">
        <v>8</v>
      </c>
      <c r="FH25" s="1" t="s">
        <v>8</v>
      </c>
      <c r="FI25" s="1" t="s">
        <v>8</v>
      </c>
      <c r="FJ25" s="1" t="s">
        <v>8</v>
      </c>
      <c r="FM25" s="1" t="s">
        <v>8</v>
      </c>
      <c r="FN25" s="1" t="s">
        <v>8</v>
      </c>
      <c r="FO25" s="1" t="s">
        <v>8</v>
      </c>
      <c r="FP25" s="1" t="s">
        <v>8</v>
      </c>
      <c r="FQ25" s="1" t="s">
        <v>8</v>
      </c>
      <c r="FT25" s="1" t="s">
        <v>8</v>
      </c>
      <c r="FU25" s="1" t="s">
        <v>8</v>
      </c>
      <c r="FV25" s="1" t="s">
        <v>8</v>
      </c>
      <c r="FW25" s="1" t="s">
        <v>8</v>
      </c>
      <c r="FX25" s="1" t="s">
        <v>8</v>
      </c>
      <c r="GA25" s="1" t="s">
        <v>8</v>
      </c>
      <c r="GB25" s="1" t="s">
        <v>8</v>
      </c>
      <c r="GC25" s="1" t="s">
        <v>8</v>
      </c>
      <c r="GD25" s="1" t="s">
        <v>8</v>
      </c>
      <c r="GE25" s="1" t="s">
        <v>8</v>
      </c>
      <c r="GH25" s="1" t="s">
        <v>8</v>
      </c>
      <c r="GI25" s="1" t="s">
        <v>8</v>
      </c>
      <c r="GJ25" s="1" t="s">
        <v>8</v>
      </c>
      <c r="GK25" s="1" t="s">
        <v>8</v>
      </c>
      <c r="GL25" s="1" t="s">
        <v>8</v>
      </c>
      <c r="GO25" s="1" t="s">
        <v>8</v>
      </c>
      <c r="GP25" s="1" t="s">
        <v>8</v>
      </c>
      <c r="GQ25" s="1" t="s">
        <v>8</v>
      </c>
      <c r="GR25" s="1" t="s">
        <v>8</v>
      </c>
      <c r="GS25" s="1" t="s">
        <v>8</v>
      </c>
      <c r="GV25" s="1" t="s">
        <v>8</v>
      </c>
      <c r="GW25" s="1" t="s">
        <v>8</v>
      </c>
      <c r="GX25" s="1" t="s">
        <v>8</v>
      </c>
      <c r="GY25" s="1" t="s">
        <v>8</v>
      </c>
      <c r="GZ25" s="1" t="s">
        <v>8</v>
      </c>
      <c r="HC25" s="1" t="s">
        <v>8</v>
      </c>
      <c r="HD25" s="1" t="s">
        <v>8</v>
      </c>
      <c r="HE25" s="1" t="s">
        <v>8</v>
      </c>
      <c r="HF25" s="1" t="s">
        <v>8</v>
      </c>
      <c r="HG25" s="1" t="s">
        <v>8</v>
      </c>
      <c r="HJ25" s="1" t="s">
        <v>8</v>
      </c>
      <c r="HK25" s="1" t="s">
        <v>8</v>
      </c>
      <c r="HL25" s="1" t="s">
        <v>8</v>
      </c>
      <c r="HM25" s="1" t="s">
        <v>8</v>
      </c>
      <c r="HN25" s="1" t="s">
        <v>8</v>
      </c>
      <c r="HQ25" s="1" t="s">
        <v>8</v>
      </c>
      <c r="HR25" s="1" t="s">
        <v>8</v>
      </c>
      <c r="HS25" s="1" t="s">
        <v>8</v>
      </c>
      <c r="HT25" s="1" t="s">
        <v>8</v>
      </c>
      <c r="HU25" s="1" t="s">
        <v>8</v>
      </c>
      <c r="HX25" s="1" t="s">
        <v>8</v>
      </c>
      <c r="HY25" s="1" t="s">
        <v>8</v>
      </c>
      <c r="HZ25" s="1" t="s">
        <v>8</v>
      </c>
      <c r="IA25" s="1" t="s">
        <v>8</v>
      </c>
      <c r="IB25" s="1" t="s">
        <v>8</v>
      </c>
      <c r="IE25" s="1" t="s">
        <v>8</v>
      </c>
      <c r="IF25" s="1" t="s">
        <v>8</v>
      </c>
      <c r="IG25" s="1" t="s">
        <v>8</v>
      </c>
      <c r="IH25" s="1" t="s">
        <v>8</v>
      </c>
      <c r="II25" s="1" t="s">
        <v>8</v>
      </c>
      <c r="IL25" s="1" t="s">
        <v>8</v>
      </c>
      <c r="IM25" s="1" t="s">
        <v>8</v>
      </c>
      <c r="IN25" s="1" t="s">
        <v>8</v>
      </c>
      <c r="IO25" s="1" t="s">
        <v>8</v>
      </c>
      <c r="IP25" s="1" t="s">
        <v>8</v>
      </c>
      <c r="IS25" s="1" t="s">
        <v>8</v>
      </c>
      <c r="IT25" s="1" t="s">
        <v>8</v>
      </c>
      <c r="IU25" s="1" t="s">
        <v>8</v>
      </c>
      <c r="IV25" s="1" t="s">
        <v>8</v>
      </c>
      <c r="IW25" s="1" t="s">
        <v>8</v>
      </c>
      <c r="IZ25" s="1" t="s">
        <v>8</v>
      </c>
      <c r="JA25" s="1" t="s">
        <v>8</v>
      </c>
      <c r="JB25" s="1" t="s">
        <v>8</v>
      </c>
      <c r="JC25" s="1" t="s">
        <v>8</v>
      </c>
      <c r="JD25" s="1" t="s">
        <v>8</v>
      </c>
      <c r="JG25" s="1" t="s">
        <v>8</v>
      </c>
      <c r="JH25" s="1" t="s">
        <v>8</v>
      </c>
      <c r="JI25" s="1" t="s">
        <v>8</v>
      </c>
      <c r="JJ25" s="1" t="s">
        <v>8</v>
      </c>
      <c r="JK25" s="1" t="s">
        <v>8</v>
      </c>
      <c r="JN25" s="1" t="s">
        <v>8</v>
      </c>
      <c r="JO25" s="1" t="s">
        <v>8</v>
      </c>
      <c r="JP25" s="1" t="s">
        <v>8</v>
      </c>
      <c r="JQ25" s="1" t="s">
        <v>8</v>
      </c>
      <c r="JR25" s="1" t="s">
        <v>8</v>
      </c>
      <c r="JU25" s="1" t="s">
        <v>8</v>
      </c>
      <c r="JV25" s="1" t="s">
        <v>8</v>
      </c>
      <c r="JW25" s="1" t="s">
        <v>8</v>
      </c>
      <c r="JX25" s="1" t="s">
        <v>8</v>
      </c>
      <c r="JY25" s="1" t="s">
        <v>8</v>
      </c>
      <c r="KB25" s="1" t="s">
        <v>8</v>
      </c>
      <c r="KC25" s="1" t="s">
        <v>8</v>
      </c>
      <c r="KD25" s="1" t="s">
        <v>8</v>
      </c>
      <c r="KE25" s="1" t="s">
        <v>8</v>
      </c>
      <c r="KF25" s="1" t="s">
        <v>8</v>
      </c>
      <c r="KI25" s="1" t="s">
        <v>8</v>
      </c>
      <c r="KJ25" s="1" t="s">
        <v>8</v>
      </c>
      <c r="KK25" s="1" t="s">
        <v>8</v>
      </c>
      <c r="KL25" s="1" t="s">
        <v>8</v>
      </c>
      <c r="KM25" s="1" t="s">
        <v>8</v>
      </c>
      <c r="KP25" s="1" t="s">
        <v>8</v>
      </c>
      <c r="KQ25" s="1" t="s">
        <v>8</v>
      </c>
      <c r="KR25" s="1" t="s">
        <v>8</v>
      </c>
      <c r="KS25" s="1" t="s">
        <v>8</v>
      </c>
      <c r="KT25" s="1" t="s">
        <v>8</v>
      </c>
      <c r="KW25" s="1" t="s">
        <v>8</v>
      </c>
      <c r="KX25" s="1" t="s">
        <v>8</v>
      </c>
      <c r="KY25" s="1" t="s">
        <v>8</v>
      </c>
      <c r="KZ25" s="1" t="s">
        <v>8</v>
      </c>
      <c r="LA25" s="1" t="s">
        <v>8</v>
      </c>
      <c r="LD25" s="1" t="s">
        <v>8</v>
      </c>
      <c r="LE25" s="1" t="s">
        <v>8</v>
      </c>
      <c r="LF25" s="1" t="s">
        <v>8</v>
      </c>
      <c r="LG25" s="1" t="s">
        <v>8</v>
      </c>
      <c r="LH25" s="1" t="s">
        <v>8</v>
      </c>
      <c r="LK25" s="1" t="s">
        <v>8</v>
      </c>
      <c r="LL25" s="1" t="s">
        <v>8</v>
      </c>
      <c r="LM25" s="1" t="s">
        <v>8</v>
      </c>
      <c r="LN25" s="1" t="s">
        <v>8</v>
      </c>
      <c r="LO25" s="1" t="s">
        <v>8</v>
      </c>
      <c r="LR25" s="1" t="s">
        <v>8</v>
      </c>
      <c r="LS25" s="1" t="s">
        <v>8</v>
      </c>
      <c r="LT25" s="1" t="s">
        <v>8</v>
      </c>
      <c r="LU25" s="1" t="s">
        <v>8</v>
      </c>
      <c r="LV25" s="1" t="s">
        <v>8</v>
      </c>
      <c r="LY25" s="1" t="s">
        <v>8</v>
      </c>
      <c r="LZ25" s="1" t="s">
        <v>8</v>
      </c>
      <c r="MA25" s="1" t="s">
        <v>8</v>
      </c>
      <c r="MB25" s="1" t="s">
        <v>8</v>
      </c>
      <c r="MC25" s="1" t="s">
        <v>8</v>
      </c>
      <c r="MF25" s="1" t="s">
        <v>8</v>
      </c>
      <c r="MG25" s="1" t="s">
        <v>8</v>
      </c>
      <c r="MH25" s="1" t="s">
        <v>8</v>
      </c>
      <c r="MI25" s="1" t="s">
        <v>8</v>
      </c>
      <c r="MJ25" s="1" t="s">
        <v>8</v>
      </c>
      <c r="MM25" s="1" t="s">
        <v>8</v>
      </c>
      <c r="MN25" s="1" t="s">
        <v>8</v>
      </c>
      <c r="MO25" s="1" t="s">
        <v>8</v>
      </c>
      <c r="MP25" s="1" t="s">
        <v>8</v>
      </c>
      <c r="MQ25" s="1" t="s">
        <v>8</v>
      </c>
      <c r="MT25" s="1" t="s">
        <v>8</v>
      </c>
      <c r="MU25" s="1" t="s">
        <v>8</v>
      </c>
      <c r="MV25" s="1" t="s">
        <v>8</v>
      </c>
      <c r="MW25" s="1" t="s">
        <v>8</v>
      </c>
      <c r="NA25" s="1" t="s">
        <v>8</v>
      </c>
      <c r="NB25" s="1" t="s">
        <v>8</v>
      </c>
      <c r="NC25" s="1" t="s">
        <v>8</v>
      </c>
      <c r="ND25" s="1" t="s">
        <v>8</v>
      </c>
    </row>
    <row r="26" spans="1:368" ht="26.45">
      <c r="A26" s="1" t="s">
        <v>89</v>
      </c>
      <c r="B26" s="1" t="s">
        <v>89</v>
      </c>
      <c r="C26" s="1" t="s">
        <v>8</v>
      </c>
      <c r="D26" s="1" t="s">
        <v>8</v>
      </c>
      <c r="H26" s="1" t="s">
        <v>8</v>
      </c>
      <c r="I26" s="1" t="s">
        <v>8</v>
      </c>
      <c r="J26" s="1" t="s">
        <v>8</v>
      </c>
      <c r="K26" s="1" t="s">
        <v>8</v>
      </c>
      <c r="O26" s="1" t="s">
        <v>8</v>
      </c>
      <c r="P26" s="1" t="s">
        <v>8</v>
      </c>
      <c r="Q26" s="1" t="s">
        <v>8</v>
      </c>
      <c r="R26" s="1" t="s">
        <v>8</v>
      </c>
      <c r="V26" s="1" t="s">
        <v>8</v>
      </c>
      <c r="W26" s="1" t="s">
        <v>8</v>
      </c>
      <c r="X26" s="1" t="s">
        <v>8</v>
      </c>
      <c r="Y26" s="1" t="s">
        <v>6</v>
      </c>
      <c r="AC26" s="1" t="s">
        <v>8</v>
      </c>
      <c r="AD26" s="1" t="s">
        <v>8</v>
      </c>
      <c r="AE26" s="1" t="s">
        <v>8</v>
      </c>
      <c r="AF26" s="1" t="s">
        <v>8</v>
      </c>
      <c r="AJ26" s="1" t="s">
        <v>6</v>
      </c>
      <c r="AK26" s="1" t="s">
        <v>8</v>
      </c>
      <c r="AL26" s="1" t="s">
        <v>8</v>
      </c>
      <c r="AM26" s="1" t="s">
        <v>8</v>
      </c>
      <c r="AQ26" s="1" t="s">
        <v>8</v>
      </c>
      <c r="AR26" s="1" t="s">
        <v>8</v>
      </c>
      <c r="AS26" s="1" t="s">
        <v>8</v>
      </c>
      <c r="AT26" s="1" t="s">
        <v>8</v>
      </c>
      <c r="AX26" s="1" t="s">
        <v>8</v>
      </c>
      <c r="AY26" s="1" t="s">
        <v>8</v>
      </c>
      <c r="AZ26" s="1" t="s">
        <v>8</v>
      </c>
      <c r="BA26" s="1" t="s">
        <v>8</v>
      </c>
      <c r="BB26" s="1" t="s">
        <v>8</v>
      </c>
      <c r="BE26" s="1" t="s">
        <v>8</v>
      </c>
      <c r="BF26" s="1" t="s">
        <v>8</v>
      </c>
      <c r="BG26" s="1" t="s">
        <v>8</v>
      </c>
      <c r="BH26" s="1" t="s">
        <v>6</v>
      </c>
      <c r="BL26" s="1" t="s">
        <v>8</v>
      </c>
      <c r="BM26" s="1" t="s">
        <v>8</v>
      </c>
      <c r="BN26" s="1" t="s">
        <v>8</v>
      </c>
      <c r="BO26" s="1" t="s">
        <v>8</v>
      </c>
      <c r="BS26" s="1" t="s">
        <v>8</v>
      </c>
      <c r="BT26" s="1" t="s">
        <v>8</v>
      </c>
      <c r="BU26" s="1" t="s">
        <v>8</v>
      </c>
      <c r="BV26" s="1" t="s">
        <v>8</v>
      </c>
      <c r="BZ26" s="1" t="s">
        <v>8</v>
      </c>
      <c r="CA26" s="1" t="s">
        <v>8</v>
      </c>
      <c r="CB26" s="1" t="s">
        <v>8</v>
      </c>
      <c r="CC26" s="1" t="s">
        <v>8</v>
      </c>
      <c r="CG26" s="20" t="s">
        <v>127</v>
      </c>
      <c r="CH26" s="20" t="s">
        <v>127</v>
      </c>
      <c r="CI26" s="21" t="s">
        <v>8</v>
      </c>
      <c r="CJ26" s="21" t="s">
        <v>8</v>
      </c>
      <c r="CK26" s="21"/>
      <c r="CN26" s="23" t="s">
        <v>8</v>
      </c>
      <c r="CO26" s="24" t="s">
        <v>130</v>
      </c>
      <c r="CP26" s="23" t="s">
        <v>8</v>
      </c>
      <c r="CQ26" s="22" t="s">
        <v>126</v>
      </c>
      <c r="CR26" s="23"/>
      <c r="CU26" s="1" t="s">
        <v>6</v>
      </c>
      <c r="CV26" s="1" t="s">
        <v>6</v>
      </c>
      <c r="CW26" s="1" t="s">
        <v>8</v>
      </c>
      <c r="CX26" s="24" t="s">
        <v>131</v>
      </c>
      <c r="DC26" s="1" t="s">
        <v>8</v>
      </c>
      <c r="DD26" s="1" t="s">
        <v>8</v>
      </c>
      <c r="DE26" s="1" t="s">
        <v>8</v>
      </c>
      <c r="DI26" s="1" t="s">
        <v>8</v>
      </c>
      <c r="DJ26" s="1" t="s">
        <v>8</v>
      </c>
      <c r="DK26" s="1" t="s">
        <v>8</v>
      </c>
      <c r="DL26" s="1" t="s">
        <v>8</v>
      </c>
      <c r="DP26" s="1" t="s">
        <v>8</v>
      </c>
      <c r="DQ26" s="1" t="s">
        <v>8</v>
      </c>
      <c r="DR26" s="1" t="s">
        <v>8</v>
      </c>
      <c r="DS26" s="1" t="s">
        <v>8</v>
      </c>
      <c r="DW26" s="1" t="s">
        <v>8</v>
      </c>
      <c r="DX26" s="1" t="s">
        <v>8</v>
      </c>
      <c r="DY26" s="1" t="s">
        <v>8</v>
      </c>
      <c r="DZ26" s="1" t="s">
        <v>8</v>
      </c>
      <c r="ED26" s="1" t="s">
        <v>8</v>
      </c>
      <c r="EE26" s="1" t="s">
        <v>8</v>
      </c>
      <c r="EF26" s="1" t="s">
        <v>8</v>
      </c>
      <c r="EG26" s="1" t="s">
        <v>8</v>
      </c>
      <c r="EK26" s="1" t="s">
        <v>8</v>
      </c>
      <c r="EL26" s="1" t="s">
        <v>8</v>
      </c>
      <c r="EM26" s="1" t="s">
        <v>8</v>
      </c>
      <c r="EN26" s="1" t="s">
        <v>8</v>
      </c>
      <c r="ER26" s="1" t="s">
        <v>8</v>
      </c>
      <c r="ES26" s="1" t="s">
        <v>8</v>
      </c>
      <c r="ET26" s="1" t="s">
        <v>8</v>
      </c>
      <c r="EU26" s="1" t="s">
        <v>8</v>
      </c>
      <c r="EY26" s="1" t="s">
        <v>8</v>
      </c>
      <c r="EZ26" s="1" t="s">
        <v>8</v>
      </c>
      <c r="FA26" s="1" t="s">
        <v>8</v>
      </c>
      <c r="FB26" s="1" t="s">
        <v>8</v>
      </c>
      <c r="FF26" s="1" t="s">
        <v>8</v>
      </c>
      <c r="FG26" s="1" t="s">
        <v>8</v>
      </c>
      <c r="FH26" s="1" t="s">
        <v>8</v>
      </c>
      <c r="FI26" s="1" t="s">
        <v>8</v>
      </c>
      <c r="FM26" s="1" t="s">
        <v>8</v>
      </c>
      <c r="FN26" s="1" t="s">
        <v>8</v>
      </c>
      <c r="FO26" s="1" t="s">
        <v>8</v>
      </c>
      <c r="FP26" s="1" t="s">
        <v>8</v>
      </c>
      <c r="FT26" s="1" t="s">
        <v>8</v>
      </c>
      <c r="FU26" s="1" t="s">
        <v>8</v>
      </c>
      <c r="FV26" s="1" t="s">
        <v>8</v>
      </c>
      <c r="FW26" s="1" t="s">
        <v>8</v>
      </c>
      <c r="GA26" s="1" t="s">
        <v>8</v>
      </c>
      <c r="GB26" s="1" t="s">
        <v>8</v>
      </c>
      <c r="GC26" s="1" t="s">
        <v>8</v>
      </c>
      <c r="GD26" s="1" t="s">
        <v>8</v>
      </c>
      <c r="GH26" s="1" t="s">
        <v>8</v>
      </c>
      <c r="GI26" s="1" t="s">
        <v>8</v>
      </c>
      <c r="GJ26" s="1" t="s">
        <v>8</v>
      </c>
      <c r="GK26" s="1" t="s">
        <v>8</v>
      </c>
      <c r="GO26" s="1" t="s">
        <v>8</v>
      </c>
      <c r="GP26" s="1" t="s">
        <v>8</v>
      </c>
      <c r="GQ26" s="1" t="s">
        <v>8</v>
      </c>
      <c r="GR26" s="1" t="s">
        <v>8</v>
      </c>
      <c r="GV26" s="1" t="s">
        <v>8</v>
      </c>
      <c r="GW26" s="1" t="s">
        <v>8</v>
      </c>
      <c r="GX26" s="1" t="s">
        <v>8</v>
      </c>
      <c r="GY26" s="1" t="s">
        <v>8</v>
      </c>
      <c r="HC26" s="1" t="s">
        <v>8</v>
      </c>
      <c r="HD26" s="1" t="s">
        <v>8</v>
      </c>
      <c r="HE26" s="1" t="s">
        <v>8</v>
      </c>
      <c r="HF26" s="1" t="s">
        <v>8</v>
      </c>
      <c r="HJ26" s="1" t="s">
        <v>6</v>
      </c>
      <c r="HK26" s="1" t="s">
        <v>6</v>
      </c>
      <c r="HL26" s="1" t="s">
        <v>6</v>
      </c>
      <c r="HM26" s="1" t="s">
        <v>6</v>
      </c>
      <c r="HQ26" s="1" t="s">
        <v>6</v>
      </c>
      <c r="HR26" s="1" t="s">
        <v>6</v>
      </c>
      <c r="HS26" s="1" t="s">
        <v>6</v>
      </c>
      <c r="HT26" s="1" t="s">
        <v>6</v>
      </c>
      <c r="HX26" s="1" t="s">
        <v>6</v>
      </c>
      <c r="HY26" s="1" t="s">
        <v>6</v>
      </c>
      <c r="HZ26" s="1" t="s">
        <v>6</v>
      </c>
      <c r="IA26" s="1" t="s">
        <v>6</v>
      </c>
      <c r="IE26" s="1" t="s">
        <v>8</v>
      </c>
      <c r="IF26" s="1" t="s">
        <v>8</v>
      </c>
      <c r="IG26" s="1" t="s">
        <v>8</v>
      </c>
      <c r="IH26" s="1" t="s">
        <v>8</v>
      </c>
      <c r="IL26" s="1" t="s">
        <v>8</v>
      </c>
      <c r="IM26" s="1" t="s">
        <v>8</v>
      </c>
      <c r="IN26" s="1" t="s">
        <v>8</v>
      </c>
      <c r="IO26" s="1" t="s">
        <v>8</v>
      </c>
      <c r="IS26" s="1" t="s">
        <v>8</v>
      </c>
      <c r="IT26" s="1" t="s">
        <v>8</v>
      </c>
      <c r="IU26" s="1" t="s">
        <v>8</v>
      </c>
      <c r="IV26" s="1" t="s">
        <v>8</v>
      </c>
      <c r="IZ26" s="1" t="s">
        <v>8</v>
      </c>
      <c r="JA26" s="1" t="s">
        <v>8</v>
      </c>
      <c r="JB26" s="1" t="s">
        <v>8</v>
      </c>
      <c r="JC26" s="1" t="s">
        <v>8</v>
      </c>
      <c r="JG26" s="1" t="s">
        <v>8</v>
      </c>
      <c r="JH26" s="1" t="s">
        <v>8</v>
      </c>
      <c r="JI26" s="1" t="s">
        <v>8</v>
      </c>
      <c r="JJ26" s="1" t="s">
        <v>8</v>
      </c>
      <c r="JN26" s="1" t="s">
        <v>8</v>
      </c>
      <c r="JO26" s="1" t="s">
        <v>8</v>
      </c>
      <c r="JP26" s="1" t="s">
        <v>8</v>
      </c>
      <c r="JQ26" s="1" t="s">
        <v>8</v>
      </c>
      <c r="JU26" s="1" t="s">
        <v>8</v>
      </c>
      <c r="JV26" s="1" t="s">
        <v>8</v>
      </c>
      <c r="JW26" s="1" t="s">
        <v>8</v>
      </c>
      <c r="JX26" s="1" t="s">
        <v>8</v>
      </c>
      <c r="KB26" s="1" t="s">
        <v>8</v>
      </c>
      <c r="KC26" s="1" t="s">
        <v>8</v>
      </c>
      <c r="KD26" s="1" t="s">
        <v>8</v>
      </c>
      <c r="KE26" s="1" t="s">
        <v>8</v>
      </c>
      <c r="KI26" s="1" t="s">
        <v>8</v>
      </c>
      <c r="KJ26" s="1" t="s">
        <v>8</v>
      </c>
      <c r="KK26" s="1" t="s">
        <v>8</v>
      </c>
      <c r="KL26" s="1" t="s">
        <v>8</v>
      </c>
      <c r="KP26" s="1" t="s">
        <v>8</v>
      </c>
      <c r="KQ26" s="1" t="s">
        <v>8</v>
      </c>
      <c r="KR26" s="1" t="s">
        <v>8</v>
      </c>
      <c r="KS26" s="1" t="s">
        <v>8</v>
      </c>
      <c r="KW26" s="1" t="s">
        <v>8</v>
      </c>
      <c r="KX26" s="1" t="s">
        <v>8</v>
      </c>
      <c r="KY26" s="1" t="s">
        <v>8</v>
      </c>
      <c r="KZ26" s="1" t="s">
        <v>8</v>
      </c>
      <c r="LD26" s="1" t="s">
        <v>8</v>
      </c>
      <c r="LE26" s="1" t="s">
        <v>8</v>
      </c>
      <c r="LF26" s="1" t="s">
        <v>8</v>
      </c>
      <c r="LG26" s="1" t="s">
        <v>8</v>
      </c>
      <c r="LK26" s="1" t="s">
        <v>8</v>
      </c>
      <c r="LL26" s="1" t="s">
        <v>8</v>
      </c>
      <c r="LM26" s="1" t="s">
        <v>8</v>
      </c>
      <c r="LN26" s="1" t="s">
        <v>8</v>
      </c>
      <c r="LR26" s="1" t="s">
        <v>8</v>
      </c>
      <c r="LS26" s="1" t="s">
        <v>8</v>
      </c>
      <c r="LT26" s="1" t="s">
        <v>8</v>
      </c>
      <c r="LU26" s="1" t="s">
        <v>8</v>
      </c>
      <c r="LY26" s="1" t="s">
        <v>8</v>
      </c>
      <c r="LZ26" s="1" t="s">
        <v>8</v>
      </c>
      <c r="MA26" s="1" t="s">
        <v>8</v>
      </c>
      <c r="MB26" s="1" t="s">
        <v>8</v>
      </c>
      <c r="MF26" s="1" t="s">
        <v>8</v>
      </c>
      <c r="MG26" s="1" t="s">
        <v>8</v>
      </c>
      <c r="MH26" s="1" t="s">
        <v>8</v>
      </c>
      <c r="MI26" s="1" t="s">
        <v>8</v>
      </c>
      <c r="MM26" s="1" t="s">
        <v>8</v>
      </c>
      <c r="MN26" s="1" t="s">
        <v>8</v>
      </c>
      <c r="MO26" s="1" t="s">
        <v>8</v>
      </c>
      <c r="MP26" s="1" t="s">
        <v>8</v>
      </c>
      <c r="MT26" s="1" t="s">
        <v>8</v>
      </c>
      <c r="MU26" s="1" t="s">
        <v>8</v>
      </c>
      <c r="MV26" s="1" t="s">
        <v>8</v>
      </c>
      <c r="MW26" s="1" t="s">
        <v>8</v>
      </c>
      <c r="NA26" s="1" t="s">
        <v>8</v>
      </c>
      <c r="NB26" s="1" t="s">
        <v>8</v>
      </c>
      <c r="NC26" s="1" t="s">
        <v>8</v>
      </c>
      <c r="ND26" s="1" t="s">
        <v>8</v>
      </c>
    </row>
    <row r="27" spans="1:368" ht="26.45">
      <c r="A27" s="1" t="s">
        <v>90</v>
      </c>
      <c r="B27" s="1" t="s">
        <v>90</v>
      </c>
      <c r="C27" s="1" t="s">
        <v>8</v>
      </c>
      <c r="D27" s="1" t="s">
        <v>8</v>
      </c>
      <c r="E27" s="1" t="s">
        <v>8</v>
      </c>
      <c r="H27" s="1" t="s">
        <v>8</v>
      </c>
      <c r="J27" s="1" t="s">
        <v>8</v>
      </c>
      <c r="K27" s="1" t="s">
        <v>8</v>
      </c>
      <c r="L27" s="1" t="s">
        <v>8</v>
      </c>
      <c r="O27" s="1" t="s">
        <v>8</v>
      </c>
      <c r="Q27" s="1" t="s">
        <v>8</v>
      </c>
      <c r="R27" s="1" t="s">
        <v>8</v>
      </c>
      <c r="S27" s="1" t="s">
        <v>8</v>
      </c>
      <c r="V27" s="1" t="s">
        <v>8</v>
      </c>
      <c r="X27" s="1" t="s">
        <v>8</v>
      </c>
      <c r="Y27" s="1" t="s">
        <v>8</v>
      </c>
      <c r="Z27" s="1" t="s">
        <v>8</v>
      </c>
      <c r="AC27" s="1" t="s">
        <v>8</v>
      </c>
      <c r="AE27" s="1" t="s">
        <v>8</v>
      </c>
      <c r="AF27" s="1" t="s">
        <v>8</v>
      </c>
      <c r="AG27" s="1" t="s">
        <v>8</v>
      </c>
      <c r="AJ27" s="1" t="s">
        <v>8</v>
      </c>
      <c r="AL27" s="1" t="s">
        <v>8</v>
      </c>
      <c r="AM27" s="1" t="s">
        <v>8</v>
      </c>
      <c r="AN27" s="1" t="s">
        <v>8</v>
      </c>
      <c r="AQ27" s="1" t="s">
        <v>8</v>
      </c>
      <c r="AS27" s="1" t="s">
        <v>8</v>
      </c>
      <c r="AT27" s="1" t="s">
        <v>8</v>
      </c>
      <c r="AU27" s="1" t="s">
        <v>8</v>
      </c>
      <c r="AX27" s="1" t="s">
        <v>8</v>
      </c>
      <c r="AY27" s="48" t="s">
        <v>0</v>
      </c>
      <c r="AZ27" s="48" t="s">
        <v>2</v>
      </c>
      <c r="BA27" s="1" t="s">
        <v>8</v>
      </c>
      <c r="BB27" s="9" t="s">
        <v>0</v>
      </c>
      <c r="BE27" s="1" t="s">
        <v>8</v>
      </c>
      <c r="BG27" s="1" t="s">
        <v>8</v>
      </c>
      <c r="BH27" s="1" t="s">
        <v>8</v>
      </c>
      <c r="BI27" s="1" t="s">
        <v>8</v>
      </c>
      <c r="BL27" s="1" t="s">
        <v>8</v>
      </c>
      <c r="BN27" s="1" t="s">
        <v>8</v>
      </c>
      <c r="BO27" s="1" t="s">
        <v>8</v>
      </c>
      <c r="BP27" s="1" t="s">
        <v>8</v>
      </c>
      <c r="BS27" s="1" t="s">
        <v>8</v>
      </c>
      <c r="BU27" s="1" t="s">
        <v>8</v>
      </c>
      <c r="BV27" s="1" t="s">
        <v>8</v>
      </c>
      <c r="BW27" s="1" t="s">
        <v>8</v>
      </c>
      <c r="BZ27" s="1" t="s">
        <v>8</v>
      </c>
      <c r="CB27" s="1" t="s">
        <v>8</v>
      </c>
      <c r="CC27" s="1" t="s">
        <v>8</v>
      </c>
      <c r="CD27" s="1" t="s">
        <v>8</v>
      </c>
      <c r="CG27" s="21" t="s">
        <v>8</v>
      </c>
      <c r="CH27" s="21"/>
      <c r="CI27" s="21" t="s">
        <v>8</v>
      </c>
      <c r="CJ27" s="20" t="s">
        <v>126</v>
      </c>
      <c r="CK27" s="20" t="s">
        <v>127</v>
      </c>
      <c r="CN27" s="22" t="s">
        <v>126</v>
      </c>
      <c r="CO27" s="23"/>
      <c r="CP27" s="24" t="s">
        <v>132</v>
      </c>
      <c r="CQ27" s="24" t="s">
        <v>130</v>
      </c>
      <c r="CR27" s="23" t="s">
        <v>8</v>
      </c>
      <c r="CU27" s="1" t="s">
        <v>8</v>
      </c>
      <c r="CV27" s="24" t="s">
        <v>129</v>
      </c>
      <c r="CX27" s="1" t="s">
        <v>8</v>
      </c>
      <c r="CY27" s="24" t="s">
        <v>129</v>
      </c>
      <c r="DD27" s="1" t="s">
        <v>8</v>
      </c>
      <c r="DE27" s="1" t="s">
        <v>8</v>
      </c>
      <c r="DF27" s="1" t="s">
        <v>8</v>
      </c>
      <c r="DI27" s="1" t="s">
        <v>8</v>
      </c>
      <c r="DK27" s="1" t="s">
        <v>8</v>
      </c>
      <c r="DL27" s="1" t="s">
        <v>8</v>
      </c>
      <c r="DM27" s="1" t="s">
        <v>8</v>
      </c>
      <c r="DP27" s="1" t="s">
        <v>6</v>
      </c>
      <c r="DR27" s="1" t="s">
        <v>6</v>
      </c>
      <c r="DS27" s="1" t="s">
        <v>6</v>
      </c>
      <c r="DT27" s="1" t="s">
        <v>6</v>
      </c>
      <c r="DW27" s="1" t="s">
        <v>8</v>
      </c>
      <c r="DY27" s="1" t="s">
        <v>8</v>
      </c>
      <c r="DZ27" s="1" t="s">
        <v>8</v>
      </c>
      <c r="EA27" s="1" t="s">
        <v>8</v>
      </c>
      <c r="ED27" s="1" t="s">
        <v>8</v>
      </c>
      <c r="EF27" s="1" t="s">
        <v>8</v>
      </c>
      <c r="EG27" s="1" t="s">
        <v>8</v>
      </c>
      <c r="EH27" s="1" t="s">
        <v>8</v>
      </c>
      <c r="EK27" s="1" t="s">
        <v>8</v>
      </c>
      <c r="EM27" s="1" t="s">
        <v>8</v>
      </c>
      <c r="EN27" s="1" t="s">
        <v>8</v>
      </c>
      <c r="EO27" s="1" t="s">
        <v>8</v>
      </c>
      <c r="ER27" s="1" t="s">
        <v>8</v>
      </c>
      <c r="ET27" s="1" t="s">
        <v>8</v>
      </c>
      <c r="EU27" s="1" t="s">
        <v>8</v>
      </c>
      <c r="EV27" s="1" t="s">
        <v>8</v>
      </c>
      <c r="EY27" s="1" t="s">
        <v>8</v>
      </c>
      <c r="FA27" s="1" t="s">
        <v>8</v>
      </c>
      <c r="FB27" s="1" t="s">
        <v>8</v>
      </c>
      <c r="FC27" s="1" t="s">
        <v>8</v>
      </c>
      <c r="FF27" s="1" t="s">
        <v>8</v>
      </c>
      <c r="FH27" s="1" t="s">
        <v>8</v>
      </c>
      <c r="FI27" s="1" t="s">
        <v>8</v>
      </c>
      <c r="FJ27" s="1" t="s">
        <v>8</v>
      </c>
      <c r="FM27" s="1" t="s">
        <v>8</v>
      </c>
      <c r="FO27" s="1" t="s">
        <v>8</v>
      </c>
      <c r="FP27" s="1" t="s">
        <v>8</v>
      </c>
      <c r="FQ27" s="1" t="s">
        <v>8</v>
      </c>
      <c r="FT27" s="1" t="s">
        <v>8</v>
      </c>
      <c r="FV27" s="1" t="s">
        <v>8</v>
      </c>
      <c r="FW27" s="1" t="s">
        <v>8</v>
      </c>
      <c r="FX27" s="1" t="s">
        <v>8</v>
      </c>
      <c r="GA27" s="1" t="s">
        <v>8</v>
      </c>
      <c r="GC27" s="1" t="s">
        <v>8</v>
      </c>
      <c r="GD27" s="1" t="s">
        <v>8</v>
      </c>
      <c r="GE27" s="1" t="s">
        <v>8</v>
      </c>
      <c r="GH27" s="1" t="s">
        <v>8</v>
      </c>
      <c r="GJ27" s="1" t="s">
        <v>8</v>
      </c>
      <c r="GK27" s="1" t="s">
        <v>8</v>
      </c>
      <c r="GL27" s="1" t="s">
        <v>8</v>
      </c>
      <c r="GO27" s="1" t="s">
        <v>8</v>
      </c>
      <c r="GQ27" s="1" t="s">
        <v>8</v>
      </c>
      <c r="GR27" s="1" t="s">
        <v>8</v>
      </c>
      <c r="GS27" s="1" t="s">
        <v>8</v>
      </c>
      <c r="GV27" s="1" t="s">
        <v>8</v>
      </c>
      <c r="GX27" s="1" t="s">
        <v>8</v>
      </c>
      <c r="GY27" s="1" t="s">
        <v>8</v>
      </c>
      <c r="GZ27" s="1" t="s">
        <v>8</v>
      </c>
      <c r="HC27" s="1" t="s">
        <v>8</v>
      </c>
      <c r="HE27" s="1" t="s">
        <v>8</v>
      </c>
      <c r="HF27" s="1" t="s">
        <v>8</v>
      </c>
      <c r="HG27" s="1" t="s">
        <v>8</v>
      </c>
      <c r="HJ27" s="1" t="s">
        <v>8</v>
      </c>
      <c r="HK27" s="1" t="s">
        <v>8</v>
      </c>
      <c r="HL27" s="1" t="s">
        <v>8</v>
      </c>
      <c r="HM27" s="1" t="s">
        <v>8</v>
      </c>
      <c r="HQ27" s="1" t="s">
        <v>8</v>
      </c>
      <c r="HS27" s="1" t="s">
        <v>8</v>
      </c>
      <c r="HT27" s="1" t="s">
        <v>8</v>
      </c>
      <c r="HU27" s="1" t="s">
        <v>8</v>
      </c>
      <c r="HX27" s="1" t="s">
        <v>8</v>
      </c>
      <c r="HZ27" s="1" t="s">
        <v>8</v>
      </c>
      <c r="IA27" s="1" t="s">
        <v>8</v>
      </c>
      <c r="IB27" s="1" t="s">
        <v>6</v>
      </c>
      <c r="IE27" s="1" t="s">
        <v>8</v>
      </c>
      <c r="IG27" s="1" t="s">
        <v>8</v>
      </c>
      <c r="IH27" s="1" t="s">
        <v>8</v>
      </c>
      <c r="II27" s="1" t="s">
        <v>8</v>
      </c>
      <c r="IL27" s="1" t="s">
        <v>8</v>
      </c>
      <c r="IN27" s="1" t="s">
        <v>8</v>
      </c>
      <c r="IO27" s="1" t="s">
        <v>8</v>
      </c>
      <c r="IP27" s="1" t="s">
        <v>8</v>
      </c>
      <c r="IS27" s="1" t="s">
        <v>8</v>
      </c>
      <c r="IU27" s="1" t="s">
        <v>8</v>
      </c>
      <c r="IV27" s="1" t="s">
        <v>8</v>
      </c>
      <c r="IW27" s="1" t="s">
        <v>8</v>
      </c>
      <c r="IZ27" s="1" t="s">
        <v>8</v>
      </c>
      <c r="JB27" s="1" t="s">
        <v>8</v>
      </c>
      <c r="JC27" s="1" t="s">
        <v>8</v>
      </c>
      <c r="JD27" s="1" t="s">
        <v>8</v>
      </c>
      <c r="JG27" s="1" t="s">
        <v>8</v>
      </c>
      <c r="JI27" s="1" t="s">
        <v>8</v>
      </c>
      <c r="JJ27" s="1" t="s">
        <v>8</v>
      </c>
      <c r="JK27" s="1" t="s">
        <v>8</v>
      </c>
      <c r="JN27" s="1" t="s">
        <v>8</v>
      </c>
      <c r="JP27" s="1" t="s">
        <v>8</v>
      </c>
      <c r="JQ27" s="1" t="s">
        <v>8</v>
      </c>
      <c r="JR27" s="1" t="s">
        <v>8</v>
      </c>
      <c r="JU27" s="1" t="s">
        <v>8</v>
      </c>
      <c r="JW27" s="1" t="s">
        <v>8</v>
      </c>
      <c r="JX27" s="1" t="s">
        <v>8</v>
      </c>
      <c r="JY27" s="1" t="s">
        <v>8</v>
      </c>
      <c r="KB27" s="1" t="s">
        <v>8</v>
      </c>
      <c r="KD27" s="1" t="s">
        <v>8</v>
      </c>
      <c r="KE27" s="1" t="s">
        <v>8</v>
      </c>
      <c r="KF27" s="1" t="s">
        <v>8</v>
      </c>
      <c r="KI27" s="1" t="s">
        <v>8</v>
      </c>
      <c r="KK27" s="1" t="s">
        <v>8</v>
      </c>
      <c r="KL27" s="1" t="s">
        <v>8</v>
      </c>
      <c r="KM27" s="1" t="s">
        <v>8</v>
      </c>
      <c r="KP27" s="1" t="s">
        <v>8</v>
      </c>
      <c r="KR27" s="1" t="s">
        <v>8</v>
      </c>
      <c r="KS27" s="1" t="s">
        <v>8</v>
      </c>
      <c r="KT27" s="1" t="s">
        <v>8</v>
      </c>
      <c r="KW27" s="1" t="s">
        <v>8</v>
      </c>
      <c r="KY27" s="1" t="s">
        <v>8</v>
      </c>
      <c r="KZ27" s="1" t="s">
        <v>8</v>
      </c>
      <c r="LA27" s="1" t="s">
        <v>8</v>
      </c>
      <c r="LD27" s="1" t="s">
        <v>8</v>
      </c>
      <c r="LF27" s="1" t="s">
        <v>8</v>
      </c>
      <c r="LG27" s="1" t="s">
        <v>8</v>
      </c>
      <c r="LH27" s="1" t="s">
        <v>8</v>
      </c>
      <c r="LK27" s="1" t="s">
        <v>8</v>
      </c>
      <c r="LM27" s="1" t="s">
        <v>8</v>
      </c>
      <c r="LN27" s="1" t="s">
        <v>8</v>
      </c>
      <c r="LO27" s="1" t="s">
        <v>8</v>
      </c>
      <c r="LR27" s="1" t="s">
        <v>8</v>
      </c>
      <c r="LT27" s="1" t="s">
        <v>8</v>
      </c>
      <c r="LU27" s="1" t="s">
        <v>8</v>
      </c>
      <c r="LV27" s="1" t="s">
        <v>8</v>
      </c>
      <c r="LY27" s="1" t="s">
        <v>8</v>
      </c>
      <c r="MA27" s="1" t="s">
        <v>8</v>
      </c>
      <c r="MB27" s="1" t="s">
        <v>8</v>
      </c>
      <c r="MC27" s="1" t="s">
        <v>8</v>
      </c>
      <c r="MF27" s="1" t="s">
        <v>8</v>
      </c>
      <c r="MH27" s="1" t="s">
        <v>8</v>
      </c>
      <c r="MI27" s="1" t="s">
        <v>8</v>
      </c>
      <c r="MJ27" s="1" t="s">
        <v>8</v>
      </c>
      <c r="MM27" s="1" t="s">
        <v>8</v>
      </c>
      <c r="MO27" s="1" t="s">
        <v>8</v>
      </c>
      <c r="MP27" s="1" t="s">
        <v>8</v>
      </c>
      <c r="MQ27" s="1" t="s">
        <v>8</v>
      </c>
      <c r="MT27" s="1" t="s">
        <v>8</v>
      </c>
      <c r="MV27" s="1" t="s">
        <v>8</v>
      </c>
      <c r="MW27" s="1" t="s">
        <v>8</v>
      </c>
      <c r="MX27" s="1" t="s">
        <v>8</v>
      </c>
      <c r="NA27" s="1" t="s">
        <v>8</v>
      </c>
      <c r="NC27" s="1" t="s">
        <v>8</v>
      </c>
      <c r="ND27" s="1" t="s">
        <v>8</v>
      </c>
    </row>
    <row r="28" spans="1:368">
      <c r="AZ28" s="218" t="s">
        <v>109</v>
      </c>
      <c r="BA28" s="219"/>
      <c r="CV28" s="17"/>
      <c r="ES28" s="1" t="s">
        <v>110</v>
      </c>
      <c r="HY28" s="8" t="s">
        <v>110</v>
      </c>
    </row>
    <row r="29" spans="1:368">
      <c r="A29" s="1" t="s">
        <v>91</v>
      </c>
      <c r="B29" s="1" t="s">
        <v>91</v>
      </c>
      <c r="E29" s="1" t="s">
        <v>0</v>
      </c>
      <c r="F29" s="1" t="s">
        <v>2</v>
      </c>
      <c r="G29" s="1" t="s">
        <v>12</v>
      </c>
      <c r="J29" s="1" t="s">
        <v>8</v>
      </c>
      <c r="K29" s="1" t="s">
        <v>8</v>
      </c>
      <c r="L29" s="1" t="s">
        <v>8</v>
      </c>
      <c r="O29" s="1" t="s">
        <v>8</v>
      </c>
      <c r="P29" s="1" t="s">
        <v>8</v>
      </c>
      <c r="Q29" s="1" t="s">
        <v>8</v>
      </c>
      <c r="R29" s="1" t="s">
        <v>8</v>
      </c>
      <c r="S29" s="1" t="s">
        <v>8</v>
      </c>
      <c r="V29" s="1" t="s">
        <v>8</v>
      </c>
      <c r="W29" s="1" t="s">
        <v>8</v>
      </c>
      <c r="X29" s="1" t="s">
        <v>8</v>
      </c>
      <c r="Y29" s="1" t="s">
        <v>8</v>
      </c>
      <c r="Z29" s="1" t="s">
        <v>8</v>
      </c>
      <c r="AC29" s="1" t="s">
        <v>8</v>
      </c>
      <c r="AD29" s="1" t="s">
        <v>8</v>
      </c>
      <c r="AE29" s="1" t="s">
        <v>8</v>
      </c>
      <c r="AF29" s="1" t="s">
        <v>8</v>
      </c>
      <c r="AG29" s="1" t="s">
        <v>8</v>
      </c>
      <c r="AJ29" s="1" t="s">
        <v>8</v>
      </c>
      <c r="AK29" s="1" t="s">
        <v>8</v>
      </c>
      <c r="AL29" s="1" t="s">
        <v>6</v>
      </c>
      <c r="AM29" s="1" t="s">
        <v>8</v>
      </c>
      <c r="AN29" s="1" t="s">
        <v>8</v>
      </c>
      <c r="AQ29" s="1" t="s">
        <v>8</v>
      </c>
      <c r="AR29" s="1" t="s">
        <v>8</v>
      </c>
      <c r="AS29" s="1" t="s">
        <v>8</v>
      </c>
      <c r="AT29" s="1" t="s">
        <v>8</v>
      </c>
      <c r="AU29" s="1" t="s">
        <v>8</v>
      </c>
      <c r="AX29" s="1" t="s">
        <v>8</v>
      </c>
      <c r="AY29" s="1" t="s">
        <v>8</v>
      </c>
      <c r="AZ29" s="1" t="s">
        <v>8</v>
      </c>
      <c r="BA29" s="1" t="s">
        <v>8</v>
      </c>
      <c r="BB29" s="1" t="s">
        <v>8</v>
      </c>
      <c r="BE29" s="1" t="s">
        <v>6</v>
      </c>
      <c r="BF29" s="1" t="s">
        <v>6</v>
      </c>
      <c r="BG29" s="1" t="s">
        <v>6</v>
      </c>
      <c r="BH29" s="1" t="s">
        <v>8</v>
      </c>
      <c r="BI29" s="1" t="s">
        <v>8</v>
      </c>
      <c r="BL29" s="1" t="s">
        <v>0</v>
      </c>
      <c r="BM29" s="1" t="s">
        <v>0</v>
      </c>
      <c r="BN29" s="1" t="s">
        <v>2</v>
      </c>
      <c r="BO29" s="1" t="s">
        <v>2</v>
      </c>
      <c r="BP29" s="1" t="s">
        <v>4</v>
      </c>
      <c r="BU29" s="1" t="s">
        <v>0</v>
      </c>
      <c r="BV29" s="1" t="s">
        <v>0</v>
      </c>
      <c r="BW29" s="1" t="s">
        <v>2</v>
      </c>
      <c r="BZ29" s="1" t="s">
        <v>0</v>
      </c>
      <c r="CA29" s="1" t="s">
        <v>0</v>
      </c>
      <c r="CD29" s="1" t="s">
        <v>0</v>
      </c>
      <c r="CE29" s="1" t="s">
        <v>0</v>
      </c>
      <c r="CF29" s="1" t="s">
        <v>0</v>
      </c>
      <c r="CI29" s="1" t="s">
        <v>0</v>
      </c>
      <c r="CJ29" s="1" t="s">
        <v>0</v>
      </c>
      <c r="CL29" s="1" t="s">
        <v>0</v>
      </c>
      <c r="CM29" s="1" t="s">
        <v>0</v>
      </c>
      <c r="CN29" s="1" t="s">
        <v>2</v>
      </c>
      <c r="CO29" s="1" t="s">
        <v>2</v>
      </c>
      <c r="CP29" s="1" t="s">
        <v>4</v>
      </c>
      <c r="CQ29" s="1" t="s">
        <v>4</v>
      </c>
      <c r="CU29" s="1" t="s">
        <v>6</v>
      </c>
      <c r="CV29" s="15" t="s">
        <v>0</v>
      </c>
      <c r="CW29" s="1" t="s">
        <v>2</v>
      </c>
      <c r="CX29" s="1" t="s">
        <v>2</v>
      </c>
      <c r="CY29" s="1" t="s">
        <v>4</v>
      </c>
      <c r="DP29" s="1" t="s">
        <v>8</v>
      </c>
      <c r="DQ29" s="1" t="s">
        <v>8</v>
      </c>
      <c r="DR29" s="1" t="s">
        <v>8</v>
      </c>
      <c r="DS29" s="1" t="s">
        <v>8</v>
      </c>
      <c r="DT29" s="1" t="s">
        <v>8</v>
      </c>
      <c r="DW29" s="1" t="s">
        <v>8</v>
      </c>
      <c r="DX29" s="1" t="s">
        <v>8</v>
      </c>
      <c r="DY29" s="1" t="s">
        <v>8</v>
      </c>
      <c r="DZ29" s="1" t="s">
        <v>8</v>
      </c>
      <c r="EA29" s="1" t="s">
        <v>8</v>
      </c>
      <c r="ED29" s="1" t="s">
        <v>8</v>
      </c>
      <c r="EE29" s="1" t="s">
        <v>8</v>
      </c>
      <c r="EF29" s="1" t="s">
        <v>8</v>
      </c>
      <c r="EG29" s="1" t="s">
        <v>8</v>
      </c>
      <c r="EH29" s="1" t="s">
        <v>8</v>
      </c>
      <c r="EK29" s="1" t="s">
        <v>8</v>
      </c>
      <c r="EL29" s="1" t="s">
        <v>8</v>
      </c>
      <c r="EM29" s="1" t="s">
        <v>8</v>
      </c>
      <c r="EN29" s="1" t="s">
        <v>8</v>
      </c>
      <c r="EO29" s="1" t="s">
        <v>8</v>
      </c>
      <c r="ER29" s="1" t="s">
        <v>8</v>
      </c>
      <c r="ES29" s="1" t="s">
        <v>8</v>
      </c>
      <c r="ET29" s="1" t="s">
        <v>8</v>
      </c>
      <c r="EU29" s="1" t="s">
        <v>8</v>
      </c>
      <c r="EV29" s="1" t="s">
        <v>8</v>
      </c>
      <c r="EY29" s="1" t="s">
        <v>0</v>
      </c>
      <c r="EZ29" s="1" t="s">
        <v>0</v>
      </c>
      <c r="FA29" s="1" t="s">
        <v>2</v>
      </c>
      <c r="FB29" s="1" t="s">
        <v>2</v>
      </c>
      <c r="FC29" s="1" t="s">
        <v>4</v>
      </c>
      <c r="FH29" s="1" t="s">
        <v>0</v>
      </c>
      <c r="FI29" s="1" t="s">
        <v>0</v>
      </c>
      <c r="FJ29" s="1" t="s">
        <v>2</v>
      </c>
      <c r="FK29" s="1" t="s">
        <v>4</v>
      </c>
      <c r="FL29" s="1" t="s">
        <v>4</v>
      </c>
      <c r="FQ29" s="1" t="s">
        <v>0</v>
      </c>
      <c r="FR29" s="1" t="s">
        <v>2</v>
      </c>
      <c r="FS29" s="1" t="s">
        <v>2</v>
      </c>
      <c r="FT29" s="1" t="s">
        <v>4</v>
      </c>
      <c r="FU29" s="1" t="s">
        <v>4</v>
      </c>
      <c r="GA29" s="1" t="s">
        <v>8</v>
      </c>
      <c r="GB29" s="1" t="s">
        <v>8</v>
      </c>
      <c r="GC29" s="1" t="s">
        <v>8</v>
      </c>
      <c r="GD29" s="1" t="s">
        <v>8</v>
      </c>
      <c r="GE29" s="1" t="s">
        <v>8</v>
      </c>
      <c r="GH29" s="1" t="s">
        <v>8</v>
      </c>
      <c r="GI29" s="1" t="s">
        <v>8</v>
      </c>
      <c r="GJ29" s="1" t="s">
        <v>8</v>
      </c>
      <c r="GK29" s="1" t="s">
        <v>8</v>
      </c>
      <c r="GL29" s="1" t="s">
        <v>8</v>
      </c>
      <c r="GO29" s="1" t="s">
        <v>8</v>
      </c>
      <c r="GP29" s="1" t="s">
        <v>8</v>
      </c>
      <c r="GQ29" s="1" t="s">
        <v>8</v>
      </c>
      <c r="GR29" s="1" t="s">
        <v>8</v>
      </c>
      <c r="GS29" s="1" t="s">
        <v>8</v>
      </c>
      <c r="GV29" s="1" t="s">
        <v>8</v>
      </c>
      <c r="GW29" s="1" t="s">
        <v>8</v>
      </c>
      <c r="GX29" s="1" t="s">
        <v>8</v>
      </c>
      <c r="GY29" s="1" t="s">
        <v>8</v>
      </c>
      <c r="GZ29" s="1" t="s">
        <v>8</v>
      </c>
      <c r="HC29" s="1" t="s">
        <v>8</v>
      </c>
      <c r="HD29" s="1" t="s">
        <v>8</v>
      </c>
      <c r="HE29" s="1" t="s">
        <v>8</v>
      </c>
      <c r="HF29" s="1" t="s">
        <v>8</v>
      </c>
      <c r="HG29" s="1" t="s">
        <v>8</v>
      </c>
      <c r="HJ29" s="1" t="s">
        <v>8</v>
      </c>
      <c r="HK29" s="1" t="s">
        <v>8</v>
      </c>
      <c r="HL29" s="1" t="s">
        <v>8</v>
      </c>
      <c r="HM29" s="1" t="s">
        <v>8</v>
      </c>
      <c r="HN29" s="1" t="s">
        <v>8</v>
      </c>
      <c r="HQ29" s="1" t="s">
        <v>2</v>
      </c>
      <c r="HR29" s="1" t="s">
        <v>2</v>
      </c>
      <c r="HS29" s="1" t="s">
        <v>4</v>
      </c>
      <c r="HT29" s="1" t="s">
        <v>4</v>
      </c>
      <c r="HX29" s="1" t="s">
        <v>0</v>
      </c>
      <c r="HY29" s="1" t="s">
        <v>0</v>
      </c>
      <c r="HZ29" s="1" t="s">
        <v>2</v>
      </c>
      <c r="IA29" s="1" t="s">
        <v>2</v>
      </c>
      <c r="IB29" s="1" t="s">
        <v>4</v>
      </c>
      <c r="IE29" s="1" t="s">
        <v>8</v>
      </c>
      <c r="IF29" s="1" t="s">
        <v>8</v>
      </c>
      <c r="IG29" s="1" t="s">
        <v>8</v>
      </c>
      <c r="IH29" s="1" t="s">
        <v>8</v>
      </c>
      <c r="II29" s="1" t="s">
        <v>8</v>
      </c>
      <c r="IL29" s="1" t="s">
        <v>8</v>
      </c>
      <c r="IM29" s="1" t="s">
        <v>8</v>
      </c>
      <c r="IN29" s="1" t="s">
        <v>8</v>
      </c>
      <c r="IO29" s="1" t="s">
        <v>8</v>
      </c>
      <c r="IP29" s="1" t="s">
        <v>8</v>
      </c>
      <c r="IS29" s="1" t="s">
        <v>8</v>
      </c>
      <c r="IT29" s="1" t="s">
        <v>8</v>
      </c>
      <c r="IU29" s="1" t="s">
        <v>8</v>
      </c>
      <c r="IV29" s="1" t="s">
        <v>8</v>
      </c>
      <c r="IW29" s="1" t="s">
        <v>8</v>
      </c>
      <c r="IZ29" s="1" t="s">
        <v>8</v>
      </c>
      <c r="JA29" s="1" t="s">
        <v>8</v>
      </c>
      <c r="JB29" s="1" t="s">
        <v>8</v>
      </c>
      <c r="JC29" s="1" t="s">
        <v>8</v>
      </c>
      <c r="JD29" s="1" t="s">
        <v>8</v>
      </c>
      <c r="JG29" s="1" t="s">
        <v>8</v>
      </c>
      <c r="JH29" s="1" t="s">
        <v>8</v>
      </c>
      <c r="JI29" s="1" t="s">
        <v>8</v>
      </c>
      <c r="JJ29" s="1" t="s">
        <v>8</v>
      </c>
      <c r="JK29" s="1" t="s">
        <v>8</v>
      </c>
      <c r="JN29" s="1" t="s">
        <v>8</v>
      </c>
      <c r="JO29" s="1" t="s">
        <v>8</v>
      </c>
      <c r="JP29" s="1" t="s">
        <v>8</v>
      </c>
      <c r="JQ29" s="1" t="s">
        <v>8</v>
      </c>
      <c r="JR29" s="1" t="s">
        <v>8</v>
      </c>
      <c r="JU29" s="1" t="s">
        <v>8</v>
      </c>
      <c r="JV29" s="1" t="s">
        <v>8</v>
      </c>
      <c r="JW29" s="1" t="s">
        <v>8</v>
      </c>
      <c r="JX29" s="1" t="s">
        <v>8</v>
      </c>
      <c r="JY29" s="1" t="s">
        <v>8</v>
      </c>
      <c r="KB29" s="1" t="s">
        <v>8</v>
      </c>
      <c r="KC29" s="1" t="s">
        <v>8</v>
      </c>
      <c r="KD29" s="1" t="s">
        <v>8</v>
      </c>
      <c r="KE29" s="1" t="s">
        <v>8</v>
      </c>
      <c r="KF29" s="1" t="s">
        <v>8</v>
      </c>
      <c r="KI29" s="1" t="s">
        <v>8</v>
      </c>
      <c r="KJ29" s="1" t="s">
        <v>8</v>
      </c>
      <c r="KK29" s="1" t="s">
        <v>8</v>
      </c>
      <c r="KL29" s="1" t="s">
        <v>8</v>
      </c>
      <c r="KM29" s="1" t="s">
        <v>8</v>
      </c>
      <c r="KP29" s="1" t="s">
        <v>8</v>
      </c>
      <c r="KQ29" s="1" t="s">
        <v>8</v>
      </c>
      <c r="KR29" s="1" t="s">
        <v>8</v>
      </c>
      <c r="KS29" s="1" t="s">
        <v>8</v>
      </c>
      <c r="KT29" s="1" t="s">
        <v>8</v>
      </c>
      <c r="KW29" s="1" t="s">
        <v>8</v>
      </c>
      <c r="KX29" s="1" t="s">
        <v>8</v>
      </c>
      <c r="KY29" s="1" t="s">
        <v>8</v>
      </c>
      <c r="KZ29" s="1" t="s">
        <v>8</v>
      </c>
      <c r="LA29" s="1" t="s">
        <v>8</v>
      </c>
      <c r="LD29" s="1" t="s">
        <v>8</v>
      </c>
      <c r="LE29" s="1" t="s">
        <v>8</v>
      </c>
      <c r="LF29" s="1" t="s">
        <v>8</v>
      </c>
      <c r="LG29" s="1" t="s">
        <v>8</v>
      </c>
      <c r="LH29" s="1" t="s">
        <v>8</v>
      </c>
      <c r="LK29" s="1" t="s">
        <v>8</v>
      </c>
      <c r="LL29" s="1" t="s">
        <v>8</v>
      </c>
      <c r="LM29" s="1" t="s">
        <v>8</v>
      </c>
      <c r="LN29" s="1" t="s">
        <v>8</v>
      </c>
      <c r="LO29" s="1" t="s">
        <v>8</v>
      </c>
      <c r="LR29" s="1" t="s">
        <v>8</v>
      </c>
      <c r="LS29" s="1" t="s">
        <v>8</v>
      </c>
      <c r="LT29" s="1" t="s">
        <v>8</v>
      </c>
      <c r="LU29" s="1" t="s">
        <v>8</v>
      </c>
      <c r="LV29" s="1" t="s">
        <v>8</v>
      </c>
      <c r="LY29" s="1" t="s">
        <v>8</v>
      </c>
      <c r="LZ29" s="1" t="s">
        <v>8</v>
      </c>
      <c r="MA29" s="1" t="s">
        <v>8</v>
      </c>
      <c r="MB29" s="1" t="s">
        <v>8</v>
      </c>
      <c r="MC29" s="1" t="s">
        <v>8</v>
      </c>
      <c r="MF29" s="1" t="s">
        <v>8</v>
      </c>
      <c r="MG29" s="1" t="s">
        <v>8</v>
      </c>
      <c r="MH29" s="1" t="s">
        <v>8</v>
      </c>
      <c r="MI29" s="1" t="s">
        <v>8</v>
      </c>
      <c r="MJ29" s="1" t="s">
        <v>8</v>
      </c>
      <c r="MM29" s="1" t="s">
        <v>8</v>
      </c>
      <c r="MN29" s="1" t="s">
        <v>8</v>
      </c>
      <c r="MO29" s="1" t="s">
        <v>8</v>
      </c>
      <c r="MP29" s="1" t="s">
        <v>8</v>
      </c>
      <c r="MQ29" s="1" t="s">
        <v>8</v>
      </c>
      <c r="MT29" s="1" t="s">
        <v>8</v>
      </c>
      <c r="MU29" s="1" t="s">
        <v>8</v>
      </c>
      <c r="MV29" s="1" t="s">
        <v>8</v>
      </c>
      <c r="MW29" s="1" t="s">
        <v>8</v>
      </c>
      <c r="NA29" s="1" t="s">
        <v>8</v>
      </c>
      <c r="NB29" s="1" t="s">
        <v>8</v>
      </c>
      <c r="NC29" s="1" t="s">
        <v>8</v>
      </c>
      <c r="ND29" s="1" t="s">
        <v>8</v>
      </c>
    </row>
    <row r="30" spans="1:368">
      <c r="Y30" s="1" t="s">
        <v>111</v>
      </c>
      <c r="AJ30" s="1" t="s">
        <v>112</v>
      </c>
      <c r="AY30" s="1" t="s">
        <v>92</v>
      </c>
      <c r="BX30" s="8"/>
      <c r="CI30" s="19" t="s">
        <v>113</v>
      </c>
      <c r="CJ30" s="19" t="s">
        <v>113</v>
      </c>
      <c r="CU30" s="25"/>
      <c r="CV30" s="25" t="s">
        <v>113</v>
      </c>
    </row>
    <row r="31" spans="1:368" s="10" customFormat="1">
      <c r="A31" s="18" t="s">
        <v>114</v>
      </c>
      <c r="BL31" s="10">
        <v>3.5</v>
      </c>
      <c r="BM31" s="13">
        <v>3</v>
      </c>
      <c r="BN31" s="10">
        <v>3.5</v>
      </c>
      <c r="BO31" s="10">
        <v>3.5</v>
      </c>
      <c r="BP31" s="13">
        <v>2.5</v>
      </c>
      <c r="BS31" s="10">
        <v>3.5</v>
      </c>
      <c r="BT31" s="13">
        <v>2.5</v>
      </c>
      <c r="BU31" s="10">
        <v>4</v>
      </c>
      <c r="BV31" s="10">
        <v>4</v>
      </c>
      <c r="BW31" s="10">
        <v>3</v>
      </c>
      <c r="BZ31" s="10">
        <v>3</v>
      </c>
      <c r="CA31" s="13">
        <v>2.5</v>
      </c>
      <c r="CB31" s="10">
        <v>3.5</v>
      </c>
      <c r="CC31" s="10">
        <v>3.5</v>
      </c>
      <c r="CD31" s="10">
        <v>3.5</v>
      </c>
      <c r="CG31" s="10">
        <v>4.5</v>
      </c>
      <c r="CH31" s="10">
        <v>3.5</v>
      </c>
      <c r="CI31" s="10">
        <v>4</v>
      </c>
      <c r="CJ31" s="10">
        <v>4</v>
      </c>
      <c r="CK31" s="10">
        <v>3.5</v>
      </c>
      <c r="CN31" s="10">
        <v>3</v>
      </c>
      <c r="CO31" s="13">
        <v>3</v>
      </c>
      <c r="CP31" s="10">
        <v>3.5</v>
      </c>
      <c r="CQ31" s="10">
        <v>3.5</v>
      </c>
      <c r="CR31" s="13">
        <v>3</v>
      </c>
      <c r="CU31" s="14">
        <v>3</v>
      </c>
      <c r="CV31" s="14">
        <v>3</v>
      </c>
      <c r="CW31" s="10">
        <v>3.5</v>
      </c>
      <c r="CX31" s="10">
        <v>4.5</v>
      </c>
      <c r="CY31" s="10">
        <v>3</v>
      </c>
      <c r="DB31" s="10">
        <v>4.5</v>
      </c>
      <c r="DC31" s="10">
        <v>3.5</v>
      </c>
      <c r="DD31" s="10">
        <v>4.5</v>
      </c>
      <c r="DE31" s="10">
        <v>4.5</v>
      </c>
      <c r="DF31" s="10">
        <v>3.5</v>
      </c>
      <c r="DI31" s="10">
        <v>4</v>
      </c>
      <c r="DJ31" s="10">
        <v>3</v>
      </c>
      <c r="DK31" s="10">
        <v>4.5</v>
      </c>
      <c r="DL31" s="10">
        <v>4.5</v>
      </c>
      <c r="DM31" s="10">
        <v>3.5</v>
      </c>
      <c r="DP31" s="10">
        <v>3.5</v>
      </c>
      <c r="DQ31" s="10">
        <v>3.5</v>
      </c>
      <c r="DR31" s="10">
        <v>3</v>
      </c>
      <c r="DS31" s="10">
        <v>3</v>
      </c>
      <c r="DT31" s="13">
        <v>2.5</v>
      </c>
      <c r="DW31" s="10">
        <v>4.5</v>
      </c>
      <c r="DX31" s="10">
        <v>3.5</v>
      </c>
      <c r="DY31" s="10">
        <v>4</v>
      </c>
      <c r="DZ31" s="10">
        <v>4</v>
      </c>
      <c r="EA31" s="10">
        <v>3</v>
      </c>
      <c r="ED31" s="10">
        <v>4.5</v>
      </c>
      <c r="EE31" s="10">
        <v>3.5</v>
      </c>
      <c r="EF31" s="10">
        <v>4.5</v>
      </c>
      <c r="EG31" s="10">
        <v>4.5</v>
      </c>
      <c r="EH31" s="10">
        <v>3</v>
      </c>
      <c r="EK31" s="10">
        <v>3.5</v>
      </c>
      <c r="EL31" s="10">
        <v>2.5</v>
      </c>
      <c r="EM31" s="10">
        <v>4</v>
      </c>
      <c r="EN31" s="10">
        <v>4</v>
      </c>
      <c r="EO31" s="13">
        <v>3</v>
      </c>
      <c r="ER31" s="10">
        <v>3</v>
      </c>
      <c r="ES31" s="13">
        <v>3</v>
      </c>
      <c r="ET31" s="10">
        <v>3.5</v>
      </c>
      <c r="EU31" s="10">
        <v>3.5</v>
      </c>
      <c r="EV31" s="13">
        <v>3</v>
      </c>
      <c r="EY31" s="10">
        <v>4</v>
      </c>
      <c r="EZ31" s="10">
        <v>3</v>
      </c>
      <c r="FA31" s="10">
        <v>3.5</v>
      </c>
      <c r="FB31" s="10">
        <v>3.5</v>
      </c>
      <c r="FC31" s="13">
        <v>2.5</v>
      </c>
      <c r="FF31" s="10">
        <v>3</v>
      </c>
      <c r="FG31" s="13">
        <v>2.5</v>
      </c>
      <c r="FH31" s="10">
        <v>4</v>
      </c>
      <c r="FI31" s="10">
        <v>4</v>
      </c>
      <c r="FJ31" s="13">
        <v>2.5</v>
      </c>
      <c r="FM31" s="10">
        <v>3.5</v>
      </c>
      <c r="FN31" s="13">
        <v>2.5</v>
      </c>
      <c r="FO31" s="10">
        <v>3.5</v>
      </c>
      <c r="FP31" s="10">
        <v>3.5</v>
      </c>
      <c r="FQ31" s="10">
        <v>3</v>
      </c>
      <c r="FT31" s="10">
        <v>3.5</v>
      </c>
      <c r="FU31" s="13">
        <v>2.5</v>
      </c>
      <c r="FV31" s="10">
        <v>3.5</v>
      </c>
      <c r="FW31" s="10">
        <v>3.5</v>
      </c>
      <c r="FX31" s="13">
        <v>2.5</v>
      </c>
      <c r="GA31" s="10">
        <v>4</v>
      </c>
      <c r="GB31" s="10">
        <v>3</v>
      </c>
      <c r="GC31" s="10">
        <v>4.5</v>
      </c>
      <c r="GD31" s="10">
        <v>4.5</v>
      </c>
      <c r="GE31" s="10">
        <v>3.5</v>
      </c>
      <c r="GH31" s="10">
        <v>4.5</v>
      </c>
      <c r="GI31" s="10">
        <v>3.5</v>
      </c>
      <c r="GJ31" s="10">
        <v>4</v>
      </c>
      <c r="GK31" s="10">
        <v>4</v>
      </c>
      <c r="GL31" s="10">
        <v>3.5</v>
      </c>
      <c r="GO31" s="10">
        <v>4.5</v>
      </c>
      <c r="GP31" s="10">
        <v>3.5</v>
      </c>
      <c r="GQ31" s="10">
        <v>4.5</v>
      </c>
      <c r="GR31" s="10">
        <v>4.5</v>
      </c>
      <c r="GS31" s="10">
        <v>3</v>
      </c>
      <c r="GV31" s="10">
        <v>4.5</v>
      </c>
      <c r="GW31" s="10">
        <v>3.5</v>
      </c>
      <c r="GX31" s="10">
        <v>4.5</v>
      </c>
      <c r="GY31" s="10">
        <v>4.5</v>
      </c>
      <c r="GZ31" s="10">
        <v>3.5</v>
      </c>
      <c r="HC31" s="10">
        <v>4.5</v>
      </c>
      <c r="HD31" s="10">
        <v>3.5</v>
      </c>
      <c r="HE31" s="10">
        <v>4.5</v>
      </c>
      <c r="HF31" s="10">
        <v>4.5</v>
      </c>
      <c r="HG31" s="10">
        <v>3.5</v>
      </c>
      <c r="HJ31" s="10">
        <v>3</v>
      </c>
      <c r="HK31" s="13">
        <v>3</v>
      </c>
      <c r="HL31" s="10">
        <v>3.5</v>
      </c>
      <c r="HM31" s="10">
        <v>3.5</v>
      </c>
      <c r="HN31" s="10">
        <v>3</v>
      </c>
      <c r="HQ31" s="13">
        <v>2.5</v>
      </c>
      <c r="HR31" s="13">
        <v>2.5</v>
      </c>
      <c r="HS31" s="13">
        <v>2.5</v>
      </c>
      <c r="HT31" s="13">
        <v>2.5</v>
      </c>
      <c r="HU31" s="13">
        <v>3</v>
      </c>
      <c r="HX31" s="10">
        <v>3</v>
      </c>
      <c r="HY31" s="16">
        <v>3</v>
      </c>
      <c r="HZ31" s="13">
        <v>2.5</v>
      </c>
      <c r="IA31" s="13">
        <v>2.5</v>
      </c>
      <c r="IB31" s="13">
        <v>3</v>
      </c>
      <c r="IE31" s="10">
        <v>4.5</v>
      </c>
      <c r="IF31" s="16">
        <v>3.5</v>
      </c>
      <c r="IG31" s="10">
        <v>4.5</v>
      </c>
      <c r="IH31" s="10">
        <v>4.5</v>
      </c>
      <c r="II31" s="10">
        <v>3.5</v>
      </c>
    </row>
    <row r="32" spans="1:368">
      <c r="BX32" s="8"/>
    </row>
    <row r="33" spans="1:161">
      <c r="A33" s="1" t="s">
        <v>115</v>
      </c>
      <c r="B33" s="1" t="s">
        <v>115</v>
      </c>
      <c r="K33" s="1" t="s">
        <v>0</v>
      </c>
      <c r="L33" s="1" t="s">
        <v>0</v>
      </c>
      <c r="EV33" s="1" t="s">
        <v>116</v>
      </c>
    </row>
    <row r="34" spans="1:161">
      <c r="A34" s="1" t="s">
        <v>117</v>
      </c>
      <c r="B34" s="1" t="s">
        <v>117</v>
      </c>
    </row>
    <row r="36" spans="1:161">
      <c r="A36" s="1" t="s">
        <v>93</v>
      </c>
      <c r="B36" s="1" t="s">
        <v>94</v>
      </c>
    </row>
    <row r="37" spans="1:161">
      <c r="A37" s="1" t="s">
        <v>95</v>
      </c>
      <c r="B37" s="1" t="s">
        <v>96</v>
      </c>
    </row>
    <row r="42" spans="1:161">
      <c r="EK42" s="4" t="s">
        <v>34</v>
      </c>
      <c r="EL42" s="4"/>
      <c r="EM42" s="4"/>
      <c r="EN42" s="4"/>
      <c r="EO42" s="4"/>
      <c r="EP42" s="4"/>
      <c r="EQ42" s="4"/>
      <c r="ER42" s="4" t="s">
        <v>35</v>
      </c>
      <c r="ES42" s="4"/>
      <c r="ET42" s="4"/>
      <c r="EU42" s="4"/>
      <c r="EV42" s="4"/>
      <c r="EW42" s="4"/>
      <c r="EX42" s="4"/>
      <c r="EY42" s="4" t="s">
        <v>36</v>
      </c>
      <c r="EZ42" s="4"/>
      <c r="FA42" s="4"/>
      <c r="FB42" s="4"/>
      <c r="FC42" s="4"/>
      <c r="FD42" s="4"/>
      <c r="FE42" s="4"/>
    </row>
    <row r="43" spans="1:161">
      <c r="EK43" s="2" t="s">
        <v>71</v>
      </c>
      <c r="EL43" s="2" t="s">
        <v>72</v>
      </c>
      <c r="EM43" s="2" t="s">
        <v>66</v>
      </c>
      <c r="EN43" s="2" t="s">
        <v>73</v>
      </c>
      <c r="EO43" s="2" t="s">
        <v>68</v>
      </c>
      <c r="EP43" s="2" t="s">
        <v>69</v>
      </c>
      <c r="EQ43" s="2" t="s">
        <v>70</v>
      </c>
      <c r="ER43" s="2" t="s">
        <v>71</v>
      </c>
      <c r="ES43" s="2" t="s">
        <v>72</v>
      </c>
      <c r="ET43" s="2" t="s">
        <v>66</v>
      </c>
      <c r="EU43" s="2" t="s">
        <v>73</v>
      </c>
      <c r="EV43" s="2" t="s">
        <v>68</v>
      </c>
      <c r="EW43" s="2" t="s">
        <v>69</v>
      </c>
      <c r="EX43" s="2" t="s">
        <v>70</v>
      </c>
      <c r="EY43" s="2" t="s">
        <v>71</v>
      </c>
      <c r="EZ43" s="2" t="s">
        <v>72</v>
      </c>
      <c r="FA43" s="2" t="s">
        <v>66</v>
      </c>
      <c r="FB43" s="2" t="s">
        <v>73</v>
      </c>
      <c r="FC43" s="2" t="s">
        <v>68</v>
      </c>
      <c r="FD43" s="2" t="s">
        <v>69</v>
      </c>
      <c r="FE43" s="2" t="s">
        <v>70</v>
      </c>
    </row>
    <row r="44" spans="1:161">
      <c r="EE44" s="2" t="s">
        <v>118</v>
      </c>
      <c r="EK44" s="45">
        <v>43603</v>
      </c>
      <c r="EL44" s="45">
        <v>43604</v>
      </c>
      <c r="EM44" s="45">
        <v>43605</v>
      </c>
      <c r="EN44" s="45">
        <v>43606</v>
      </c>
      <c r="EO44" s="45">
        <v>43607</v>
      </c>
      <c r="EP44" s="45">
        <v>43608</v>
      </c>
      <c r="EQ44" s="45">
        <v>43609</v>
      </c>
      <c r="ER44" s="45">
        <v>43610</v>
      </c>
      <c r="ES44" s="45">
        <v>43611</v>
      </c>
      <c r="ET44" s="45">
        <v>43612</v>
      </c>
      <c r="EU44" s="45">
        <v>43613</v>
      </c>
      <c r="EV44" s="45">
        <v>43614</v>
      </c>
      <c r="EW44" s="45">
        <v>43615</v>
      </c>
      <c r="EX44" s="45">
        <v>43616</v>
      </c>
      <c r="EY44" s="45">
        <v>43617</v>
      </c>
      <c r="EZ44" s="45">
        <v>43618</v>
      </c>
      <c r="FA44" s="45">
        <v>43619</v>
      </c>
      <c r="FB44" s="45">
        <v>43620</v>
      </c>
      <c r="FC44" s="45">
        <v>43621</v>
      </c>
      <c r="FD44" s="45">
        <v>43622</v>
      </c>
      <c r="FE44" s="45">
        <v>43623</v>
      </c>
    </row>
    <row r="45" spans="1:161">
      <c r="EK45" s="45"/>
      <c r="EL45" s="45"/>
      <c r="EM45" s="45"/>
      <c r="EN45" s="45"/>
      <c r="EO45" s="45"/>
      <c r="EP45" s="45"/>
      <c r="EQ45" s="45"/>
      <c r="ER45" s="45"/>
      <c r="ES45" s="45"/>
      <c r="ET45" s="45"/>
      <c r="EU45" s="45"/>
      <c r="EV45" s="45"/>
      <c r="EW45" s="45"/>
      <c r="EX45" s="45"/>
      <c r="EY45" s="45"/>
      <c r="EZ45" s="45"/>
      <c r="FA45" s="45"/>
      <c r="FB45" s="45"/>
      <c r="FC45" s="45"/>
      <c r="FD45" s="45"/>
      <c r="FE45" s="45"/>
    </row>
    <row r="46" spans="1:161">
      <c r="A46" s="1" t="s">
        <v>75</v>
      </c>
      <c r="EM46" s="1" t="s">
        <v>0</v>
      </c>
      <c r="EN46" s="1" t="s">
        <v>0</v>
      </c>
      <c r="EO46" s="1" t="s">
        <v>2</v>
      </c>
      <c r="EP46" s="1" t="s">
        <v>4</v>
      </c>
      <c r="EQ46" s="1" t="s">
        <v>4</v>
      </c>
      <c r="EV46" s="1" t="s">
        <v>0</v>
      </c>
      <c r="EW46" s="1" t="s">
        <v>2</v>
      </c>
      <c r="EX46" s="1" t="s">
        <v>2</v>
      </c>
      <c r="EY46" s="1" t="s">
        <v>4</v>
      </c>
      <c r="EZ46" s="1" t="s">
        <v>4</v>
      </c>
      <c r="FD46" s="1" t="s">
        <v>0</v>
      </c>
      <c r="FE46" s="1" t="s">
        <v>0</v>
      </c>
    </row>
    <row r="47" spans="1:161">
      <c r="A47" s="1" t="s">
        <v>77</v>
      </c>
      <c r="EK47" s="1" t="s">
        <v>8</v>
      </c>
      <c r="EL47" s="1" t="s">
        <v>8</v>
      </c>
      <c r="EM47" s="1" t="s">
        <v>8</v>
      </c>
      <c r="EN47" s="1" t="s">
        <v>8</v>
      </c>
      <c r="EO47" s="1" t="s">
        <v>8</v>
      </c>
      <c r="ER47" s="1" t="s">
        <v>0</v>
      </c>
      <c r="ES47" s="1" t="s">
        <v>0</v>
      </c>
      <c r="ET47" s="47" t="s">
        <v>119</v>
      </c>
      <c r="EU47" s="47" t="s">
        <v>119</v>
      </c>
      <c r="EV47" s="1" t="s">
        <v>4</v>
      </c>
      <c r="EY47" s="1" t="s">
        <v>8</v>
      </c>
      <c r="EZ47" s="1" t="s">
        <v>8</v>
      </c>
      <c r="FA47" s="1" t="s">
        <v>8</v>
      </c>
      <c r="FB47" s="1" t="s">
        <v>8</v>
      </c>
      <c r="FC47" s="1" t="s">
        <v>8</v>
      </c>
    </row>
    <row r="48" spans="1:161">
      <c r="A48" s="1" t="s">
        <v>79</v>
      </c>
      <c r="EK48" s="1" t="s">
        <v>4</v>
      </c>
      <c r="EL48" s="1" t="s">
        <v>4</v>
      </c>
      <c r="EP48" s="1" t="s">
        <v>0</v>
      </c>
      <c r="EQ48" s="1" t="s">
        <v>0</v>
      </c>
      <c r="ER48" s="1" t="s">
        <v>2</v>
      </c>
      <c r="ES48" s="1" t="s">
        <v>2</v>
      </c>
      <c r="ET48" s="7" t="s">
        <v>4</v>
      </c>
      <c r="EU48" s="7" t="s">
        <v>4</v>
      </c>
      <c r="EY48" s="1" t="s">
        <v>0</v>
      </c>
      <c r="EZ48" s="1" t="s">
        <v>0</v>
      </c>
      <c r="FA48" s="1" t="s">
        <v>2</v>
      </c>
      <c r="FB48" s="1" t="s">
        <v>2</v>
      </c>
      <c r="FC48" s="1" t="s">
        <v>4</v>
      </c>
    </row>
    <row r="49" spans="1:161">
      <c r="A49" s="1" t="s">
        <v>83</v>
      </c>
      <c r="EO49" s="1" t="s">
        <v>0</v>
      </c>
      <c r="EP49" s="1" t="s">
        <v>2</v>
      </c>
      <c r="EQ49" s="1" t="s">
        <v>2</v>
      </c>
      <c r="ER49" s="1" t="s">
        <v>4</v>
      </c>
      <c r="ES49" s="1" t="s">
        <v>4</v>
      </c>
      <c r="EW49" s="1" t="s">
        <v>0</v>
      </c>
      <c r="EX49" s="1" t="s">
        <v>0</v>
      </c>
      <c r="EY49" s="1" t="s">
        <v>2</v>
      </c>
      <c r="EZ49" s="1" t="s">
        <v>2</v>
      </c>
      <c r="FA49" s="1" t="s">
        <v>4</v>
      </c>
      <c r="FB49" s="1" t="s">
        <v>4</v>
      </c>
    </row>
    <row r="50" spans="1:161">
      <c r="A50" s="1" t="s">
        <v>85</v>
      </c>
      <c r="EK50" s="1" t="s">
        <v>2</v>
      </c>
      <c r="EL50" s="1" t="s">
        <v>2</v>
      </c>
      <c r="EM50" s="1" t="s">
        <v>4</v>
      </c>
      <c r="EN50" s="1" t="s">
        <v>4</v>
      </c>
      <c r="ER50" s="1" t="s">
        <v>6</v>
      </c>
      <c r="ES50" s="1" t="s">
        <v>6</v>
      </c>
      <c r="ET50" s="1" t="s">
        <v>6</v>
      </c>
      <c r="EU50" s="1" t="s">
        <v>6</v>
      </c>
      <c r="EV50" s="1" t="s">
        <v>6</v>
      </c>
      <c r="FA50" s="1" t="s">
        <v>0</v>
      </c>
      <c r="FB50" s="1" t="s">
        <v>0</v>
      </c>
      <c r="FC50" s="1" t="s">
        <v>2</v>
      </c>
      <c r="FD50" s="1" t="s">
        <v>4</v>
      </c>
      <c r="FE50" s="1" t="s">
        <v>4</v>
      </c>
    </row>
    <row r="51" spans="1:161">
      <c r="A51" s="1" t="s">
        <v>78</v>
      </c>
      <c r="EK51" s="1" t="s">
        <v>0</v>
      </c>
      <c r="EL51" s="1" t="s">
        <v>0</v>
      </c>
      <c r="EM51" s="1" t="s">
        <v>2</v>
      </c>
      <c r="EN51" s="1" t="s">
        <v>2</v>
      </c>
      <c r="EO51" s="1" t="s">
        <v>4</v>
      </c>
      <c r="ET51" s="1" t="s">
        <v>2</v>
      </c>
      <c r="EU51" s="1" t="s">
        <v>2</v>
      </c>
      <c r="EV51" s="1" t="s">
        <v>2</v>
      </c>
      <c r="EW51" s="1" t="s">
        <v>4</v>
      </c>
      <c r="EX51" s="1" t="s">
        <v>4</v>
      </c>
      <c r="FC51" s="1" t="s">
        <v>0</v>
      </c>
      <c r="FD51" s="1" t="s">
        <v>2</v>
      </c>
      <c r="FE51" s="1" t="s">
        <v>2</v>
      </c>
    </row>
    <row r="52" spans="1:161">
      <c r="A52" s="1" t="s">
        <v>88</v>
      </c>
      <c r="EK52" s="1" t="s">
        <v>6</v>
      </c>
      <c r="EL52" s="1" t="s">
        <v>6</v>
      </c>
      <c r="EM52" s="1" t="s">
        <v>6</v>
      </c>
      <c r="EN52" s="1" t="s">
        <v>6</v>
      </c>
      <c r="EO52" s="1" t="s">
        <v>6</v>
      </c>
      <c r="ER52" s="1" t="s">
        <v>6</v>
      </c>
      <c r="ES52" s="1" t="s">
        <v>6</v>
      </c>
      <c r="ET52" s="1" t="s">
        <v>6</v>
      </c>
      <c r="EU52" s="1" t="s">
        <v>6</v>
      </c>
      <c r="EV52" s="1" t="s">
        <v>6</v>
      </c>
      <c r="EY52" s="1" t="s">
        <v>8</v>
      </c>
      <c r="EZ52" s="1" t="s">
        <v>8</v>
      </c>
      <c r="FA52" s="1" t="s">
        <v>8</v>
      </c>
      <c r="FB52" s="1" t="s">
        <v>8</v>
      </c>
      <c r="FC52" s="1" t="s">
        <v>8</v>
      </c>
    </row>
    <row r="53" spans="1:161">
      <c r="A53" s="1" t="s">
        <v>89</v>
      </c>
      <c r="EK53" s="1" t="s">
        <v>8</v>
      </c>
      <c r="EL53" s="1" t="s">
        <v>8</v>
      </c>
      <c r="EM53" s="1" t="s">
        <v>8</v>
      </c>
      <c r="EN53" s="1" t="s">
        <v>8</v>
      </c>
      <c r="ER53" s="1" t="s">
        <v>8</v>
      </c>
      <c r="ES53" s="1" t="s">
        <v>8</v>
      </c>
      <c r="ET53" s="1" t="s">
        <v>8</v>
      </c>
      <c r="EU53" s="1" t="s">
        <v>8</v>
      </c>
      <c r="EY53" s="1" t="s">
        <v>8</v>
      </c>
      <c r="EZ53" s="1" t="s">
        <v>8</v>
      </c>
      <c r="FA53" s="1" t="s">
        <v>8</v>
      </c>
      <c r="FB53" s="1" t="s">
        <v>8</v>
      </c>
    </row>
    <row r="54" spans="1:161">
      <c r="A54" s="1" t="s">
        <v>90</v>
      </c>
      <c r="EK54" s="1" t="s">
        <v>8</v>
      </c>
      <c r="EM54" s="1" t="s">
        <v>8</v>
      </c>
      <c r="EN54" s="1" t="s">
        <v>8</v>
      </c>
      <c r="EO54" s="1" t="s">
        <v>8</v>
      </c>
      <c r="ER54" s="1" t="s">
        <v>8</v>
      </c>
      <c r="ET54" s="1" t="s">
        <v>8</v>
      </c>
      <c r="EU54" s="1" t="s">
        <v>8</v>
      </c>
      <c r="EV54" s="1" t="s">
        <v>8</v>
      </c>
      <c r="EY54" s="1" t="s">
        <v>8</v>
      </c>
      <c r="FA54" s="1" t="s">
        <v>8</v>
      </c>
      <c r="FB54" s="1" t="s">
        <v>8</v>
      </c>
      <c r="FC54" s="1" t="s">
        <v>8</v>
      </c>
    </row>
    <row r="55" spans="1:161">
      <c r="A55" s="1" t="s">
        <v>91</v>
      </c>
      <c r="EK55" s="1" t="s">
        <v>8</v>
      </c>
      <c r="EL55" s="1" t="s">
        <v>8</v>
      </c>
      <c r="EM55" s="1" t="s">
        <v>8</v>
      </c>
      <c r="EN55" s="1" t="s">
        <v>8</v>
      </c>
      <c r="EO55" s="1" t="s">
        <v>8</v>
      </c>
      <c r="ER55" s="1" t="s">
        <v>8</v>
      </c>
      <c r="ES55" s="1" t="s">
        <v>8</v>
      </c>
      <c r="ET55" s="1" t="s">
        <v>8</v>
      </c>
      <c r="EU55" s="1" t="s">
        <v>8</v>
      </c>
      <c r="EV55" s="1" t="s">
        <v>8</v>
      </c>
      <c r="EY55" s="1" t="s">
        <v>8</v>
      </c>
      <c r="EZ55" s="1" t="s">
        <v>8</v>
      </c>
      <c r="FA55" s="1" t="s">
        <v>8</v>
      </c>
      <c r="FB55" s="1" t="s">
        <v>8</v>
      </c>
      <c r="FC55" s="1" t="s">
        <v>8</v>
      </c>
    </row>
    <row r="57" spans="1:161">
      <c r="A57" s="1" t="s">
        <v>120</v>
      </c>
      <c r="EV57" s="7" t="s">
        <v>121</v>
      </c>
    </row>
  </sheetData>
  <mergeCells count="1">
    <mergeCell ref="AZ28:BA28"/>
  </mergeCells>
  <conditionalFormatting sqref="A46:A57">
    <cfRule type="cellIs" dxfId="1065" priority="106" operator="equal">
      <formula>"r"</formula>
    </cfRule>
    <cfRule type="cellIs" dxfId="1064" priority="107" operator="equal">
      <formula>"z"</formula>
    </cfRule>
    <cfRule type="cellIs" dxfId="1063" priority="108" operator="equal">
      <formula>"x"</formula>
    </cfRule>
    <cfRule type="cellIs" dxfId="1062" priority="109" operator="equal">
      <formula>"v"</formula>
    </cfRule>
    <cfRule type="cellIs" dxfId="1061" priority="110" operator="equal">
      <formula>"n"</formula>
    </cfRule>
    <cfRule type="cellIs" dxfId="1060" priority="111" operator="equal">
      <formula>"m"</formula>
    </cfRule>
    <cfRule type="cellIs" dxfId="1059" priority="112" operator="equal">
      <formula>"o"</formula>
    </cfRule>
  </conditionalFormatting>
  <conditionalFormatting sqref="A28:AZ28 BB28:XFD28 A41:EJ47 B48:EJ57 A58:XFD1048576">
    <cfRule type="cellIs" dxfId="1058" priority="127" operator="equal">
      <formula>"r"</formula>
    </cfRule>
    <cfRule type="cellIs" dxfId="1057" priority="128" operator="equal">
      <formula>"z"</formula>
    </cfRule>
    <cfRule type="cellIs" dxfId="1056" priority="129" operator="equal">
      <formula>"x"</formula>
    </cfRule>
    <cfRule type="cellIs" dxfId="1055" priority="130" operator="equal">
      <formula>"v"</formula>
    </cfRule>
    <cfRule type="cellIs" dxfId="1054" priority="131" operator="equal">
      <formula>"n"</formula>
    </cfRule>
    <cfRule type="cellIs" dxfId="1053" priority="132" operator="equal">
      <formula>"m"</formula>
    </cfRule>
    <cfRule type="cellIs" dxfId="1052" priority="133" operator="equal">
      <formula>"o"</formula>
    </cfRule>
  </conditionalFormatting>
  <conditionalFormatting sqref="A1:XFD40">
    <cfRule type="cellIs" dxfId="1051" priority="1" operator="equal">
      <formula>"r"</formula>
    </cfRule>
    <cfRule type="cellIs" dxfId="1050" priority="2" operator="equal">
      <formula>"z"</formula>
    </cfRule>
    <cfRule type="cellIs" dxfId="1049" priority="3" operator="equal">
      <formula>"x"</formula>
    </cfRule>
    <cfRule type="cellIs" dxfId="1048" priority="4" operator="equal">
      <formula>"v"</formula>
    </cfRule>
    <cfRule type="cellIs" dxfId="1047" priority="5" operator="equal">
      <formula>"n"</formula>
    </cfRule>
    <cfRule type="cellIs" dxfId="1046" priority="6" operator="equal">
      <formula>"m"</formula>
    </cfRule>
    <cfRule type="cellIs" dxfId="1045" priority="7" operator="equal">
      <formula>"o"</formula>
    </cfRule>
  </conditionalFormatting>
  <conditionalFormatting sqref="EK41:XFD57">
    <cfRule type="cellIs" dxfId="1044" priority="113" operator="equal">
      <formula>"r"</formula>
    </cfRule>
    <cfRule type="cellIs" dxfId="1043" priority="114" operator="equal">
      <formula>"z"</formula>
    </cfRule>
    <cfRule type="cellIs" dxfId="1042" priority="115" operator="equal">
      <formula>"x"</formula>
    </cfRule>
    <cfRule type="cellIs" dxfId="1041" priority="116" operator="equal">
      <formula>"v"</formula>
    </cfRule>
    <cfRule type="cellIs" dxfId="1040" priority="117" operator="equal">
      <formula>"n"</formula>
    </cfRule>
    <cfRule type="cellIs" dxfId="1039" priority="118" operator="equal">
      <formula>"m"</formula>
    </cfRule>
    <cfRule type="cellIs" dxfId="1038" priority="119" operator="equal">
      <formula>"o"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3E0A-29A2-4C66-982C-85FA74FD40BB}">
  <dimension ref="A1:AL101"/>
  <sheetViews>
    <sheetView workbookViewId="0">
      <pane xSplit="1" topLeftCell="AO1" activePane="topRight" state="frozen"/>
      <selection pane="topRight" activeCell="AO54" sqref="AO54"/>
    </sheetView>
  </sheetViews>
  <sheetFormatPr defaultColWidth="8.85546875" defaultRowHeight="13.15"/>
  <cols>
    <col min="1" max="1" width="10.5703125" style="1" customWidth="1"/>
    <col min="2" max="2" width="11.5703125" style="1" bestFit="1" customWidth="1"/>
    <col min="3" max="4" width="8.85546875" style="1"/>
    <col min="5" max="5" width="17.42578125" style="1" bestFit="1" customWidth="1"/>
    <col min="6" max="6" width="8.85546875" style="1"/>
    <col min="7" max="7" width="17.42578125" style="1" bestFit="1" customWidth="1"/>
    <col min="8" max="30" width="8.85546875" style="1"/>
    <col min="31" max="32" width="17.42578125" style="1" bestFit="1" customWidth="1"/>
    <col min="33" max="16384" width="8.85546875" style="1"/>
  </cols>
  <sheetData>
    <row r="1" spans="1:37">
      <c r="A1" s="1" t="s">
        <v>0</v>
      </c>
    </row>
    <row r="2" spans="1:37">
      <c r="A2" s="1" t="s">
        <v>2</v>
      </c>
    </row>
    <row r="3" spans="1:37">
      <c r="A3" s="1" t="s">
        <v>4</v>
      </c>
    </row>
    <row r="4" spans="1:37">
      <c r="A4" s="1" t="s">
        <v>6</v>
      </c>
    </row>
    <row r="5" spans="1:37">
      <c r="A5" s="1" t="s">
        <v>8</v>
      </c>
    </row>
    <row r="6" spans="1:37">
      <c r="A6" s="1" t="s">
        <v>10</v>
      </c>
    </row>
    <row r="7" spans="1:37">
      <c r="A7" s="1" t="s">
        <v>12</v>
      </c>
    </row>
    <row r="9" spans="1:37" s="4" customFormat="1">
      <c r="C9" s="4" t="s">
        <v>14</v>
      </c>
      <c r="J9" s="4" t="s">
        <v>15</v>
      </c>
      <c r="Q9" s="4" t="s">
        <v>16</v>
      </c>
      <c r="X9" s="4" t="s">
        <v>17</v>
      </c>
      <c r="AE9" s="4" t="s">
        <v>18</v>
      </c>
    </row>
    <row r="10" spans="1:37" s="2" customFormat="1">
      <c r="C10" s="2" t="s">
        <v>71</v>
      </c>
      <c r="D10" s="2" t="s">
        <v>72</v>
      </c>
      <c r="E10" s="2" t="s">
        <v>66</v>
      </c>
      <c r="F10" s="2" t="s">
        <v>73</v>
      </c>
      <c r="G10" s="2" t="s">
        <v>68</v>
      </c>
      <c r="H10" s="2" t="s">
        <v>69</v>
      </c>
      <c r="I10" s="2" t="s">
        <v>70</v>
      </c>
      <c r="J10" s="2" t="s">
        <v>71</v>
      </c>
      <c r="K10" s="2" t="s">
        <v>72</v>
      </c>
      <c r="L10" s="2" t="s">
        <v>66</v>
      </c>
      <c r="M10" s="2" t="s">
        <v>73</v>
      </c>
      <c r="N10" s="2" t="s">
        <v>68</v>
      </c>
      <c r="O10" s="2" t="s">
        <v>69</v>
      </c>
      <c r="P10" s="2" t="s">
        <v>70</v>
      </c>
      <c r="Q10" s="2" t="s">
        <v>71</v>
      </c>
      <c r="R10" s="2" t="s">
        <v>72</v>
      </c>
      <c r="S10" s="2" t="s">
        <v>66</v>
      </c>
      <c r="T10" s="2" t="s">
        <v>73</v>
      </c>
      <c r="U10" s="2" t="s">
        <v>68</v>
      </c>
      <c r="V10" s="2" t="s">
        <v>69</v>
      </c>
      <c r="W10" s="2" t="s">
        <v>70</v>
      </c>
      <c r="X10" s="2" t="s">
        <v>71</v>
      </c>
      <c r="Y10" s="2" t="s">
        <v>72</v>
      </c>
      <c r="Z10" s="2" t="s">
        <v>66</v>
      </c>
      <c r="AA10" s="2" t="s">
        <v>73</v>
      </c>
      <c r="AB10" s="2" t="s">
        <v>68</v>
      </c>
      <c r="AC10" s="2" t="s">
        <v>69</v>
      </c>
      <c r="AD10" s="2" t="s">
        <v>70</v>
      </c>
      <c r="AE10" s="2" t="s">
        <v>71</v>
      </c>
      <c r="AF10" s="2" t="s">
        <v>72</v>
      </c>
      <c r="AG10" s="2" t="s">
        <v>66</v>
      </c>
      <c r="AH10" s="2" t="s">
        <v>73</v>
      </c>
      <c r="AI10" s="2" t="s">
        <v>68</v>
      </c>
      <c r="AJ10" s="2" t="s">
        <v>69</v>
      </c>
      <c r="AK10" s="2" t="s">
        <v>70</v>
      </c>
    </row>
    <row r="11" spans="1:37" s="3" customFormat="1">
      <c r="C11" s="45">
        <v>43666</v>
      </c>
      <c r="D11" s="45">
        <v>43667</v>
      </c>
      <c r="E11" s="45">
        <v>43668</v>
      </c>
      <c r="F11" s="45">
        <v>43669</v>
      </c>
      <c r="G11" s="45">
        <v>43670</v>
      </c>
      <c r="H11" s="45">
        <v>43671</v>
      </c>
      <c r="I11" s="45">
        <v>43672</v>
      </c>
      <c r="J11" s="45">
        <v>43673</v>
      </c>
      <c r="K11" s="45">
        <v>43674</v>
      </c>
      <c r="L11" s="45">
        <v>43675</v>
      </c>
      <c r="M11" s="45">
        <v>43676</v>
      </c>
      <c r="N11" s="45">
        <v>43677</v>
      </c>
      <c r="O11" s="45">
        <v>43678</v>
      </c>
      <c r="P11" s="45">
        <v>43679</v>
      </c>
      <c r="Q11" s="45">
        <v>43680</v>
      </c>
      <c r="R11" s="45">
        <v>43681</v>
      </c>
      <c r="S11" s="45">
        <v>43682</v>
      </c>
      <c r="T11" s="45">
        <v>43683</v>
      </c>
      <c r="U11" s="45">
        <v>43684</v>
      </c>
      <c r="V11" s="45">
        <v>43685</v>
      </c>
      <c r="W11" s="45">
        <v>43686</v>
      </c>
      <c r="X11" s="45">
        <v>43687</v>
      </c>
      <c r="Y11" s="45">
        <v>43688</v>
      </c>
      <c r="Z11" s="45">
        <v>43689</v>
      </c>
      <c r="AA11" s="45">
        <v>43690</v>
      </c>
      <c r="AB11" s="45">
        <v>43691</v>
      </c>
      <c r="AC11" s="45">
        <v>43692</v>
      </c>
      <c r="AD11" s="45">
        <v>43693</v>
      </c>
      <c r="AE11" s="45">
        <v>43694</v>
      </c>
      <c r="AF11" s="45">
        <v>43695</v>
      </c>
      <c r="AG11" s="45">
        <v>43696</v>
      </c>
      <c r="AH11" s="45">
        <v>43697</v>
      </c>
      <c r="AI11" s="45">
        <v>43698</v>
      </c>
      <c r="AJ11" s="45">
        <v>43699</v>
      </c>
      <c r="AK11" s="45">
        <v>43700</v>
      </c>
    </row>
    <row r="12" spans="1:37" s="3" customFormat="1"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</row>
    <row r="13" spans="1:37">
      <c r="A13" s="1" t="s">
        <v>107</v>
      </c>
      <c r="B13" s="1" t="s">
        <v>133</v>
      </c>
      <c r="C13" s="1" t="s">
        <v>0</v>
      </c>
      <c r="D13" s="1" t="s">
        <v>0</v>
      </c>
      <c r="E13" s="1" t="s">
        <v>2</v>
      </c>
      <c r="F13" s="1" t="s">
        <v>2</v>
      </c>
      <c r="G13" s="1" t="s">
        <v>4</v>
      </c>
      <c r="L13" s="1" t="s">
        <v>0</v>
      </c>
      <c r="M13" s="1" t="s">
        <v>0</v>
      </c>
      <c r="N13" s="1" t="s">
        <v>2</v>
      </c>
      <c r="O13" s="1" t="s">
        <v>4</v>
      </c>
      <c r="P13" s="1" t="s">
        <v>4</v>
      </c>
      <c r="U13" s="1" t="s">
        <v>0</v>
      </c>
      <c r="V13" s="1" t="s">
        <v>2</v>
      </c>
      <c r="W13" s="1" t="s">
        <v>2</v>
      </c>
      <c r="X13" s="1" t="s">
        <v>4</v>
      </c>
      <c r="Y13" s="1" t="s">
        <v>4</v>
      </c>
      <c r="AC13" s="1" t="s">
        <v>0</v>
      </c>
      <c r="AD13" s="1" t="s">
        <v>0</v>
      </c>
      <c r="AE13" s="1" t="s">
        <v>2</v>
      </c>
      <c r="AF13" s="1" t="s">
        <v>2</v>
      </c>
      <c r="AG13" s="1" t="s">
        <v>4</v>
      </c>
      <c r="AH13" s="1" t="s">
        <v>4</v>
      </c>
    </row>
    <row r="14" spans="1:37">
      <c r="A14" s="1" t="s">
        <v>107</v>
      </c>
      <c r="E14" s="1" t="s">
        <v>0</v>
      </c>
      <c r="F14" s="1" t="s">
        <v>0</v>
      </c>
      <c r="G14" s="1" t="s">
        <v>2</v>
      </c>
      <c r="H14" s="1" t="s">
        <v>4</v>
      </c>
      <c r="I14" s="1" t="s">
        <v>4</v>
      </c>
      <c r="N14" s="1" t="s">
        <v>0</v>
      </c>
      <c r="O14" s="1" t="s">
        <v>2</v>
      </c>
      <c r="P14" s="1" t="s">
        <v>2</v>
      </c>
      <c r="Q14" s="1" t="s">
        <v>4</v>
      </c>
      <c r="R14" s="1" t="s">
        <v>4</v>
      </c>
      <c r="V14" s="1" t="s">
        <v>0</v>
      </c>
      <c r="W14" s="1" t="s">
        <v>0</v>
      </c>
      <c r="X14" s="1" t="s">
        <v>2</v>
      </c>
      <c r="Y14" s="1" t="s">
        <v>2</v>
      </c>
      <c r="Z14" s="1" t="s">
        <v>4</v>
      </c>
      <c r="AA14" s="1" t="s">
        <v>4</v>
      </c>
      <c r="AE14" s="1" t="s">
        <v>0</v>
      </c>
      <c r="AF14" s="1" t="s">
        <v>0</v>
      </c>
      <c r="AG14" s="1" t="s">
        <v>2</v>
      </c>
      <c r="AH14" s="1" t="s">
        <v>2</v>
      </c>
      <c r="AI14" s="1" t="s">
        <v>4</v>
      </c>
    </row>
    <row r="15" spans="1:37">
      <c r="A15" s="1" t="s">
        <v>107</v>
      </c>
      <c r="G15" s="1" t="s">
        <v>0</v>
      </c>
      <c r="H15" s="1" t="s">
        <v>2</v>
      </c>
      <c r="I15" s="1" t="s">
        <v>2</v>
      </c>
      <c r="J15" s="1" t="s">
        <v>4</v>
      </c>
      <c r="K15" s="1" t="s">
        <v>4</v>
      </c>
      <c r="O15" s="1" t="s">
        <v>0</v>
      </c>
      <c r="P15" s="1" t="s">
        <v>0</v>
      </c>
      <c r="Q15" s="1" t="s">
        <v>2</v>
      </c>
      <c r="R15" s="1" t="s">
        <v>2</v>
      </c>
      <c r="S15" s="1" t="s">
        <v>4</v>
      </c>
      <c r="T15" s="1" t="s">
        <v>4</v>
      </c>
      <c r="X15" s="1" t="s">
        <v>0</v>
      </c>
      <c r="Y15" s="1" t="s">
        <v>0</v>
      </c>
      <c r="Z15" s="1" t="s">
        <v>2</v>
      </c>
      <c r="AA15" s="1" t="s">
        <v>2</v>
      </c>
      <c r="AB15" s="1" t="s">
        <v>4</v>
      </c>
      <c r="AG15" s="1" t="s">
        <v>0</v>
      </c>
      <c r="AH15" s="1" t="s">
        <v>0</v>
      </c>
      <c r="AI15" s="1" t="s">
        <v>2</v>
      </c>
      <c r="AJ15" s="1" t="s">
        <v>4</v>
      </c>
      <c r="AK15" s="1" t="s">
        <v>4</v>
      </c>
    </row>
    <row r="16" spans="1:37">
      <c r="A16" s="1" t="s">
        <v>107</v>
      </c>
      <c r="C16" s="1" t="s">
        <v>4</v>
      </c>
      <c r="D16" s="1" t="s">
        <v>4</v>
      </c>
      <c r="H16" s="1" t="s">
        <v>0</v>
      </c>
      <c r="I16" s="1" t="s">
        <v>0</v>
      </c>
      <c r="J16" s="1" t="s">
        <v>2</v>
      </c>
      <c r="K16" s="1" t="s">
        <v>2</v>
      </c>
      <c r="L16" s="1" t="s">
        <v>4</v>
      </c>
      <c r="M16" s="1" t="s">
        <v>4</v>
      </c>
      <c r="Q16" s="1" t="s">
        <v>0</v>
      </c>
      <c r="R16" s="1" t="s">
        <v>0</v>
      </c>
      <c r="S16" s="1" t="s">
        <v>2</v>
      </c>
      <c r="T16" s="1" t="s">
        <v>2</v>
      </c>
      <c r="U16" s="1" t="s">
        <v>4</v>
      </c>
      <c r="Z16" s="1" t="s">
        <v>0</v>
      </c>
      <c r="AA16" s="1" t="s">
        <v>0</v>
      </c>
      <c r="AB16" s="1" t="s">
        <v>2</v>
      </c>
      <c r="AC16" s="1" t="s">
        <v>4</v>
      </c>
      <c r="AD16" s="1" t="s">
        <v>4</v>
      </c>
      <c r="AI16" s="1" t="s">
        <v>0</v>
      </c>
      <c r="AJ16" s="1" t="s">
        <v>2</v>
      </c>
      <c r="AK16" s="1" t="s">
        <v>2</v>
      </c>
    </row>
    <row r="17" spans="1:38" s="2" customFormat="1">
      <c r="A17" s="2" t="s">
        <v>104</v>
      </c>
      <c r="C17" s="2" t="s">
        <v>2</v>
      </c>
      <c r="D17" s="2" t="s">
        <v>2</v>
      </c>
      <c r="E17" s="2" t="s">
        <v>4</v>
      </c>
      <c r="F17" s="2" t="s">
        <v>4</v>
      </c>
      <c r="J17" s="2" t="s">
        <v>0</v>
      </c>
      <c r="K17" s="2" t="s">
        <v>0</v>
      </c>
      <c r="L17" s="2" t="s">
        <v>2</v>
      </c>
      <c r="M17" s="2" t="s">
        <v>2</v>
      </c>
      <c r="N17" s="2" t="s">
        <v>4</v>
      </c>
      <c r="S17" s="2" t="s">
        <v>0</v>
      </c>
      <c r="T17" s="2" t="s">
        <v>0</v>
      </c>
      <c r="U17" s="2" t="s">
        <v>2</v>
      </c>
      <c r="V17" s="2" t="s">
        <v>4</v>
      </c>
      <c r="W17" s="2" t="s">
        <v>4</v>
      </c>
      <c r="AB17" s="2" t="s">
        <v>0</v>
      </c>
      <c r="AC17" s="2" t="s">
        <v>2</v>
      </c>
      <c r="AD17" s="2" t="s">
        <v>2</v>
      </c>
      <c r="AE17" s="2" t="s">
        <v>4</v>
      </c>
      <c r="AF17" s="2" t="s">
        <v>4</v>
      </c>
      <c r="AJ17" s="2" t="s">
        <v>0</v>
      </c>
      <c r="AK17" s="2" t="s">
        <v>0</v>
      </c>
    </row>
    <row r="19" spans="1:38" s="37" customFormat="1">
      <c r="A19" s="37" t="s">
        <v>134</v>
      </c>
      <c r="J19" s="37">
        <v>1</v>
      </c>
      <c r="K19" s="37">
        <v>1</v>
      </c>
      <c r="S19" s="37">
        <v>1</v>
      </c>
      <c r="T19" s="37">
        <v>1</v>
      </c>
      <c r="AB19" s="37">
        <v>1</v>
      </c>
      <c r="AL19" s="37">
        <f>SUM(C19:AK19)</f>
        <v>5</v>
      </c>
    </row>
    <row r="23" spans="1:38" s="4" customFormat="1">
      <c r="C23" s="4" t="s">
        <v>14</v>
      </c>
      <c r="J23" s="4" t="s">
        <v>15</v>
      </c>
      <c r="Q23" s="4" t="s">
        <v>16</v>
      </c>
      <c r="X23" s="4" t="s">
        <v>17</v>
      </c>
      <c r="AE23" s="4" t="s">
        <v>18</v>
      </c>
    </row>
    <row r="24" spans="1:38" s="2" customFormat="1">
      <c r="C24" s="2" t="s">
        <v>71</v>
      </c>
      <c r="D24" s="2" t="s">
        <v>72</v>
      </c>
      <c r="E24" s="2" t="s">
        <v>66</v>
      </c>
      <c r="F24" s="2" t="s">
        <v>73</v>
      </c>
      <c r="G24" s="2" t="s">
        <v>68</v>
      </c>
      <c r="H24" s="2" t="s">
        <v>69</v>
      </c>
      <c r="I24" s="2" t="s">
        <v>70</v>
      </c>
      <c r="J24" s="2" t="s">
        <v>71</v>
      </c>
      <c r="K24" s="2" t="s">
        <v>72</v>
      </c>
      <c r="L24" s="2" t="s">
        <v>66</v>
      </c>
      <c r="M24" s="2" t="s">
        <v>73</v>
      </c>
      <c r="N24" s="2" t="s">
        <v>68</v>
      </c>
      <c r="O24" s="2" t="s">
        <v>69</v>
      </c>
      <c r="P24" s="2" t="s">
        <v>70</v>
      </c>
      <c r="Q24" s="2" t="s">
        <v>71</v>
      </c>
      <c r="R24" s="2" t="s">
        <v>72</v>
      </c>
      <c r="S24" s="2" t="s">
        <v>66</v>
      </c>
      <c r="T24" s="2" t="s">
        <v>73</v>
      </c>
      <c r="U24" s="2" t="s">
        <v>68</v>
      </c>
      <c r="V24" s="2" t="s">
        <v>69</v>
      </c>
      <c r="W24" s="2" t="s">
        <v>70</v>
      </c>
      <c r="X24" s="2" t="s">
        <v>71</v>
      </c>
      <c r="Y24" s="2" t="s">
        <v>72</v>
      </c>
      <c r="Z24" s="2" t="s">
        <v>66</v>
      </c>
      <c r="AA24" s="2" t="s">
        <v>73</v>
      </c>
      <c r="AB24" s="2" t="s">
        <v>68</v>
      </c>
      <c r="AC24" s="2" t="s">
        <v>69</v>
      </c>
      <c r="AD24" s="2" t="s">
        <v>70</v>
      </c>
      <c r="AE24" s="2" t="s">
        <v>71</v>
      </c>
      <c r="AF24" s="2" t="s">
        <v>72</v>
      </c>
      <c r="AG24" s="2" t="s">
        <v>66</v>
      </c>
      <c r="AH24" s="2" t="s">
        <v>73</v>
      </c>
      <c r="AI24" s="2" t="s">
        <v>68</v>
      </c>
      <c r="AJ24" s="2" t="s">
        <v>69</v>
      </c>
      <c r="AK24" s="2" t="s">
        <v>70</v>
      </c>
    </row>
    <row r="25" spans="1:38" s="3" customFormat="1">
      <c r="A25" s="1" t="s">
        <v>107</v>
      </c>
      <c r="C25" s="45">
        <v>43666</v>
      </c>
      <c r="D25" s="45">
        <v>43667</v>
      </c>
      <c r="E25" s="45">
        <v>43668</v>
      </c>
      <c r="F25" s="45">
        <v>43669</v>
      </c>
      <c r="G25" s="45">
        <v>43670</v>
      </c>
      <c r="H25" s="45">
        <v>43671</v>
      </c>
      <c r="I25" s="45">
        <v>43672</v>
      </c>
      <c r="J25" s="45">
        <v>43673</v>
      </c>
      <c r="K25" s="45">
        <v>43674</v>
      </c>
      <c r="L25" s="45">
        <v>43675</v>
      </c>
      <c r="M25" s="45">
        <v>43676</v>
      </c>
      <c r="N25" s="45">
        <v>43677</v>
      </c>
      <c r="O25" s="45">
        <v>43678</v>
      </c>
      <c r="P25" s="45">
        <v>43679</v>
      </c>
      <c r="Q25" s="45">
        <v>43680</v>
      </c>
      <c r="R25" s="45">
        <v>43681</v>
      </c>
      <c r="S25" s="45">
        <v>43682</v>
      </c>
      <c r="T25" s="45">
        <v>43683</v>
      </c>
      <c r="U25" s="45">
        <v>43684</v>
      </c>
      <c r="V25" s="45">
        <v>43685</v>
      </c>
      <c r="W25" s="45">
        <v>43686</v>
      </c>
      <c r="X25" s="45">
        <v>43687</v>
      </c>
      <c r="Y25" s="45">
        <v>43688</v>
      </c>
      <c r="Z25" s="45">
        <v>43689</v>
      </c>
      <c r="AA25" s="45">
        <v>43690</v>
      </c>
      <c r="AB25" s="45">
        <v>43691</v>
      </c>
      <c r="AC25" s="45">
        <v>43692</v>
      </c>
      <c r="AD25" s="45">
        <v>43693</v>
      </c>
      <c r="AE25" s="45">
        <v>43694</v>
      </c>
      <c r="AF25" s="45">
        <v>43695</v>
      </c>
      <c r="AG25" s="45">
        <v>43696</v>
      </c>
      <c r="AH25" s="45">
        <v>43697</v>
      </c>
      <c r="AI25" s="45">
        <v>43698</v>
      </c>
      <c r="AJ25" s="45">
        <v>43699</v>
      </c>
      <c r="AK25" s="45">
        <v>43700</v>
      </c>
    </row>
    <row r="26" spans="1:38" s="3" customFormat="1">
      <c r="A26" s="1" t="s">
        <v>107</v>
      </c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</row>
    <row r="27" spans="1:38">
      <c r="A27" s="1" t="s">
        <v>107</v>
      </c>
      <c r="C27" s="1" t="s">
        <v>0</v>
      </c>
      <c r="D27" s="1" t="s">
        <v>0</v>
      </c>
      <c r="E27" s="1" t="s">
        <v>2</v>
      </c>
      <c r="F27" s="1" t="s">
        <v>2</v>
      </c>
      <c r="G27" s="1" t="s">
        <v>4</v>
      </c>
      <c r="L27" s="1" t="s">
        <v>0</v>
      </c>
      <c r="M27" s="1" t="s">
        <v>0</v>
      </c>
      <c r="N27" s="1" t="s">
        <v>2</v>
      </c>
      <c r="O27" s="1" t="s">
        <v>4</v>
      </c>
      <c r="P27" s="1" t="s">
        <v>4</v>
      </c>
      <c r="U27" s="1" t="s">
        <v>0</v>
      </c>
      <c r="V27" s="1" t="s">
        <v>2</v>
      </c>
      <c r="W27" s="1" t="s">
        <v>2</v>
      </c>
      <c r="X27" s="1" t="s">
        <v>4</v>
      </c>
      <c r="Y27" s="1" t="s">
        <v>4</v>
      </c>
      <c r="AC27" s="1" t="s">
        <v>0</v>
      </c>
      <c r="AD27" s="1" t="s">
        <v>0</v>
      </c>
      <c r="AE27" s="1" t="s">
        <v>2</v>
      </c>
      <c r="AF27" s="1" t="s">
        <v>2</v>
      </c>
      <c r="AG27" s="1" t="s">
        <v>4</v>
      </c>
      <c r="AH27" s="1" t="s">
        <v>4</v>
      </c>
    </row>
    <row r="28" spans="1:38">
      <c r="A28" s="2" t="s">
        <v>104</v>
      </c>
      <c r="E28" s="1" t="s">
        <v>0</v>
      </c>
      <c r="F28" s="1" t="s">
        <v>0</v>
      </c>
      <c r="G28" s="1" t="s">
        <v>2</v>
      </c>
      <c r="H28" s="1" t="s">
        <v>4</v>
      </c>
      <c r="I28" s="1" t="s">
        <v>4</v>
      </c>
      <c r="N28" s="1" t="s">
        <v>0</v>
      </c>
      <c r="O28" s="1" t="s">
        <v>2</v>
      </c>
      <c r="P28" s="1" t="s">
        <v>2</v>
      </c>
      <c r="Q28" s="1" t="s">
        <v>4</v>
      </c>
      <c r="R28" s="1" t="s">
        <v>4</v>
      </c>
      <c r="V28" s="1" t="s">
        <v>0</v>
      </c>
      <c r="W28" s="1" t="s">
        <v>0</v>
      </c>
      <c r="X28" s="1" t="s">
        <v>2</v>
      </c>
      <c r="Y28" s="1" t="s">
        <v>2</v>
      </c>
      <c r="Z28" s="1" t="s">
        <v>4</v>
      </c>
      <c r="AA28" s="1" t="s">
        <v>4</v>
      </c>
      <c r="AE28" s="1" t="s">
        <v>0</v>
      </c>
      <c r="AF28" s="1" t="s">
        <v>0</v>
      </c>
      <c r="AG28" s="1" t="s">
        <v>2</v>
      </c>
      <c r="AH28" s="1" t="s">
        <v>2</v>
      </c>
      <c r="AI28" s="1" t="s">
        <v>4</v>
      </c>
    </row>
    <row r="29" spans="1:38">
      <c r="A29" s="1" t="s">
        <v>107</v>
      </c>
      <c r="G29" s="1" t="s">
        <v>0</v>
      </c>
      <c r="H29" s="1" t="s">
        <v>2</v>
      </c>
      <c r="I29" s="1" t="s">
        <v>2</v>
      </c>
      <c r="J29" s="1" t="s">
        <v>4</v>
      </c>
      <c r="K29" s="1" t="s">
        <v>4</v>
      </c>
      <c r="O29" s="1" t="s">
        <v>0</v>
      </c>
      <c r="P29" s="1" t="s">
        <v>0</v>
      </c>
      <c r="Q29" s="1" t="s">
        <v>2</v>
      </c>
      <c r="R29" s="1" t="s">
        <v>2</v>
      </c>
      <c r="S29" s="1" t="s">
        <v>4</v>
      </c>
      <c r="T29" s="1" t="s">
        <v>4</v>
      </c>
      <c r="X29" s="1" t="s">
        <v>0</v>
      </c>
      <c r="Y29" s="1" t="s">
        <v>0</v>
      </c>
      <c r="Z29" s="1" t="s">
        <v>2</v>
      </c>
      <c r="AA29" s="1" t="s">
        <v>2</v>
      </c>
      <c r="AB29" s="1" t="s">
        <v>4</v>
      </c>
      <c r="AG29" s="1" t="s">
        <v>0</v>
      </c>
      <c r="AH29" s="1" t="s">
        <v>0</v>
      </c>
      <c r="AI29" s="1" t="s">
        <v>2</v>
      </c>
      <c r="AJ29" s="1" t="s">
        <v>4</v>
      </c>
      <c r="AK29" s="1" t="s">
        <v>4</v>
      </c>
    </row>
    <row r="30" spans="1:38" s="2" customFormat="1">
      <c r="C30" s="2" t="s">
        <v>4</v>
      </c>
      <c r="D30" s="2" t="s">
        <v>4</v>
      </c>
      <c r="H30" s="2" t="s">
        <v>0</v>
      </c>
      <c r="I30" s="2" t="s">
        <v>0</v>
      </c>
      <c r="J30" s="2" t="s">
        <v>2</v>
      </c>
      <c r="K30" s="2" t="s">
        <v>2</v>
      </c>
      <c r="L30" s="2" t="s">
        <v>4</v>
      </c>
      <c r="M30" s="2" t="s">
        <v>4</v>
      </c>
      <c r="Q30" s="2" t="s">
        <v>0</v>
      </c>
      <c r="R30" s="2" t="s">
        <v>0</v>
      </c>
      <c r="S30" s="2" t="s">
        <v>2</v>
      </c>
      <c r="T30" s="2" t="s">
        <v>2</v>
      </c>
      <c r="U30" s="2" t="s">
        <v>4</v>
      </c>
      <c r="Z30" s="2" t="s">
        <v>0</v>
      </c>
      <c r="AA30" s="2" t="s">
        <v>0</v>
      </c>
      <c r="AB30" s="2" t="s">
        <v>2</v>
      </c>
      <c r="AC30" s="2" t="s">
        <v>4</v>
      </c>
      <c r="AD30" s="2" t="s">
        <v>4</v>
      </c>
      <c r="AI30" s="2" t="s">
        <v>0</v>
      </c>
      <c r="AJ30" s="2" t="s">
        <v>2</v>
      </c>
      <c r="AK30" s="2" t="s">
        <v>2</v>
      </c>
    </row>
    <row r="31" spans="1:38">
      <c r="C31" s="1" t="s">
        <v>2</v>
      </c>
      <c r="D31" s="1" t="s">
        <v>2</v>
      </c>
      <c r="E31" s="1" t="s">
        <v>4</v>
      </c>
      <c r="F31" s="1" t="s">
        <v>4</v>
      </c>
      <c r="J31" s="1" t="s">
        <v>0</v>
      </c>
      <c r="K31" s="1" t="s">
        <v>0</v>
      </c>
      <c r="L31" s="1" t="s">
        <v>2</v>
      </c>
      <c r="M31" s="1" t="s">
        <v>2</v>
      </c>
      <c r="N31" s="1" t="s">
        <v>4</v>
      </c>
      <c r="S31" s="1" t="s">
        <v>0</v>
      </c>
      <c r="T31" s="1" t="s">
        <v>0</v>
      </c>
      <c r="U31" s="1" t="s">
        <v>2</v>
      </c>
      <c r="V31" s="1" t="s">
        <v>4</v>
      </c>
      <c r="W31" s="1" t="s">
        <v>4</v>
      </c>
      <c r="AB31" s="1" t="s">
        <v>0</v>
      </c>
      <c r="AC31" s="1" t="s">
        <v>2</v>
      </c>
      <c r="AD31" s="1" t="s">
        <v>2</v>
      </c>
      <c r="AE31" s="1" t="s">
        <v>4</v>
      </c>
      <c r="AF31" s="1" t="s">
        <v>4</v>
      </c>
      <c r="AJ31" s="1" t="s">
        <v>0</v>
      </c>
      <c r="AK31" s="1" t="s">
        <v>0</v>
      </c>
    </row>
    <row r="33" spans="1:38" s="37" customFormat="1">
      <c r="A33" s="37" t="s">
        <v>134</v>
      </c>
      <c r="Q33" s="37">
        <v>1</v>
      </c>
      <c r="R33" s="37">
        <v>1</v>
      </c>
      <c r="Z33" s="37">
        <v>1</v>
      </c>
      <c r="AA33" s="37">
        <v>1</v>
      </c>
      <c r="AI33" s="37">
        <v>1</v>
      </c>
      <c r="AL33" s="37">
        <v>5</v>
      </c>
    </row>
    <row r="34" spans="1:38" s="37" customFormat="1"/>
    <row r="35" spans="1:38" s="37" customFormat="1"/>
    <row r="37" spans="1:38" s="4" customFormat="1">
      <c r="C37" s="4" t="s">
        <v>14</v>
      </c>
      <c r="J37" s="4" t="s">
        <v>15</v>
      </c>
      <c r="Q37" s="4" t="s">
        <v>16</v>
      </c>
      <c r="X37" s="4" t="s">
        <v>17</v>
      </c>
      <c r="AE37" s="4" t="s">
        <v>18</v>
      </c>
    </row>
    <row r="38" spans="1:38" s="2" customFormat="1">
      <c r="C38" s="2" t="s">
        <v>71</v>
      </c>
      <c r="D38" s="2" t="s">
        <v>72</v>
      </c>
      <c r="E38" s="2" t="s">
        <v>66</v>
      </c>
      <c r="F38" s="2" t="s">
        <v>73</v>
      </c>
      <c r="G38" s="2" t="s">
        <v>68</v>
      </c>
      <c r="H38" s="2" t="s">
        <v>69</v>
      </c>
      <c r="I38" s="2" t="s">
        <v>70</v>
      </c>
      <c r="J38" s="2" t="s">
        <v>71</v>
      </c>
      <c r="K38" s="2" t="s">
        <v>72</v>
      </c>
      <c r="L38" s="2" t="s">
        <v>66</v>
      </c>
      <c r="M38" s="2" t="s">
        <v>73</v>
      </c>
      <c r="N38" s="2" t="s">
        <v>68</v>
      </c>
      <c r="O38" s="2" t="s">
        <v>69</v>
      </c>
      <c r="P38" s="2" t="s">
        <v>70</v>
      </c>
      <c r="Q38" s="2" t="s">
        <v>71</v>
      </c>
      <c r="R38" s="2" t="s">
        <v>72</v>
      </c>
      <c r="S38" s="2" t="s">
        <v>66</v>
      </c>
      <c r="T38" s="2" t="s">
        <v>73</v>
      </c>
      <c r="U38" s="2" t="s">
        <v>68</v>
      </c>
      <c r="V38" s="2" t="s">
        <v>69</v>
      </c>
      <c r="W38" s="2" t="s">
        <v>70</v>
      </c>
      <c r="X38" s="2" t="s">
        <v>71</v>
      </c>
      <c r="Y38" s="2" t="s">
        <v>72</v>
      </c>
      <c r="Z38" s="2" t="s">
        <v>66</v>
      </c>
      <c r="AA38" s="2" t="s">
        <v>73</v>
      </c>
      <c r="AB38" s="2" t="s">
        <v>68</v>
      </c>
      <c r="AC38" s="2" t="s">
        <v>69</v>
      </c>
      <c r="AD38" s="2" t="s">
        <v>70</v>
      </c>
      <c r="AE38" s="2" t="s">
        <v>71</v>
      </c>
      <c r="AF38" s="2" t="s">
        <v>72</v>
      </c>
      <c r="AG38" s="2" t="s">
        <v>66</v>
      </c>
      <c r="AH38" s="2" t="s">
        <v>73</v>
      </c>
      <c r="AI38" s="2" t="s">
        <v>68</v>
      </c>
      <c r="AJ38" s="2" t="s">
        <v>69</v>
      </c>
      <c r="AK38" s="2" t="s">
        <v>70</v>
      </c>
    </row>
    <row r="39" spans="1:38" s="3" customFormat="1">
      <c r="C39" s="45">
        <v>43666</v>
      </c>
      <c r="D39" s="45">
        <v>43667</v>
      </c>
      <c r="E39" s="45">
        <v>43668</v>
      </c>
      <c r="F39" s="45">
        <v>43669</v>
      </c>
      <c r="G39" s="45">
        <v>43670</v>
      </c>
      <c r="H39" s="45">
        <v>43671</v>
      </c>
      <c r="I39" s="45">
        <v>43672</v>
      </c>
      <c r="J39" s="45">
        <v>43673</v>
      </c>
      <c r="K39" s="45">
        <v>43674</v>
      </c>
      <c r="L39" s="45">
        <v>43675</v>
      </c>
      <c r="M39" s="45">
        <v>43676</v>
      </c>
      <c r="N39" s="45">
        <v>43677</v>
      </c>
      <c r="O39" s="45">
        <v>43678</v>
      </c>
      <c r="P39" s="45">
        <v>43679</v>
      </c>
      <c r="Q39" s="45">
        <v>43680</v>
      </c>
      <c r="R39" s="45">
        <v>43681</v>
      </c>
      <c r="S39" s="45">
        <v>43682</v>
      </c>
      <c r="T39" s="45">
        <v>43683</v>
      </c>
      <c r="U39" s="45">
        <v>43684</v>
      </c>
      <c r="V39" s="45">
        <v>43685</v>
      </c>
      <c r="W39" s="45">
        <v>43686</v>
      </c>
      <c r="X39" s="45">
        <v>43687</v>
      </c>
      <c r="Y39" s="45">
        <v>43688</v>
      </c>
      <c r="Z39" s="45">
        <v>43689</v>
      </c>
      <c r="AA39" s="45">
        <v>43690</v>
      </c>
      <c r="AB39" s="45">
        <v>43691</v>
      </c>
      <c r="AC39" s="45">
        <v>43692</v>
      </c>
      <c r="AD39" s="45">
        <v>43693</v>
      </c>
      <c r="AE39" s="45">
        <v>43694</v>
      </c>
      <c r="AF39" s="45">
        <v>43695</v>
      </c>
      <c r="AG39" s="45">
        <v>43696</v>
      </c>
      <c r="AH39" s="45">
        <v>43697</v>
      </c>
      <c r="AI39" s="45">
        <v>43698</v>
      </c>
      <c r="AJ39" s="45">
        <v>43699</v>
      </c>
      <c r="AK39" s="45">
        <v>43700</v>
      </c>
    </row>
    <row r="40" spans="1:38" s="3" customFormat="1"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</row>
    <row r="41" spans="1:38">
      <c r="A41" s="1" t="s">
        <v>107</v>
      </c>
      <c r="B41" s="1" t="s">
        <v>133</v>
      </c>
      <c r="C41" s="1" t="s">
        <v>0</v>
      </c>
      <c r="D41" s="1" t="s">
        <v>0</v>
      </c>
      <c r="E41" s="1" t="s">
        <v>2</v>
      </c>
      <c r="F41" s="1" t="s">
        <v>2</v>
      </c>
      <c r="G41" s="1" t="s">
        <v>4</v>
      </c>
      <c r="L41" s="1" t="s">
        <v>0</v>
      </c>
      <c r="M41" s="1" t="s">
        <v>0</v>
      </c>
      <c r="N41" s="1" t="s">
        <v>2</v>
      </c>
      <c r="O41" s="1" t="s">
        <v>4</v>
      </c>
      <c r="P41" s="1" t="s">
        <v>4</v>
      </c>
      <c r="U41" s="1" t="s">
        <v>0</v>
      </c>
      <c r="V41" s="1" t="s">
        <v>2</v>
      </c>
      <c r="W41" s="1" t="s">
        <v>2</v>
      </c>
      <c r="X41" s="1" t="s">
        <v>4</v>
      </c>
      <c r="Y41" s="1" t="s">
        <v>4</v>
      </c>
      <c r="AC41" s="1" t="s">
        <v>0</v>
      </c>
      <c r="AD41" s="1" t="s">
        <v>0</v>
      </c>
      <c r="AE41" s="1" t="s">
        <v>2</v>
      </c>
      <c r="AF41" s="1" t="s">
        <v>2</v>
      </c>
      <c r="AG41" s="1" t="s">
        <v>4</v>
      </c>
      <c r="AH41" s="1" t="s">
        <v>4</v>
      </c>
    </row>
    <row r="42" spans="1:38">
      <c r="A42" s="1" t="s">
        <v>107</v>
      </c>
      <c r="B42" s="1" t="s">
        <v>77</v>
      </c>
      <c r="E42" s="1" t="s">
        <v>0</v>
      </c>
      <c r="F42" s="1" t="s">
        <v>0</v>
      </c>
      <c r="G42" s="1" t="s">
        <v>2</v>
      </c>
      <c r="H42" s="1" t="s">
        <v>4</v>
      </c>
      <c r="I42" s="1" t="s">
        <v>4</v>
      </c>
      <c r="N42" s="1" t="s">
        <v>0</v>
      </c>
      <c r="O42" s="1" t="s">
        <v>2</v>
      </c>
      <c r="P42" s="1" t="s">
        <v>2</v>
      </c>
      <c r="Q42" s="1" t="s">
        <v>4</v>
      </c>
      <c r="R42" s="1" t="s">
        <v>4</v>
      </c>
      <c r="V42" s="1" t="s">
        <v>0</v>
      </c>
      <c r="W42" s="1" t="s">
        <v>0</v>
      </c>
      <c r="X42" s="1" t="s">
        <v>2</v>
      </c>
      <c r="Y42" s="1" t="s">
        <v>2</v>
      </c>
      <c r="Z42" s="1" t="s">
        <v>4</v>
      </c>
      <c r="AA42" s="1" t="s">
        <v>4</v>
      </c>
      <c r="AE42" s="1" t="s">
        <v>0</v>
      </c>
      <c r="AF42" s="1" t="s">
        <v>0</v>
      </c>
      <c r="AG42" s="1" t="s">
        <v>2</v>
      </c>
      <c r="AH42" s="1" t="s">
        <v>2</v>
      </c>
      <c r="AI42" s="1" t="s">
        <v>4</v>
      </c>
    </row>
    <row r="43" spans="1:38" s="2" customFormat="1">
      <c r="A43" s="2" t="s">
        <v>104</v>
      </c>
      <c r="B43" s="2" t="s">
        <v>83</v>
      </c>
      <c r="G43" s="2" t="s">
        <v>0</v>
      </c>
      <c r="H43" s="2" t="s">
        <v>2</v>
      </c>
      <c r="I43" s="2" t="s">
        <v>2</v>
      </c>
      <c r="J43" s="2" t="s">
        <v>4</v>
      </c>
      <c r="K43" s="2" t="s">
        <v>4</v>
      </c>
      <c r="O43" s="2" t="s">
        <v>0</v>
      </c>
      <c r="P43" s="2" t="s">
        <v>0</v>
      </c>
      <c r="Q43" s="2" t="s">
        <v>2</v>
      </c>
      <c r="R43" s="2" t="s">
        <v>2</v>
      </c>
      <c r="S43" s="2" t="s">
        <v>4</v>
      </c>
      <c r="T43" s="2" t="s">
        <v>4</v>
      </c>
      <c r="X43" s="2" t="s">
        <v>0</v>
      </c>
      <c r="Y43" s="2" t="s">
        <v>0</v>
      </c>
      <c r="Z43" s="2" t="s">
        <v>2</v>
      </c>
      <c r="AA43" s="2" t="s">
        <v>2</v>
      </c>
      <c r="AB43" s="2" t="s">
        <v>4</v>
      </c>
      <c r="AG43" s="2" t="s">
        <v>0</v>
      </c>
      <c r="AH43" s="2" t="s">
        <v>0</v>
      </c>
      <c r="AI43" s="2" t="s">
        <v>2</v>
      </c>
      <c r="AJ43" s="2" t="s">
        <v>4</v>
      </c>
      <c r="AK43" s="2" t="s">
        <v>4</v>
      </c>
    </row>
    <row r="44" spans="1:38">
      <c r="A44" s="1" t="s">
        <v>107</v>
      </c>
      <c r="B44" s="1" t="s">
        <v>79</v>
      </c>
      <c r="C44" s="1" t="s">
        <v>4</v>
      </c>
      <c r="D44" s="1" t="s">
        <v>4</v>
      </c>
      <c r="H44" s="1" t="s">
        <v>0</v>
      </c>
      <c r="I44" s="1" t="s">
        <v>0</v>
      </c>
      <c r="J44" s="1" t="s">
        <v>2</v>
      </c>
      <c r="K44" s="1" t="s">
        <v>2</v>
      </c>
      <c r="L44" s="1" t="s">
        <v>4</v>
      </c>
      <c r="M44" s="1" t="s">
        <v>4</v>
      </c>
      <c r="Q44" s="1" t="s">
        <v>0</v>
      </c>
      <c r="R44" s="1" t="s">
        <v>0</v>
      </c>
      <c r="S44" s="1" t="s">
        <v>2</v>
      </c>
      <c r="T44" s="1" t="s">
        <v>2</v>
      </c>
      <c r="U44" s="1" t="s">
        <v>4</v>
      </c>
      <c r="Z44" s="1" t="s">
        <v>0</v>
      </c>
      <c r="AA44" s="1" t="s">
        <v>0</v>
      </c>
      <c r="AB44" s="1" t="s">
        <v>2</v>
      </c>
      <c r="AC44" s="1" t="s">
        <v>4</v>
      </c>
      <c r="AD44" s="1" t="s">
        <v>4</v>
      </c>
      <c r="AI44" s="1" t="s">
        <v>0</v>
      </c>
      <c r="AJ44" s="1" t="s">
        <v>2</v>
      </c>
      <c r="AK44" s="1" t="s">
        <v>2</v>
      </c>
    </row>
    <row r="45" spans="1:38">
      <c r="A45" s="1" t="s">
        <v>107</v>
      </c>
      <c r="B45" s="1" t="s">
        <v>85</v>
      </c>
      <c r="C45" s="1" t="s">
        <v>2</v>
      </c>
      <c r="D45" s="1" t="s">
        <v>2</v>
      </c>
      <c r="E45" s="1" t="s">
        <v>4</v>
      </c>
      <c r="F45" s="1" t="s">
        <v>4</v>
      </c>
      <c r="J45" s="1" t="s">
        <v>0</v>
      </c>
      <c r="K45" s="1" t="s">
        <v>0</v>
      </c>
      <c r="L45" s="1" t="s">
        <v>2</v>
      </c>
      <c r="M45" s="1" t="s">
        <v>2</v>
      </c>
      <c r="N45" s="1" t="s">
        <v>4</v>
      </c>
      <c r="S45" s="1" t="s">
        <v>0</v>
      </c>
      <c r="T45" s="1" t="s">
        <v>0</v>
      </c>
      <c r="U45" s="1" t="s">
        <v>2</v>
      </c>
      <c r="V45" s="1" t="s">
        <v>4</v>
      </c>
      <c r="W45" s="1" t="s">
        <v>4</v>
      </c>
      <c r="AB45" s="1" t="s">
        <v>0</v>
      </c>
      <c r="AC45" s="1" t="s">
        <v>2</v>
      </c>
      <c r="AD45" s="1" t="s">
        <v>2</v>
      </c>
      <c r="AE45" s="1" t="s">
        <v>4</v>
      </c>
      <c r="AF45" s="1" t="s">
        <v>4</v>
      </c>
      <c r="AJ45" s="1" t="s">
        <v>0</v>
      </c>
      <c r="AK45" s="1" t="s">
        <v>0</v>
      </c>
    </row>
    <row r="47" spans="1:38" s="37" customFormat="1">
      <c r="A47" s="37" t="s">
        <v>134</v>
      </c>
      <c r="G47" s="37">
        <v>1</v>
      </c>
      <c r="X47" s="37">
        <v>1</v>
      </c>
      <c r="Y47" s="37">
        <v>1</v>
      </c>
      <c r="AG47" s="37">
        <v>1</v>
      </c>
      <c r="AH47" s="37">
        <v>1</v>
      </c>
      <c r="AL47" s="37">
        <v>5</v>
      </c>
    </row>
    <row r="49" spans="1:38" s="38" customFormat="1">
      <c r="C49" s="38" t="s">
        <v>14</v>
      </c>
      <c r="J49" s="38" t="s">
        <v>15</v>
      </c>
      <c r="Q49" s="38" t="s">
        <v>16</v>
      </c>
      <c r="X49" s="38" t="s">
        <v>17</v>
      </c>
      <c r="AE49" s="38" t="s">
        <v>18</v>
      </c>
    </row>
    <row r="50" spans="1:38" s="37" customFormat="1">
      <c r="C50" s="37" t="s">
        <v>71</v>
      </c>
      <c r="D50" s="37" t="s">
        <v>72</v>
      </c>
      <c r="E50" s="37" t="s">
        <v>66</v>
      </c>
      <c r="F50" s="37" t="s">
        <v>73</v>
      </c>
      <c r="G50" s="37" t="s">
        <v>68</v>
      </c>
      <c r="H50" s="37" t="s">
        <v>69</v>
      </c>
      <c r="I50" s="37" t="s">
        <v>70</v>
      </c>
      <c r="J50" s="37" t="s">
        <v>71</v>
      </c>
      <c r="K50" s="37" t="s">
        <v>72</v>
      </c>
      <c r="L50" s="37" t="s">
        <v>66</v>
      </c>
      <c r="M50" s="37" t="s">
        <v>73</v>
      </c>
      <c r="N50" s="37" t="s">
        <v>68</v>
      </c>
      <c r="O50" s="37" t="s">
        <v>69</v>
      </c>
      <c r="P50" s="37" t="s">
        <v>70</v>
      </c>
      <c r="Q50" s="37" t="s">
        <v>71</v>
      </c>
      <c r="R50" s="37" t="s">
        <v>72</v>
      </c>
      <c r="S50" s="37" t="s">
        <v>66</v>
      </c>
      <c r="T50" s="37" t="s">
        <v>73</v>
      </c>
      <c r="U50" s="37" t="s">
        <v>68</v>
      </c>
      <c r="V50" s="37" t="s">
        <v>69</v>
      </c>
      <c r="W50" s="37" t="s">
        <v>70</v>
      </c>
      <c r="X50" s="37" t="s">
        <v>71</v>
      </c>
      <c r="Y50" s="37" t="s">
        <v>72</v>
      </c>
      <c r="Z50" s="37" t="s">
        <v>66</v>
      </c>
      <c r="AA50" s="37" t="s">
        <v>73</v>
      </c>
      <c r="AB50" s="37" t="s">
        <v>68</v>
      </c>
      <c r="AC50" s="37" t="s">
        <v>69</v>
      </c>
      <c r="AD50" s="37" t="s">
        <v>70</v>
      </c>
      <c r="AE50" s="37" t="s">
        <v>71</v>
      </c>
      <c r="AF50" s="37" t="s">
        <v>72</v>
      </c>
      <c r="AG50" s="37" t="s">
        <v>66</v>
      </c>
      <c r="AH50" s="37" t="s">
        <v>73</v>
      </c>
      <c r="AI50" s="37" t="s">
        <v>68</v>
      </c>
      <c r="AJ50" s="37" t="s">
        <v>69</v>
      </c>
      <c r="AK50" s="37" t="s">
        <v>70</v>
      </c>
    </row>
    <row r="51" spans="1:38" s="39" customFormat="1">
      <c r="C51" s="40">
        <v>43666</v>
      </c>
      <c r="D51" s="40">
        <v>43667</v>
      </c>
      <c r="E51" s="40">
        <v>43668</v>
      </c>
      <c r="F51" s="40">
        <v>43669</v>
      </c>
      <c r="G51" s="40">
        <v>43670</v>
      </c>
      <c r="H51" s="40">
        <v>43671</v>
      </c>
      <c r="I51" s="40">
        <v>43672</v>
      </c>
      <c r="J51" s="40">
        <v>43673</v>
      </c>
      <c r="K51" s="40">
        <v>43674</v>
      </c>
      <c r="L51" s="40">
        <v>43675</v>
      </c>
      <c r="M51" s="40">
        <v>43676</v>
      </c>
      <c r="N51" s="40">
        <v>43677</v>
      </c>
      <c r="O51" s="40">
        <v>43678</v>
      </c>
      <c r="P51" s="40">
        <v>43679</v>
      </c>
      <c r="Q51" s="40">
        <v>43680</v>
      </c>
      <c r="R51" s="40">
        <v>43681</v>
      </c>
      <c r="S51" s="40">
        <v>43682</v>
      </c>
      <c r="T51" s="40">
        <v>43683</v>
      </c>
      <c r="U51" s="40">
        <v>43684</v>
      </c>
      <c r="V51" s="40">
        <v>43685</v>
      </c>
      <c r="W51" s="40">
        <v>43686</v>
      </c>
      <c r="X51" s="40">
        <v>43687</v>
      </c>
      <c r="Y51" s="40">
        <v>43688</v>
      </c>
      <c r="Z51" s="40">
        <v>43689</v>
      </c>
      <c r="AA51" s="40">
        <v>43690</v>
      </c>
      <c r="AB51" s="40">
        <v>43691</v>
      </c>
      <c r="AC51" s="40">
        <v>43692</v>
      </c>
      <c r="AD51" s="40">
        <v>43693</v>
      </c>
      <c r="AE51" s="40">
        <v>43694</v>
      </c>
      <c r="AF51" s="40">
        <v>43695</v>
      </c>
      <c r="AG51" s="40">
        <v>43696</v>
      </c>
      <c r="AH51" s="40">
        <v>43697</v>
      </c>
      <c r="AI51" s="40">
        <v>43698</v>
      </c>
      <c r="AJ51" s="40">
        <v>43699</v>
      </c>
      <c r="AK51" s="40">
        <v>43700</v>
      </c>
    </row>
    <row r="52" spans="1:38" s="39" customFormat="1"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</row>
    <row r="53" spans="1:38" s="41" customFormat="1">
      <c r="A53" s="41" t="s">
        <v>107</v>
      </c>
      <c r="B53" s="41" t="s">
        <v>77</v>
      </c>
      <c r="C53" s="41" t="s">
        <v>0</v>
      </c>
      <c r="D53" s="41" t="s">
        <v>0</v>
      </c>
      <c r="E53" s="41" t="s">
        <v>2</v>
      </c>
      <c r="F53" s="41" t="s">
        <v>2</v>
      </c>
      <c r="G53" s="41" t="s">
        <v>4</v>
      </c>
      <c r="L53" s="41" t="s">
        <v>0</v>
      </c>
      <c r="M53" s="41" t="s">
        <v>0</v>
      </c>
      <c r="N53" s="41" t="s">
        <v>2</v>
      </c>
      <c r="O53" s="41" t="s">
        <v>4</v>
      </c>
      <c r="P53" s="41" t="s">
        <v>4</v>
      </c>
      <c r="U53" s="41" t="s">
        <v>0</v>
      </c>
      <c r="V53" s="41" t="s">
        <v>2</v>
      </c>
      <c r="W53" s="41" t="s">
        <v>2</v>
      </c>
      <c r="X53" s="41" t="s">
        <v>4</v>
      </c>
      <c r="Y53" s="41" t="s">
        <v>4</v>
      </c>
      <c r="AC53" s="41" t="s">
        <v>0</v>
      </c>
      <c r="AD53" s="41" t="s">
        <v>0</v>
      </c>
      <c r="AE53" s="41" t="s">
        <v>2</v>
      </c>
      <c r="AF53" s="41" t="s">
        <v>2</v>
      </c>
      <c r="AG53" s="41" t="s">
        <v>4</v>
      </c>
      <c r="AH53" s="41" t="s">
        <v>4</v>
      </c>
    </row>
    <row r="54" spans="1:38" s="41" customFormat="1">
      <c r="A54" s="41" t="s">
        <v>107</v>
      </c>
      <c r="B54" s="41" t="s">
        <v>133</v>
      </c>
      <c r="E54" s="41" t="s">
        <v>0</v>
      </c>
      <c r="F54" s="41" t="s">
        <v>0</v>
      </c>
      <c r="G54" s="42" t="s">
        <v>135</v>
      </c>
      <c r="H54" s="41" t="s">
        <v>4</v>
      </c>
      <c r="I54" s="41" t="s">
        <v>4</v>
      </c>
      <c r="N54" s="41" t="s">
        <v>0</v>
      </c>
      <c r="O54" s="41" t="s">
        <v>2</v>
      </c>
      <c r="P54" s="41" t="s">
        <v>2</v>
      </c>
      <c r="Q54" s="41" t="s">
        <v>4</v>
      </c>
      <c r="R54" s="41" t="s">
        <v>4</v>
      </c>
      <c r="V54" s="41" t="s">
        <v>0</v>
      </c>
      <c r="W54" s="41" t="s">
        <v>0</v>
      </c>
      <c r="X54" s="42" t="s">
        <v>135</v>
      </c>
      <c r="Y54" s="42" t="s">
        <v>135</v>
      </c>
      <c r="Z54" s="41" t="s">
        <v>4</v>
      </c>
      <c r="AA54" s="41" t="s">
        <v>4</v>
      </c>
      <c r="AE54" s="41" t="s">
        <v>0</v>
      </c>
      <c r="AF54" s="41" t="s">
        <v>0</v>
      </c>
      <c r="AG54" s="42" t="s">
        <v>135</v>
      </c>
      <c r="AH54" s="42" t="s">
        <v>135</v>
      </c>
      <c r="AI54" s="41" t="s">
        <v>4</v>
      </c>
    </row>
    <row r="55" spans="1:38" s="37" customFormat="1">
      <c r="A55" s="37" t="s">
        <v>104</v>
      </c>
      <c r="B55" s="37" t="s">
        <v>83</v>
      </c>
      <c r="G55" s="37" t="s">
        <v>0</v>
      </c>
      <c r="H55" s="37" t="s">
        <v>2</v>
      </c>
      <c r="I55" s="37" t="s">
        <v>2</v>
      </c>
      <c r="J55" s="37" t="s">
        <v>4</v>
      </c>
      <c r="K55" s="37" t="s">
        <v>4</v>
      </c>
      <c r="O55" s="37" t="s">
        <v>0</v>
      </c>
      <c r="P55" s="37" t="s">
        <v>0</v>
      </c>
      <c r="Q55" s="37" t="s">
        <v>2</v>
      </c>
      <c r="R55" s="37" t="s">
        <v>2</v>
      </c>
      <c r="S55" s="37" t="s">
        <v>4</v>
      </c>
      <c r="T55" s="37" t="s">
        <v>4</v>
      </c>
      <c r="X55" s="37" t="s">
        <v>0</v>
      </c>
      <c r="Y55" s="37" t="s">
        <v>0</v>
      </c>
      <c r="Z55" s="37" t="s">
        <v>2</v>
      </c>
      <c r="AA55" s="37" t="s">
        <v>2</v>
      </c>
      <c r="AB55" s="37" t="s">
        <v>4</v>
      </c>
      <c r="AG55" s="37" t="s">
        <v>0</v>
      </c>
      <c r="AH55" s="37" t="s">
        <v>0</v>
      </c>
      <c r="AI55" s="37" t="s">
        <v>2</v>
      </c>
      <c r="AJ55" s="37" t="s">
        <v>4</v>
      </c>
      <c r="AK55" s="37" t="s">
        <v>4</v>
      </c>
    </row>
    <row r="56" spans="1:38" s="41" customFormat="1">
      <c r="A56" s="41" t="s">
        <v>107</v>
      </c>
      <c r="B56" s="41" t="s">
        <v>79</v>
      </c>
      <c r="C56" s="41" t="s">
        <v>4</v>
      </c>
      <c r="D56" s="41" t="s">
        <v>4</v>
      </c>
      <c r="H56" s="41" t="s">
        <v>0</v>
      </c>
      <c r="I56" s="41" t="s">
        <v>0</v>
      </c>
      <c r="J56" s="41" t="s">
        <v>2</v>
      </c>
      <c r="K56" s="41" t="s">
        <v>2</v>
      </c>
      <c r="L56" s="41" t="s">
        <v>4</v>
      </c>
      <c r="M56" s="41" t="s">
        <v>4</v>
      </c>
      <c r="Q56" s="42" t="s">
        <v>136</v>
      </c>
      <c r="R56" s="42" t="s">
        <v>136</v>
      </c>
      <c r="S56" s="41" t="s">
        <v>2</v>
      </c>
      <c r="T56" s="41" t="s">
        <v>2</v>
      </c>
      <c r="U56" s="41" t="s">
        <v>4</v>
      </c>
      <c r="Z56" s="42" t="s">
        <v>136</v>
      </c>
      <c r="AA56" s="42" t="s">
        <v>137</v>
      </c>
      <c r="AB56" s="41" t="s">
        <v>2</v>
      </c>
      <c r="AC56" s="41" t="s">
        <v>4</v>
      </c>
      <c r="AD56" s="41" t="s">
        <v>4</v>
      </c>
      <c r="AI56" s="42" t="s">
        <v>136</v>
      </c>
      <c r="AJ56" s="41" t="s">
        <v>2</v>
      </c>
      <c r="AK56" s="41" t="s">
        <v>2</v>
      </c>
    </row>
    <row r="57" spans="1:38" s="41" customFormat="1">
      <c r="A57" s="41" t="s">
        <v>107</v>
      </c>
      <c r="B57" s="41" t="s">
        <v>85</v>
      </c>
      <c r="C57" s="41" t="s">
        <v>2</v>
      </c>
      <c r="D57" s="41" t="s">
        <v>2</v>
      </c>
      <c r="E57" s="41" t="s">
        <v>4</v>
      </c>
      <c r="F57" s="41" t="s">
        <v>4</v>
      </c>
      <c r="J57" s="41" t="s">
        <v>0</v>
      </c>
      <c r="K57" s="41" t="s">
        <v>0</v>
      </c>
      <c r="L57" s="41" t="s">
        <v>2</v>
      </c>
      <c r="M57" s="41" t="s">
        <v>2</v>
      </c>
      <c r="N57" s="41" t="s">
        <v>4</v>
      </c>
      <c r="S57" s="41" t="s">
        <v>0</v>
      </c>
      <c r="T57" s="41" t="s">
        <v>0</v>
      </c>
      <c r="U57" s="41" t="s">
        <v>2</v>
      </c>
      <c r="V57" s="41" t="s">
        <v>4</v>
      </c>
      <c r="W57" s="41" t="s">
        <v>4</v>
      </c>
      <c r="AB57" s="41" t="s">
        <v>0</v>
      </c>
      <c r="AC57" s="41" t="s">
        <v>2</v>
      </c>
      <c r="AD57" s="41" t="s">
        <v>2</v>
      </c>
      <c r="AE57" s="41" t="s">
        <v>4</v>
      </c>
      <c r="AF57" s="41" t="s">
        <v>4</v>
      </c>
      <c r="AJ57" s="41" t="s">
        <v>0</v>
      </c>
      <c r="AK57" s="41" t="s">
        <v>0</v>
      </c>
    </row>
    <row r="59" spans="1:38" s="37" customFormat="1">
      <c r="A59" s="37" t="s">
        <v>134</v>
      </c>
      <c r="AL59" s="37">
        <v>0</v>
      </c>
    </row>
    <row r="60" spans="1:38">
      <c r="B60" s="1" t="s">
        <v>133</v>
      </c>
      <c r="C60" s="1" t="s">
        <v>138</v>
      </c>
    </row>
    <row r="62" spans="1:38" s="38" customFormat="1">
      <c r="C62" s="38" t="s">
        <v>14</v>
      </c>
      <c r="J62" s="38" t="s">
        <v>15</v>
      </c>
      <c r="Q62" s="38" t="s">
        <v>16</v>
      </c>
      <c r="X62" s="38" t="s">
        <v>17</v>
      </c>
      <c r="AE62" s="38" t="s">
        <v>18</v>
      </c>
    </row>
    <row r="63" spans="1:38" s="37" customFormat="1">
      <c r="C63" s="37" t="s">
        <v>71</v>
      </c>
      <c r="D63" s="37" t="s">
        <v>72</v>
      </c>
      <c r="E63" s="37" t="s">
        <v>66</v>
      </c>
      <c r="F63" s="37" t="s">
        <v>73</v>
      </c>
      <c r="G63" s="37" t="s">
        <v>68</v>
      </c>
      <c r="H63" s="37" t="s">
        <v>69</v>
      </c>
      <c r="I63" s="37" t="s">
        <v>70</v>
      </c>
      <c r="J63" s="37" t="s">
        <v>71</v>
      </c>
      <c r="K63" s="37" t="s">
        <v>72</v>
      </c>
      <c r="L63" s="37" t="s">
        <v>66</v>
      </c>
      <c r="M63" s="37" t="s">
        <v>73</v>
      </c>
      <c r="N63" s="37" t="s">
        <v>68</v>
      </c>
      <c r="O63" s="37" t="s">
        <v>69</v>
      </c>
      <c r="P63" s="37" t="s">
        <v>70</v>
      </c>
      <c r="Q63" s="37" t="s">
        <v>71</v>
      </c>
      <c r="R63" s="37" t="s">
        <v>72</v>
      </c>
      <c r="S63" s="37" t="s">
        <v>66</v>
      </c>
      <c r="T63" s="37" t="s">
        <v>73</v>
      </c>
      <c r="U63" s="37" t="s">
        <v>68</v>
      </c>
      <c r="V63" s="37" t="s">
        <v>69</v>
      </c>
      <c r="W63" s="37" t="s">
        <v>70</v>
      </c>
      <c r="X63" s="37" t="s">
        <v>71</v>
      </c>
      <c r="Y63" s="37" t="s">
        <v>72</v>
      </c>
      <c r="Z63" s="37" t="s">
        <v>66</v>
      </c>
      <c r="AA63" s="37" t="s">
        <v>73</v>
      </c>
      <c r="AB63" s="37" t="s">
        <v>68</v>
      </c>
      <c r="AC63" s="37" t="s">
        <v>69</v>
      </c>
      <c r="AD63" s="37" t="s">
        <v>70</v>
      </c>
      <c r="AE63" s="37" t="s">
        <v>71</v>
      </c>
      <c r="AF63" s="37" t="s">
        <v>72</v>
      </c>
      <c r="AG63" s="37" t="s">
        <v>66</v>
      </c>
      <c r="AH63" s="37" t="s">
        <v>73</v>
      </c>
      <c r="AI63" s="37" t="s">
        <v>68</v>
      </c>
      <c r="AJ63" s="37" t="s">
        <v>69</v>
      </c>
      <c r="AK63" s="37" t="s">
        <v>70</v>
      </c>
    </row>
    <row r="64" spans="1:38" s="39" customFormat="1">
      <c r="C64" s="40">
        <v>43666</v>
      </c>
      <c r="D64" s="40">
        <v>43667</v>
      </c>
      <c r="E64" s="40">
        <v>43668</v>
      </c>
      <c r="F64" s="40">
        <v>43669</v>
      </c>
      <c r="G64" s="40">
        <v>43670</v>
      </c>
      <c r="H64" s="40">
        <v>43671</v>
      </c>
      <c r="I64" s="40">
        <v>43672</v>
      </c>
      <c r="J64" s="40">
        <v>43673</v>
      </c>
      <c r="K64" s="40">
        <v>43674</v>
      </c>
      <c r="L64" s="40">
        <v>43675</v>
      </c>
      <c r="M64" s="40">
        <v>43676</v>
      </c>
      <c r="N64" s="40">
        <v>43677</v>
      </c>
      <c r="O64" s="40">
        <v>43678</v>
      </c>
      <c r="P64" s="40">
        <v>43679</v>
      </c>
      <c r="Q64" s="40">
        <v>43680</v>
      </c>
      <c r="R64" s="40">
        <v>43681</v>
      </c>
      <c r="S64" s="40">
        <v>43682</v>
      </c>
      <c r="T64" s="40">
        <v>43683</v>
      </c>
      <c r="U64" s="40">
        <v>43684</v>
      </c>
      <c r="V64" s="40">
        <v>43685</v>
      </c>
      <c r="W64" s="40">
        <v>43686</v>
      </c>
      <c r="X64" s="40">
        <v>43687</v>
      </c>
      <c r="Y64" s="40">
        <v>43688</v>
      </c>
      <c r="Z64" s="40">
        <v>43689</v>
      </c>
      <c r="AA64" s="40">
        <v>43690</v>
      </c>
      <c r="AB64" s="40">
        <v>43691</v>
      </c>
      <c r="AC64" s="40">
        <v>43692</v>
      </c>
      <c r="AD64" s="40">
        <v>43693</v>
      </c>
      <c r="AE64" s="40">
        <v>43694</v>
      </c>
      <c r="AF64" s="40">
        <v>43695</v>
      </c>
      <c r="AG64" s="40">
        <v>43696</v>
      </c>
      <c r="AH64" s="40">
        <v>43697</v>
      </c>
      <c r="AI64" s="40">
        <v>43698</v>
      </c>
      <c r="AJ64" s="40">
        <v>43699</v>
      </c>
      <c r="AK64" s="40">
        <v>43700</v>
      </c>
    </row>
    <row r="65" spans="1:37" s="39" customFormat="1"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</row>
    <row r="66" spans="1:37" s="41" customFormat="1">
      <c r="A66" s="41" t="s">
        <v>107</v>
      </c>
      <c r="B66" s="41" t="s">
        <v>133</v>
      </c>
      <c r="C66" s="41" t="s">
        <v>0</v>
      </c>
      <c r="D66" s="41" t="s">
        <v>0</v>
      </c>
      <c r="E66" s="42" t="s">
        <v>135</v>
      </c>
      <c r="F66" s="42" t="s">
        <v>135</v>
      </c>
      <c r="G66" s="41" t="s">
        <v>4</v>
      </c>
      <c r="L66" s="41" t="s">
        <v>0</v>
      </c>
      <c r="M66" s="41" t="s">
        <v>0</v>
      </c>
      <c r="N66" s="42" t="s">
        <v>135</v>
      </c>
      <c r="O66" s="41" t="s">
        <v>4</v>
      </c>
      <c r="P66" s="41" t="s">
        <v>4</v>
      </c>
      <c r="U66" s="41" t="s">
        <v>0</v>
      </c>
      <c r="V66" s="41" t="s">
        <v>2</v>
      </c>
      <c r="W66" s="41" t="s">
        <v>2</v>
      </c>
      <c r="X66" s="41" t="s">
        <v>4</v>
      </c>
      <c r="Y66" s="41" t="s">
        <v>4</v>
      </c>
      <c r="AC66" s="41" t="s">
        <v>0</v>
      </c>
      <c r="AD66" s="41" t="s">
        <v>0</v>
      </c>
      <c r="AE66" s="42" t="s">
        <v>135</v>
      </c>
      <c r="AF66" s="42" t="s">
        <v>135</v>
      </c>
      <c r="AG66" s="41" t="s">
        <v>4</v>
      </c>
      <c r="AH66" s="41" t="s">
        <v>4</v>
      </c>
    </row>
    <row r="67" spans="1:37" s="37" customFormat="1">
      <c r="A67" s="37" t="s">
        <v>104</v>
      </c>
      <c r="B67" s="37" t="s">
        <v>83</v>
      </c>
      <c r="E67" s="37" t="s">
        <v>0</v>
      </c>
      <c r="F67" s="37" t="s">
        <v>0</v>
      </c>
      <c r="G67" s="37" t="s">
        <v>2</v>
      </c>
      <c r="H67" s="37" t="s">
        <v>4</v>
      </c>
      <c r="I67" s="37" t="s">
        <v>4</v>
      </c>
      <c r="N67" s="37" t="s">
        <v>0</v>
      </c>
      <c r="O67" s="37" t="s">
        <v>2</v>
      </c>
      <c r="P67" s="37" t="s">
        <v>2</v>
      </c>
      <c r="Q67" s="37" t="s">
        <v>4</v>
      </c>
      <c r="R67" s="37" t="s">
        <v>4</v>
      </c>
      <c r="V67" s="37" t="s">
        <v>0</v>
      </c>
      <c r="W67" s="37" t="s">
        <v>0</v>
      </c>
      <c r="X67" s="37" t="s">
        <v>2</v>
      </c>
      <c r="Y67" s="37" t="s">
        <v>2</v>
      </c>
      <c r="Z67" s="37" t="s">
        <v>4</v>
      </c>
      <c r="AA67" s="37" t="s">
        <v>4</v>
      </c>
      <c r="AE67" s="37" t="s">
        <v>0</v>
      </c>
      <c r="AF67" s="37" t="s">
        <v>0</v>
      </c>
      <c r="AG67" s="37" t="s">
        <v>2</v>
      </c>
      <c r="AH67" s="37" t="s">
        <v>2</v>
      </c>
      <c r="AI67" s="37" t="s">
        <v>4</v>
      </c>
    </row>
    <row r="68" spans="1:37" s="41" customFormat="1">
      <c r="A68" s="41" t="s">
        <v>107</v>
      </c>
      <c r="B68" s="41" t="s">
        <v>77</v>
      </c>
      <c r="G68" s="42" t="s">
        <v>136</v>
      </c>
      <c r="H68" s="41" t="s">
        <v>2</v>
      </c>
      <c r="I68" s="41" t="s">
        <v>2</v>
      </c>
      <c r="J68" s="41" t="s">
        <v>4</v>
      </c>
      <c r="K68" s="41" t="s">
        <v>4</v>
      </c>
      <c r="O68" s="41" t="s">
        <v>0</v>
      </c>
      <c r="P68" s="41" t="s">
        <v>0</v>
      </c>
      <c r="Q68" s="41" t="s">
        <v>2</v>
      </c>
      <c r="R68" s="41" t="s">
        <v>2</v>
      </c>
      <c r="S68" s="41" t="s">
        <v>4</v>
      </c>
      <c r="T68" s="41" t="s">
        <v>4</v>
      </c>
      <c r="X68" s="42" t="s">
        <v>136</v>
      </c>
      <c r="Y68" s="42" t="s">
        <v>136</v>
      </c>
      <c r="Z68" s="41" t="s">
        <v>2</v>
      </c>
      <c r="AA68" s="41" t="s">
        <v>2</v>
      </c>
      <c r="AB68" s="41" t="s">
        <v>4</v>
      </c>
      <c r="AG68" s="42" t="s">
        <v>136</v>
      </c>
      <c r="AH68" s="42" t="s">
        <v>136</v>
      </c>
      <c r="AI68" s="41" t="s">
        <v>2</v>
      </c>
      <c r="AJ68" s="41" t="s">
        <v>4</v>
      </c>
      <c r="AK68" s="41" t="s">
        <v>4</v>
      </c>
    </row>
    <row r="69" spans="1:37" s="41" customFormat="1">
      <c r="A69" s="41" t="s">
        <v>107</v>
      </c>
      <c r="B69" s="41" t="s">
        <v>79</v>
      </c>
      <c r="C69" s="41" t="s">
        <v>4</v>
      </c>
      <c r="D69" s="41" t="s">
        <v>4</v>
      </c>
      <c r="H69" s="41" t="s">
        <v>0</v>
      </c>
      <c r="I69" s="41" t="s">
        <v>0</v>
      </c>
      <c r="J69" s="41" t="s">
        <v>2</v>
      </c>
      <c r="K69" s="41" t="s">
        <v>2</v>
      </c>
      <c r="L69" s="41" t="s">
        <v>4</v>
      </c>
      <c r="M69" s="41" t="s">
        <v>4</v>
      </c>
      <c r="Q69" s="41" t="s">
        <v>0</v>
      </c>
      <c r="R69" s="41" t="s">
        <v>0</v>
      </c>
      <c r="S69" s="41" t="s">
        <v>2</v>
      </c>
      <c r="T69" s="41" t="s">
        <v>2</v>
      </c>
      <c r="U69" s="41" t="s">
        <v>4</v>
      </c>
      <c r="Z69" s="41" t="s">
        <v>0</v>
      </c>
      <c r="AA69" s="41" t="s">
        <v>0</v>
      </c>
      <c r="AB69" s="41" t="s">
        <v>2</v>
      </c>
      <c r="AC69" s="41" t="s">
        <v>4</v>
      </c>
      <c r="AD69" s="41" t="s">
        <v>4</v>
      </c>
      <c r="AI69" s="41" t="s">
        <v>0</v>
      </c>
      <c r="AJ69" s="41" t="s">
        <v>2</v>
      </c>
      <c r="AK69" s="41" t="s">
        <v>2</v>
      </c>
    </row>
    <row r="70" spans="1:37" s="41" customFormat="1">
      <c r="A70" s="41" t="s">
        <v>107</v>
      </c>
      <c r="B70" s="41" t="s">
        <v>85</v>
      </c>
      <c r="C70" s="41" t="s">
        <v>2</v>
      </c>
      <c r="D70" s="41" t="s">
        <v>2</v>
      </c>
      <c r="E70" s="41" t="s">
        <v>4</v>
      </c>
      <c r="F70" s="41" t="s">
        <v>4</v>
      </c>
      <c r="J70" s="41" t="s">
        <v>0</v>
      </c>
      <c r="K70" s="41" t="s">
        <v>0</v>
      </c>
      <c r="L70" s="41" t="s">
        <v>2</v>
      </c>
      <c r="M70" s="41" t="s">
        <v>2</v>
      </c>
      <c r="N70" s="41" t="s">
        <v>4</v>
      </c>
      <c r="S70" s="41" t="s">
        <v>0</v>
      </c>
      <c r="T70" s="41" t="s">
        <v>0</v>
      </c>
      <c r="U70" s="41" t="s">
        <v>2</v>
      </c>
      <c r="V70" s="41" t="s">
        <v>4</v>
      </c>
      <c r="W70" s="41" t="s">
        <v>4</v>
      </c>
      <c r="AB70" s="41" t="s">
        <v>0</v>
      </c>
      <c r="AC70" s="41" t="s">
        <v>2</v>
      </c>
      <c r="AD70" s="41" t="s">
        <v>2</v>
      </c>
      <c r="AE70" s="41" t="s">
        <v>4</v>
      </c>
      <c r="AF70" s="41" t="s">
        <v>4</v>
      </c>
      <c r="AJ70" s="41" t="s">
        <v>0</v>
      </c>
      <c r="AK70" s="41" t="s">
        <v>0</v>
      </c>
    </row>
    <row r="71" spans="1:37" s="41" customFormat="1"/>
    <row r="72" spans="1:37" s="37" customFormat="1">
      <c r="A72" s="37" t="s">
        <v>134</v>
      </c>
    </row>
    <row r="73" spans="1:37" s="37" customFormat="1">
      <c r="B73" s="37" t="s">
        <v>139</v>
      </c>
    </row>
    <row r="74" spans="1:37" s="37" customFormat="1"/>
    <row r="76" spans="1:37" s="4" customFormat="1">
      <c r="C76" s="4" t="s">
        <v>14</v>
      </c>
      <c r="J76" s="4" t="s">
        <v>15</v>
      </c>
      <c r="Q76" s="4" t="s">
        <v>16</v>
      </c>
      <c r="X76" s="4" t="s">
        <v>17</v>
      </c>
      <c r="AE76" s="4" t="s">
        <v>18</v>
      </c>
    </row>
    <row r="77" spans="1:37" s="2" customFormat="1">
      <c r="C77" s="2" t="s">
        <v>71</v>
      </c>
      <c r="D77" s="2" t="s">
        <v>72</v>
      </c>
      <c r="E77" s="2" t="s">
        <v>66</v>
      </c>
      <c r="F77" s="2" t="s">
        <v>73</v>
      </c>
      <c r="G77" s="2" t="s">
        <v>68</v>
      </c>
      <c r="H77" s="2" t="s">
        <v>69</v>
      </c>
      <c r="I77" s="2" t="s">
        <v>70</v>
      </c>
      <c r="J77" s="2" t="s">
        <v>71</v>
      </c>
      <c r="K77" s="2" t="s">
        <v>72</v>
      </c>
      <c r="L77" s="2" t="s">
        <v>66</v>
      </c>
      <c r="M77" s="2" t="s">
        <v>73</v>
      </c>
      <c r="N77" s="2" t="s">
        <v>68</v>
      </c>
      <c r="O77" s="2" t="s">
        <v>69</v>
      </c>
      <c r="P77" s="2" t="s">
        <v>70</v>
      </c>
      <c r="Q77" s="2" t="s">
        <v>71</v>
      </c>
      <c r="R77" s="2" t="s">
        <v>72</v>
      </c>
      <c r="S77" s="2" t="s">
        <v>66</v>
      </c>
      <c r="T77" s="2" t="s">
        <v>73</v>
      </c>
      <c r="U77" s="2" t="s">
        <v>68</v>
      </c>
      <c r="V77" s="2" t="s">
        <v>69</v>
      </c>
      <c r="W77" s="2" t="s">
        <v>70</v>
      </c>
      <c r="X77" s="2" t="s">
        <v>71</v>
      </c>
      <c r="Y77" s="2" t="s">
        <v>72</v>
      </c>
      <c r="Z77" s="2" t="s">
        <v>66</v>
      </c>
      <c r="AA77" s="2" t="s">
        <v>73</v>
      </c>
      <c r="AB77" s="2" t="s">
        <v>68</v>
      </c>
      <c r="AC77" s="2" t="s">
        <v>69</v>
      </c>
      <c r="AD77" s="2" t="s">
        <v>70</v>
      </c>
      <c r="AE77" s="2" t="s">
        <v>71</v>
      </c>
      <c r="AF77" s="2" t="s">
        <v>72</v>
      </c>
      <c r="AG77" s="2" t="s">
        <v>66</v>
      </c>
      <c r="AH77" s="2" t="s">
        <v>73</v>
      </c>
      <c r="AI77" s="2" t="s">
        <v>68</v>
      </c>
      <c r="AJ77" s="2" t="s">
        <v>69</v>
      </c>
      <c r="AK77" s="2" t="s">
        <v>70</v>
      </c>
    </row>
    <row r="78" spans="1:37" s="3" customFormat="1">
      <c r="C78" s="45">
        <v>43666</v>
      </c>
      <c r="D78" s="45">
        <v>43667</v>
      </c>
      <c r="E78" s="45">
        <v>43668</v>
      </c>
      <c r="F78" s="45">
        <v>43669</v>
      </c>
      <c r="G78" s="45">
        <v>43670</v>
      </c>
      <c r="H78" s="45">
        <v>43671</v>
      </c>
      <c r="I78" s="45">
        <v>43672</v>
      </c>
      <c r="J78" s="45">
        <v>43673</v>
      </c>
      <c r="K78" s="45">
        <v>43674</v>
      </c>
      <c r="L78" s="45">
        <v>43675</v>
      </c>
      <c r="M78" s="45">
        <v>43676</v>
      </c>
      <c r="N78" s="45">
        <v>43677</v>
      </c>
      <c r="O78" s="45">
        <v>43678</v>
      </c>
      <c r="P78" s="45">
        <v>43679</v>
      </c>
      <c r="Q78" s="45">
        <v>43680</v>
      </c>
      <c r="R78" s="45">
        <v>43681</v>
      </c>
      <c r="S78" s="45">
        <v>43682</v>
      </c>
      <c r="T78" s="45">
        <v>43683</v>
      </c>
      <c r="U78" s="45">
        <v>43684</v>
      </c>
      <c r="V78" s="45">
        <v>43685</v>
      </c>
      <c r="W78" s="45">
        <v>43686</v>
      </c>
      <c r="X78" s="45">
        <v>43687</v>
      </c>
      <c r="Y78" s="45">
        <v>43688</v>
      </c>
      <c r="Z78" s="45">
        <v>43689</v>
      </c>
      <c r="AA78" s="45">
        <v>43690</v>
      </c>
      <c r="AB78" s="45">
        <v>43691</v>
      </c>
      <c r="AC78" s="45">
        <v>43692</v>
      </c>
      <c r="AD78" s="45">
        <v>43693</v>
      </c>
      <c r="AE78" s="45">
        <v>43694</v>
      </c>
      <c r="AF78" s="45">
        <v>43695</v>
      </c>
      <c r="AG78" s="45">
        <v>43696</v>
      </c>
      <c r="AH78" s="45">
        <v>43697</v>
      </c>
      <c r="AI78" s="45">
        <v>43698</v>
      </c>
      <c r="AJ78" s="45">
        <v>43699</v>
      </c>
      <c r="AK78" s="45">
        <v>43700</v>
      </c>
    </row>
    <row r="79" spans="1:37" s="3" customFormat="1"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</row>
    <row r="80" spans="1:37">
      <c r="A80" s="1" t="s">
        <v>107</v>
      </c>
      <c r="C80" s="1" t="s">
        <v>0</v>
      </c>
      <c r="D80" s="1" t="s">
        <v>0</v>
      </c>
      <c r="E80" s="1" t="s">
        <v>2</v>
      </c>
      <c r="F80" s="1" t="s">
        <v>2</v>
      </c>
      <c r="G80" s="1" t="s">
        <v>4</v>
      </c>
      <c r="L80" s="1" t="s">
        <v>0</v>
      </c>
      <c r="M80" s="1" t="s">
        <v>0</v>
      </c>
      <c r="N80" s="1" t="s">
        <v>2</v>
      </c>
      <c r="O80" s="1" t="s">
        <v>4</v>
      </c>
      <c r="P80" s="1" t="s">
        <v>4</v>
      </c>
      <c r="U80" s="1" t="s">
        <v>0</v>
      </c>
      <c r="V80" s="1" t="s">
        <v>2</v>
      </c>
      <c r="W80" s="1" t="s">
        <v>2</v>
      </c>
      <c r="X80" s="1" t="s">
        <v>4</v>
      </c>
      <c r="Y80" s="1" t="s">
        <v>4</v>
      </c>
      <c r="AC80" s="1" t="s">
        <v>0</v>
      </c>
      <c r="AD80" s="1" t="s">
        <v>0</v>
      </c>
      <c r="AE80" s="1" t="s">
        <v>2</v>
      </c>
      <c r="AF80" s="1" t="s">
        <v>2</v>
      </c>
      <c r="AG80" s="1" t="s">
        <v>4</v>
      </c>
      <c r="AH80" s="1" t="s">
        <v>4</v>
      </c>
    </row>
    <row r="81" spans="1:38" s="2" customFormat="1">
      <c r="A81" s="2" t="s">
        <v>104</v>
      </c>
      <c r="E81" s="2" t="s">
        <v>0</v>
      </c>
      <c r="F81" s="2" t="s">
        <v>0</v>
      </c>
      <c r="G81" s="2" t="s">
        <v>2</v>
      </c>
      <c r="H81" s="2" t="s">
        <v>4</v>
      </c>
      <c r="I81" s="2" t="s">
        <v>4</v>
      </c>
      <c r="N81" s="2" t="s">
        <v>0</v>
      </c>
      <c r="O81" s="2" t="s">
        <v>2</v>
      </c>
      <c r="P81" s="2" t="s">
        <v>2</v>
      </c>
      <c r="Q81" s="2" t="s">
        <v>4</v>
      </c>
      <c r="R81" s="2" t="s">
        <v>4</v>
      </c>
      <c r="V81" s="2" t="s">
        <v>0</v>
      </c>
      <c r="W81" s="2" t="s">
        <v>0</v>
      </c>
      <c r="X81" s="2" t="s">
        <v>2</v>
      </c>
      <c r="Y81" s="2" t="s">
        <v>2</v>
      </c>
      <c r="Z81" s="2" t="s">
        <v>4</v>
      </c>
      <c r="AA81" s="2" t="s">
        <v>4</v>
      </c>
      <c r="AE81" s="2" t="s">
        <v>0</v>
      </c>
      <c r="AF81" s="2" t="s">
        <v>0</v>
      </c>
      <c r="AG81" s="2" t="s">
        <v>2</v>
      </c>
      <c r="AH81" s="2" t="s">
        <v>2</v>
      </c>
      <c r="AI81" s="2" t="s">
        <v>4</v>
      </c>
    </row>
    <row r="82" spans="1:38">
      <c r="A82" s="1" t="s">
        <v>107</v>
      </c>
      <c r="G82" s="1" t="s">
        <v>0</v>
      </c>
      <c r="H82" s="1" t="s">
        <v>2</v>
      </c>
      <c r="I82" s="1" t="s">
        <v>2</v>
      </c>
      <c r="J82" s="1" t="s">
        <v>4</v>
      </c>
      <c r="K82" s="1" t="s">
        <v>4</v>
      </c>
      <c r="O82" s="1" t="s">
        <v>0</v>
      </c>
      <c r="P82" s="1" t="s">
        <v>0</v>
      </c>
      <c r="Q82" s="1" t="s">
        <v>2</v>
      </c>
      <c r="R82" s="1" t="s">
        <v>2</v>
      </c>
      <c r="S82" s="1" t="s">
        <v>4</v>
      </c>
      <c r="T82" s="1" t="s">
        <v>4</v>
      </c>
      <c r="X82" s="1" t="s">
        <v>0</v>
      </c>
      <c r="Y82" s="1" t="s">
        <v>0</v>
      </c>
      <c r="Z82" s="1" t="s">
        <v>2</v>
      </c>
      <c r="AA82" s="1" t="s">
        <v>2</v>
      </c>
      <c r="AB82" s="1" t="s">
        <v>4</v>
      </c>
      <c r="AG82" s="1" t="s">
        <v>0</v>
      </c>
      <c r="AH82" s="1" t="s">
        <v>0</v>
      </c>
      <c r="AI82" s="1" t="s">
        <v>2</v>
      </c>
      <c r="AJ82" s="1" t="s">
        <v>4</v>
      </c>
      <c r="AK82" s="1" t="s">
        <v>4</v>
      </c>
    </row>
    <row r="83" spans="1:38">
      <c r="A83" s="1" t="s">
        <v>107</v>
      </c>
      <c r="C83" s="1" t="s">
        <v>4</v>
      </c>
      <c r="D83" s="1" t="s">
        <v>4</v>
      </c>
      <c r="H83" s="1" t="s">
        <v>0</v>
      </c>
      <c r="I83" s="1" t="s">
        <v>0</v>
      </c>
      <c r="J83" s="1" t="s">
        <v>2</v>
      </c>
      <c r="K83" s="1" t="s">
        <v>2</v>
      </c>
      <c r="L83" s="1" t="s">
        <v>4</v>
      </c>
      <c r="M83" s="1" t="s">
        <v>4</v>
      </c>
      <c r="Q83" s="1" t="s">
        <v>0</v>
      </c>
      <c r="R83" s="1" t="s">
        <v>0</v>
      </c>
      <c r="S83" s="1" t="s">
        <v>2</v>
      </c>
      <c r="T83" s="1" t="s">
        <v>2</v>
      </c>
      <c r="U83" s="1" t="s">
        <v>4</v>
      </c>
      <c r="Z83" s="1" t="s">
        <v>0</v>
      </c>
      <c r="AA83" s="1" t="s">
        <v>0</v>
      </c>
      <c r="AB83" s="1" t="s">
        <v>2</v>
      </c>
      <c r="AC83" s="1" t="s">
        <v>4</v>
      </c>
      <c r="AD83" s="1" t="s">
        <v>4</v>
      </c>
      <c r="AI83" s="1" t="s">
        <v>0</v>
      </c>
      <c r="AJ83" s="1" t="s">
        <v>2</v>
      </c>
      <c r="AK83" s="1" t="s">
        <v>2</v>
      </c>
    </row>
    <row r="84" spans="1:38">
      <c r="A84" s="1" t="s">
        <v>107</v>
      </c>
      <c r="C84" s="1" t="s">
        <v>2</v>
      </c>
      <c r="D84" s="1" t="s">
        <v>2</v>
      </c>
      <c r="E84" s="1" t="s">
        <v>4</v>
      </c>
      <c r="F84" s="1" t="s">
        <v>4</v>
      </c>
      <c r="J84" s="1" t="s">
        <v>0</v>
      </c>
      <c r="K84" s="1" t="s">
        <v>0</v>
      </c>
      <c r="L84" s="1" t="s">
        <v>2</v>
      </c>
      <c r="M84" s="1" t="s">
        <v>2</v>
      </c>
      <c r="N84" s="1" t="s">
        <v>4</v>
      </c>
      <c r="S84" s="1" t="s">
        <v>0</v>
      </c>
      <c r="T84" s="1" t="s">
        <v>0</v>
      </c>
      <c r="U84" s="1" t="s">
        <v>2</v>
      </c>
      <c r="V84" s="1" t="s">
        <v>4</v>
      </c>
      <c r="W84" s="1" t="s">
        <v>4</v>
      </c>
      <c r="AB84" s="1" t="s">
        <v>0</v>
      </c>
      <c r="AC84" s="1" t="s">
        <v>2</v>
      </c>
      <c r="AD84" s="1" t="s">
        <v>2</v>
      </c>
      <c r="AE84" s="1" t="s">
        <v>4</v>
      </c>
      <c r="AF84" s="1" t="s">
        <v>4</v>
      </c>
      <c r="AJ84" s="1" t="s">
        <v>0</v>
      </c>
      <c r="AK84" s="1" t="s">
        <v>0</v>
      </c>
    </row>
    <row r="86" spans="1:38" s="37" customFormat="1">
      <c r="A86" s="37" t="s">
        <v>134</v>
      </c>
      <c r="E86" s="37">
        <v>1</v>
      </c>
      <c r="F86" s="37">
        <v>1</v>
      </c>
      <c r="N86" s="37">
        <v>1</v>
      </c>
      <c r="AE86" s="37">
        <v>1</v>
      </c>
      <c r="AF86" s="37">
        <v>1</v>
      </c>
      <c r="AL86" s="37">
        <v>5</v>
      </c>
    </row>
    <row r="90" spans="1:38" s="4" customFormat="1">
      <c r="C90" s="4" t="s">
        <v>14</v>
      </c>
      <c r="J90" s="4" t="s">
        <v>15</v>
      </c>
      <c r="Q90" s="4" t="s">
        <v>16</v>
      </c>
      <c r="X90" s="4" t="s">
        <v>17</v>
      </c>
      <c r="AE90" s="4" t="s">
        <v>18</v>
      </c>
    </row>
    <row r="91" spans="1:38" s="2" customFormat="1">
      <c r="C91" s="2" t="s">
        <v>71</v>
      </c>
      <c r="D91" s="2" t="s">
        <v>72</v>
      </c>
      <c r="E91" s="2" t="s">
        <v>66</v>
      </c>
      <c r="F91" s="2" t="s">
        <v>73</v>
      </c>
      <c r="G91" s="2" t="s">
        <v>68</v>
      </c>
      <c r="H91" s="2" t="s">
        <v>69</v>
      </c>
      <c r="I91" s="2" t="s">
        <v>70</v>
      </c>
      <c r="J91" s="2" t="s">
        <v>71</v>
      </c>
      <c r="K91" s="2" t="s">
        <v>72</v>
      </c>
      <c r="L91" s="2" t="s">
        <v>66</v>
      </c>
      <c r="M91" s="2" t="s">
        <v>73</v>
      </c>
      <c r="N91" s="2" t="s">
        <v>68</v>
      </c>
      <c r="O91" s="2" t="s">
        <v>69</v>
      </c>
      <c r="P91" s="2" t="s">
        <v>70</v>
      </c>
      <c r="Q91" s="2" t="s">
        <v>71</v>
      </c>
      <c r="R91" s="2" t="s">
        <v>72</v>
      </c>
      <c r="S91" s="2" t="s">
        <v>66</v>
      </c>
      <c r="T91" s="2" t="s">
        <v>73</v>
      </c>
      <c r="U91" s="2" t="s">
        <v>68</v>
      </c>
      <c r="V91" s="2" t="s">
        <v>69</v>
      </c>
      <c r="W91" s="2" t="s">
        <v>70</v>
      </c>
      <c r="X91" s="2" t="s">
        <v>71</v>
      </c>
      <c r="Y91" s="2" t="s">
        <v>72</v>
      </c>
      <c r="Z91" s="2" t="s">
        <v>66</v>
      </c>
      <c r="AA91" s="2" t="s">
        <v>73</v>
      </c>
      <c r="AB91" s="2" t="s">
        <v>68</v>
      </c>
      <c r="AC91" s="2" t="s">
        <v>69</v>
      </c>
      <c r="AD91" s="2" t="s">
        <v>70</v>
      </c>
      <c r="AE91" s="2" t="s">
        <v>71</v>
      </c>
      <c r="AF91" s="2" t="s">
        <v>72</v>
      </c>
      <c r="AG91" s="2" t="s">
        <v>66</v>
      </c>
      <c r="AH91" s="2" t="s">
        <v>73</v>
      </c>
      <c r="AI91" s="2" t="s">
        <v>68</v>
      </c>
      <c r="AJ91" s="2" t="s">
        <v>69</v>
      </c>
      <c r="AK91" s="2" t="s">
        <v>70</v>
      </c>
    </row>
    <row r="92" spans="1:38" s="3" customFormat="1">
      <c r="C92" s="45">
        <v>43666</v>
      </c>
      <c r="D92" s="45">
        <v>43667</v>
      </c>
      <c r="E92" s="45">
        <v>43668</v>
      </c>
      <c r="F92" s="45">
        <v>43669</v>
      </c>
      <c r="G92" s="45">
        <v>43670</v>
      </c>
      <c r="H92" s="45">
        <v>43671</v>
      </c>
      <c r="I92" s="45">
        <v>43672</v>
      </c>
      <c r="J92" s="45">
        <v>43673</v>
      </c>
      <c r="K92" s="45">
        <v>43674</v>
      </c>
      <c r="L92" s="45">
        <v>43675</v>
      </c>
      <c r="M92" s="45">
        <v>43676</v>
      </c>
      <c r="N92" s="45">
        <v>43677</v>
      </c>
      <c r="O92" s="45">
        <v>43678</v>
      </c>
      <c r="P92" s="45">
        <v>43679</v>
      </c>
      <c r="Q92" s="45">
        <v>43680</v>
      </c>
      <c r="R92" s="45">
        <v>43681</v>
      </c>
      <c r="S92" s="45">
        <v>43682</v>
      </c>
      <c r="T92" s="45">
        <v>43683</v>
      </c>
      <c r="U92" s="45">
        <v>43684</v>
      </c>
      <c r="V92" s="45">
        <v>43685</v>
      </c>
      <c r="W92" s="45">
        <v>43686</v>
      </c>
      <c r="X92" s="45">
        <v>43687</v>
      </c>
      <c r="Y92" s="45">
        <v>43688</v>
      </c>
      <c r="Z92" s="45">
        <v>43689</v>
      </c>
      <c r="AA92" s="45">
        <v>43690</v>
      </c>
      <c r="AB92" s="45">
        <v>43691</v>
      </c>
      <c r="AC92" s="45">
        <v>43692</v>
      </c>
      <c r="AD92" s="45">
        <v>43693</v>
      </c>
      <c r="AE92" s="45">
        <v>43694</v>
      </c>
      <c r="AF92" s="45">
        <v>43695</v>
      </c>
      <c r="AG92" s="45">
        <v>43696</v>
      </c>
      <c r="AH92" s="45">
        <v>43697</v>
      </c>
      <c r="AI92" s="45">
        <v>43698</v>
      </c>
      <c r="AJ92" s="45">
        <v>43699</v>
      </c>
      <c r="AK92" s="45">
        <v>43700</v>
      </c>
    </row>
    <row r="93" spans="1:38" s="3" customFormat="1"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</row>
    <row r="94" spans="1:38" s="2" customFormat="1">
      <c r="A94" s="2" t="s">
        <v>104</v>
      </c>
      <c r="C94" s="2" t="s">
        <v>0</v>
      </c>
      <c r="D94" s="2" t="s">
        <v>0</v>
      </c>
      <c r="E94" s="2" t="s">
        <v>2</v>
      </c>
      <c r="F94" s="2" t="s">
        <v>2</v>
      </c>
      <c r="G94" s="2" t="s">
        <v>4</v>
      </c>
      <c r="L94" s="2" t="s">
        <v>0</v>
      </c>
      <c r="M94" s="2" t="s">
        <v>0</v>
      </c>
      <c r="N94" s="2" t="s">
        <v>2</v>
      </c>
      <c r="O94" s="2" t="s">
        <v>4</v>
      </c>
      <c r="P94" s="2" t="s">
        <v>4</v>
      </c>
      <c r="U94" s="2" t="s">
        <v>0</v>
      </c>
      <c r="V94" s="2" t="s">
        <v>2</v>
      </c>
      <c r="W94" s="2" t="s">
        <v>2</v>
      </c>
      <c r="X94" s="2" t="s">
        <v>4</v>
      </c>
      <c r="Y94" s="2" t="s">
        <v>4</v>
      </c>
      <c r="AC94" s="2" t="s">
        <v>0</v>
      </c>
      <c r="AD94" s="2" t="s">
        <v>0</v>
      </c>
      <c r="AE94" s="2" t="s">
        <v>2</v>
      </c>
      <c r="AF94" s="2" t="s">
        <v>2</v>
      </c>
      <c r="AG94" s="2" t="s">
        <v>4</v>
      </c>
      <c r="AH94" s="2" t="s">
        <v>4</v>
      </c>
    </row>
    <row r="95" spans="1:38">
      <c r="A95" s="1" t="s">
        <v>107</v>
      </c>
      <c r="E95" s="1" t="s">
        <v>0</v>
      </c>
      <c r="F95" s="1" t="s">
        <v>0</v>
      </c>
      <c r="G95" s="1" t="s">
        <v>2</v>
      </c>
      <c r="H95" s="1" t="s">
        <v>4</v>
      </c>
      <c r="I95" s="1" t="s">
        <v>4</v>
      </c>
      <c r="N95" s="1" t="s">
        <v>0</v>
      </c>
      <c r="O95" s="1" t="s">
        <v>2</v>
      </c>
      <c r="P95" s="1" t="s">
        <v>2</v>
      </c>
      <c r="Q95" s="1" t="s">
        <v>4</v>
      </c>
      <c r="R95" s="1" t="s">
        <v>4</v>
      </c>
      <c r="V95" s="1" t="s">
        <v>0</v>
      </c>
      <c r="W95" s="1" t="s">
        <v>0</v>
      </c>
      <c r="X95" s="1" t="s">
        <v>2</v>
      </c>
      <c r="Y95" s="1" t="s">
        <v>2</v>
      </c>
      <c r="Z95" s="1" t="s">
        <v>4</v>
      </c>
      <c r="AA95" s="1" t="s">
        <v>4</v>
      </c>
      <c r="AE95" s="1" t="s">
        <v>0</v>
      </c>
      <c r="AF95" s="1" t="s">
        <v>0</v>
      </c>
      <c r="AG95" s="1" t="s">
        <v>2</v>
      </c>
      <c r="AH95" s="1" t="s">
        <v>2</v>
      </c>
      <c r="AI95" s="1" t="s">
        <v>4</v>
      </c>
    </row>
    <row r="96" spans="1:38">
      <c r="A96" s="1" t="s">
        <v>107</v>
      </c>
      <c r="G96" s="1" t="s">
        <v>0</v>
      </c>
      <c r="H96" s="1" t="s">
        <v>2</v>
      </c>
      <c r="I96" s="1" t="s">
        <v>2</v>
      </c>
      <c r="J96" s="1" t="s">
        <v>4</v>
      </c>
      <c r="K96" s="1" t="s">
        <v>4</v>
      </c>
      <c r="O96" s="1" t="s">
        <v>0</v>
      </c>
      <c r="P96" s="1" t="s">
        <v>0</v>
      </c>
      <c r="Q96" s="1" t="s">
        <v>2</v>
      </c>
      <c r="R96" s="1" t="s">
        <v>2</v>
      </c>
      <c r="S96" s="1" t="s">
        <v>4</v>
      </c>
      <c r="T96" s="1" t="s">
        <v>4</v>
      </c>
      <c r="X96" s="1" t="s">
        <v>0</v>
      </c>
      <c r="Y96" s="1" t="s">
        <v>0</v>
      </c>
      <c r="Z96" s="1" t="s">
        <v>2</v>
      </c>
      <c r="AA96" s="1" t="s">
        <v>2</v>
      </c>
      <c r="AB96" s="1" t="s">
        <v>4</v>
      </c>
      <c r="AG96" s="1" t="s">
        <v>0</v>
      </c>
      <c r="AH96" s="1" t="s">
        <v>0</v>
      </c>
      <c r="AI96" s="1" t="s">
        <v>2</v>
      </c>
      <c r="AJ96" s="1" t="s">
        <v>4</v>
      </c>
      <c r="AK96" s="1" t="s">
        <v>4</v>
      </c>
    </row>
    <row r="97" spans="1:38">
      <c r="A97" s="1" t="s">
        <v>107</v>
      </c>
      <c r="C97" s="1" t="s">
        <v>4</v>
      </c>
      <c r="D97" s="1" t="s">
        <v>4</v>
      </c>
      <c r="H97" s="1" t="s">
        <v>0</v>
      </c>
      <c r="I97" s="1" t="s">
        <v>0</v>
      </c>
      <c r="J97" s="1" t="s">
        <v>2</v>
      </c>
      <c r="K97" s="1" t="s">
        <v>2</v>
      </c>
      <c r="L97" s="1" t="s">
        <v>4</v>
      </c>
      <c r="M97" s="1" t="s">
        <v>4</v>
      </c>
      <c r="Q97" s="1" t="s">
        <v>0</v>
      </c>
      <c r="R97" s="1" t="s">
        <v>0</v>
      </c>
      <c r="S97" s="1" t="s">
        <v>2</v>
      </c>
      <c r="T97" s="1" t="s">
        <v>2</v>
      </c>
      <c r="U97" s="1" t="s">
        <v>4</v>
      </c>
      <c r="Z97" s="1" t="s">
        <v>0</v>
      </c>
      <c r="AA97" s="1" t="s">
        <v>0</v>
      </c>
      <c r="AB97" s="1" t="s">
        <v>2</v>
      </c>
      <c r="AC97" s="1" t="s">
        <v>4</v>
      </c>
      <c r="AD97" s="1" t="s">
        <v>4</v>
      </c>
      <c r="AI97" s="1" t="s">
        <v>0</v>
      </c>
      <c r="AJ97" s="1" t="s">
        <v>2</v>
      </c>
      <c r="AK97" s="1" t="s">
        <v>2</v>
      </c>
    </row>
    <row r="98" spans="1:38">
      <c r="A98" s="1" t="s">
        <v>107</v>
      </c>
      <c r="C98" s="1" t="s">
        <v>2</v>
      </c>
      <c r="D98" s="1" t="s">
        <v>2</v>
      </c>
      <c r="E98" s="1" t="s">
        <v>4</v>
      </c>
      <c r="F98" s="1" t="s">
        <v>4</v>
      </c>
      <c r="J98" s="1" t="s">
        <v>0</v>
      </c>
      <c r="K98" s="1" t="s">
        <v>0</v>
      </c>
      <c r="L98" s="1" t="s">
        <v>2</v>
      </c>
      <c r="M98" s="1" t="s">
        <v>2</v>
      </c>
      <c r="N98" s="1" t="s">
        <v>4</v>
      </c>
      <c r="S98" s="1" t="s">
        <v>0</v>
      </c>
      <c r="T98" s="1" t="s">
        <v>0</v>
      </c>
      <c r="U98" s="1" t="s">
        <v>2</v>
      </c>
      <c r="V98" s="1" t="s">
        <v>4</v>
      </c>
      <c r="W98" s="1" t="s">
        <v>4</v>
      </c>
      <c r="AB98" s="1" t="s">
        <v>0</v>
      </c>
      <c r="AC98" s="1" t="s">
        <v>2</v>
      </c>
      <c r="AD98" s="1" t="s">
        <v>2</v>
      </c>
      <c r="AE98" s="1" t="s">
        <v>4</v>
      </c>
      <c r="AF98" s="1" t="s">
        <v>4</v>
      </c>
      <c r="AJ98" s="1" t="s">
        <v>0</v>
      </c>
      <c r="AK98" s="1" t="s">
        <v>0</v>
      </c>
    </row>
    <row r="101" spans="1:38" s="37" customFormat="1">
      <c r="A101" s="37" t="s">
        <v>134</v>
      </c>
      <c r="C101" s="37">
        <v>1</v>
      </c>
      <c r="D101" s="37">
        <v>1</v>
      </c>
      <c r="L101" s="37">
        <v>1</v>
      </c>
      <c r="M101" s="37">
        <v>1</v>
      </c>
      <c r="U101" s="37">
        <v>1</v>
      </c>
      <c r="AL101" s="37">
        <v>5</v>
      </c>
    </row>
  </sheetData>
  <conditionalFormatting sqref="A1:XFD24 A25:A29 B25:XFD31 A32:XFD52 A53 C53:XFD53 A54:XFD70 C71:XFD71 A72:XFD1048576">
    <cfRule type="cellIs" dxfId="1037" priority="8" operator="equal">
      <formula>"r"</formula>
    </cfRule>
    <cfRule type="cellIs" dxfId="1036" priority="9" operator="equal">
      <formula>"z"</formula>
    </cfRule>
    <cfRule type="cellIs" dxfId="1035" priority="10" operator="equal">
      <formula>"x"</formula>
    </cfRule>
    <cfRule type="cellIs" dxfId="1034" priority="11" operator="equal">
      <formula>"v"</formula>
    </cfRule>
    <cfRule type="cellIs" dxfId="1033" priority="12" operator="equal">
      <formula>"n"</formula>
    </cfRule>
    <cfRule type="cellIs" dxfId="1032" priority="13" operator="equal">
      <formula>"m"</formula>
    </cfRule>
    <cfRule type="cellIs" dxfId="1031" priority="14" operator="equal">
      <formula>"o"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9C43-89D6-4A17-B7F9-8590B362CFBB}">
  <dimension ref="A1:II15"/>
  <sheetViews>
    <sheetView workbookViewId="0"/>
  </sheetViews>
  <sheetFormatPr defaultColWidth="9.140625" defaultRowHeight="13.15"/>
  <cols>
    <col min="1" max="1" width="5.85546875" style="1" bestFit="1" customWidth="1"/>
    <col min="2" max="29" width="7.140625" style="1" bestFit="1" customWidth="1"/>
    <col min="30" max="30" width="6.42578125" style="1" bestFit="1" customWidth="1"/>
    <col min="31" max="36" width="5.5703125" style="1" bestFit="1" customWidth="1"/>
    <col min="37" max="37" width="6.42578125" style="1" bestFit="1" customWidth="1"/>
    <col min="38" max="38" width="5.5703125" style="1" bestFit="1" customWidth="1"/>
    <col min="39" max="59" width="6.5703125" style="1" bestFit="1" customWidth="1"/>
    <col min="60" max="64" width="5" style="1" bestFit="1" customWidth="1"/>
    <col min="65" max="65" width="6.42578125" style="1" bestFit="1" customWidth="1"/>
    <col min="66" max="68" width="5" style="1" bestFit="1" customWidth="1"/>
    <col min="69" max="71" width="6" style="1" bestFit="1" customWidth="1"/>
    <col min="72" max="72" width="6.42578125" style="1" bestFit="1" customWidth="1"/>
    <col min="73" max="78" width="6" style="1" bestFit="1" customWidth="1"/>
    <col min="79" max="79" width="6.42578125" style="1" bestFit="1" customWidth="1"/>
    <col min="80" max="85" width="6" style="1" bestFit="1" customWidth="1"/>
    <col min="86" max="86" width="6.42578125" style="1" bestFit="1" customWidth="1"/>
    <col min="87" max="90" width="6" style="1" bestFit="1" customWidth="1"/>
    <col min="91" max="92" width="6.140625" style="1" bestFit="1" customWidth="1"/>
    <col min="93" max="93" width="6.42578125" style="1" bestFit="1" customWidth="1"/>
    <col min="94" max="99" width="6.140625" style="1" bestFit="1" customWidth="1"/>
    <col min="100" max="121" width="7.140625" style="1" bestFit="1" customWidth="1"/>
    <col min="122" max="127" width="5.85546875" style="1" bestFit="1" customWidth="1"/>
    <col min="128" max="128" width="6.42578125" style="1" bestFit="1" customWidth="1"/>
    <col min="129" max="130" width="5.85546875" style="1" bestFit="1" customWidth="1"/>
    <col min="131" max="151" width="6.85546875" style="1" bestFit="1" customWidth="1"/>
    <col min="152" max="155" width="5.42578125" style="1" bestFit="1" customWidth="1"/>
    <col min="156" max="156" width="6.42578125" style="1" bestFit="1" customWidth="1"/>
    <col min="157" max="160" width="5.42578125" style="1" bestFit="1" customWidth="1"/>
    <col min="161" max="182" width="6.42578125" style="1" bestFit="1" customWidth="1"/>
    <col min="183" max="183" width="6" style="1" bestFit="1" customWidth="1"/>
    <col min="184" max="184" width="6.42578125" style="1" bestFit="1" customWidth="1"/>
    <col min="185" max="190" width="6" style="1" bestFit="1" customWidth="1"/>
    <col min="191" max="191" width="6.42578125" style="1" bestFit="1" customWidth="1"/>
    <col min="192" max="212" width="7" style="1" bestFit="1" customWidth="1"/>
    <col min="213" max="218" width="6" style="1" bestFit="1" customWidth="1"/>
    <col min="219" max="219" width="6.42578125" style="1" bestFit="1" customWidth="1"/>
    <col min="220" max="221" width="6" style="1" bestFit="1" customWidth="1"/>
    <col min="222" max="243" width="7" style="1" bestFit="1" customWidth="1"/>
    <col min="244" max="16384" width="9.140625" style="1"/>
  </cols>
  <sheetData>
    <row r="1" spans="1:243" s="4" customFormat="1">
      <c r="B1" s="4" t="s">
        <v>32</v>
      </c>
      <c r="I1" s="4" t="s">
        <v>33</v>
      </c>
      <c r="P1" s="4" t="s">
        <v>34</v>
      </c>
      <c r="BM1" s="4" t="s">
        <v>41</v>
      </c>
      <c r="BT1" s="4" t="s">
        <v>42</v>
      </c>
      <c r="CA1" s="4" t="s">
        <v>43</v>
      </c>
      <c r="CH1" s="4" t="s">
        <v>44</v>
      </c>
      <c r="CO1" s="4" t="s">
        <v>45</v>
      </c>
      <c r="CV1" s="4" t="s">
        <v>46</v>
      </c>
      <c r="DC1" s="4" t="s">
        <v>47</v>
      </c>
      <c r="DJ1" s="4" t="s">
        <v>48</v>
      </c>
      <c r="DQ1" s="4" t="s">
        <v>49</v>
      </c>
      <c r="DX1" s="4" t="s">
        <v>50</v>
      </c>
      <c r="EE1" s="4" t="s">
        <v>51</v>
      </c>
      <c r="EL1" s="4" t="s">
        <v>52</v>
      </c>
      <c r="ES1" s="4" t="s">
        <v>53</v>
      </c>
      <c r="EZ1" s="4" t="s">
        <v>54</v>
      </c>
      <c r="FG1" s="4" t="s">
        <v>55</v>
      </c>
      <c r="FN1" s="4" t="s">
        <v>56</v>
      </c>
      <c r="FU1" s="4" t="s">
        <v>57</v>
      </c>
      <c r="GB1" s="4" t="s">
        <v>58</v>
      </c>
      <c r="GI1" s="4" t="s">
        <v>59</v>
      </c>
      <c r="GP1" s="4" t="s">
        <v>60</v>
      </c>
      <c r="GW1" s="4" t="s">
        <v>61</v>
      </c>
      <c r="HD1" s="4" t="s">
        <v>62</v>
      </c>
      <c r="HK1" s="4" t="s">
        <v>63</v>
      </c>
      <c r="HR1" s="4" t="s">
        <v>64</v>
      </c>
      <c r="HY1" s="4" t="s">
        <v>65</v>
      </c>
      <c r="IF1" s="4" t="s">
        <v>14</v>
      </c>
    </row>
    <row r="2" spans="1:243" s="2" customFormat="1">
      <c r="B2" s="2" t="s">
        <v>71</v>
      </c>
      <c r="C2" s="2" t="s">
        <v>72</v>
      </c>
      <c r="D2" s="2" t="s">
        <v>66</v>
      </c>
      <c r="E2" s="2" t="s">
        <v>73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72</v>
      </c>
      <c r="K2" s="2" t="s">
        <v>66</v>
      </c>
      <c r="L2" s="2" t="s">
        <v>73</v>
      </c>
      <c r="M2" s="2" t="s">
        <v>68</v>
      </c>
      <c r="N2" s="2" t="s">
        <v>69</v>
      </c>
      <c r="O2" s="2" t="s">
        <v>70</v>
      </c>
      <c r="P2" s="2" t="s">
        <v>71</v>
      </c>
      <c r="Q2" s="2" t="s">
        <v>72</v>
      </c>
      <c r="R2" s="2" t="s">
        <v>66</v>
      </c>
      <c r="S2" s="2" t="s">
        <v>73</v>
      </c>
      <c r="T2" s="2" t="s">
        <v>68</v>
      </c>
      <c r="U2" s="2" t="s">
        <v>69</v>
      </c>
      <c r="V2" s="2" t="s">
        <v>70</v>
      </c>
      <c r="BM2" s="2" t="s">
        <v>71</v>
      </c>
      <c r="BN2" s="2" t="s">
        <v>72</v>
      </c>
      <c r="BO2" s="2" t="s">
        <v>66</v>
      </c>
      <c r="BP2" s="2" t="s">
        <v>73</v>
      </c>
      <c r="BQ2" s="2" t="s">
        <v>68</v>
      </c>
      <c r="BR2" s="2" t="s">
        <v>69</v>
      </c>
      <c r="BS2" s="2" t="s">
        <v>70</v>
      </c>
      <c r="BT2" s="2" t="s">
        <v>71</v>
      </c>
      <c r="BU2" s="2" t="s">
        <v>72</v>
      </c>
      <c r="BV2" s="2" t="s">
        <v>66</v>
      </c>
      <c r="BW2" s="2" t="s">
        <v>73</v>
      </c>
      <c r="BX2" s="2" t="s">
        <v>68</v>
      </c>
      <c r="BY2" s="2" t="s">
        <v>69</v>
      </c>
      <c r="BZ2" s="2" t="s">
        <v>70</v>
      </c>
      <c r="CA2" s="2" t="s">
        <v>71</v>
      </c>
      <c r="CB2" s="2" t="s">
        <v>72</v>
      </c>
      <c r="CC2" s="2" t="s">
        <v>66</v>
      </c>
      <c r="CD2" s="2" t="s">
        <v>73</v>
      </c>
      <c r="CE2" s="2" t="s">
        <v>68</v>
      </c>
      <c r="CF2" s="2" t="s">
        <v>69</v>
      </c>
      <c r="CG2" s="2" t="s">
        <v>70</v>
      </c>
      <c r="CH2" s="2" t="s">
        <v>71</v>
      </c>
      <c r="CI2" s="2" t="s">
        <v>72</v>
      </c>
      <c r="CJ2" s="2" t="s">
        <v>66</v>
      </c>
      <c r="CK2" s="2" t="s">
        <v>73</v>
      </c>
      <c r="CL2" s="2" t="s">
        <v>68</v>
      </c>
      <c r="CM2" s="2" t="s">
        <v>69</v>
      </c>
      <c r="CN2" s="2" t="s">
        <v>70</v>
      </c>
      <c r="CO2" s="2" t="s">
        <v>71</v>
      </c>
      <c r="CP2" s="2" t="s">
        <v>72</v>
      </c>
      <c r="CQ2" s="2" t="s">
        <v>66</v>
      </c>
      <c r="CR2" s="2" t="s">
        <v>73</v>
      </c>
      <c r="CS2" s="2" t="s">
        <v>68</v>
      </c>
      <c r="CT2" s="2" t="s">
        <v>69</v>
      </c>
      <c r="CU2" s="2" t="s">
        <v>70</v>
      </c>
      <c r="CV2" s="2" t="s">
        <v>71</v>
      </c>
      <c r="CW2" s="2" t="s">
        <v>72</v>
      </c>
      <c r="CX2" s="2" t="s">
        <v>66</v>
      </c>
      <c r="CY2" s="2" t="s">
        <v>73</v>
      </c>
      <c r="CZ2" s="2" t="s">
        <v>68</v>
      </c>
      <c r="DA2" s="2" t="s">
        <v>69</v>
      </c>
      <c r="DB2" s="2" t="s">
        <v>70</v>
      </c>
      <c r="DC2" s="2" t="s">
        <v>71</v>
      </c>
      <c r="DD2" s="2" t="s">
        <v>72</v>
      </c>
      <c r="DE2" s="2" t="s">
        <v>66</v>
      </c>
      <c r="DF2" s="2" t="s">
        <v>73</v>
      </c>
      <c r="DG2" s="2" t="s">
        <v>68</v>
      </c>
      <c r="DH2" s="2" t="s">
        <v>69</v>
      </c>
      <c r="DI2" s="2" t="s">
        <v>70</v>
      </c>
      <c r="DJ2" s="2" t="s">
        <v>71</v>
      </c>
      <c r="DK2" s="2" t="s">
        <v>72</v>
      </c>
      <c r="DL2" s="2" t="s">
        <v>66</v>
      </c>
      <c r="DM2" s="2" t="s">
        <v>73</v>
      </c>
      <c r="DN2" s="2" t="s">
        <v>68</v>
      </c>
      <c r="DO2" s="2" t="s">
        <v>69</v>
      </c>
      <c r="DP2" s="2" t="s">
        <v>70</v>
      </c>
      <c r="DQ2" s="2" t="s">
        <v>71</v>
      </c>
      <c r="DR2" s="2" t="s">
        <v>72</v>
      </c>
      <c r="DS2" s="2" t="s">
        <v>66</v>
      </c>
      <c r="DT2" s="2" t="s">
        <v>73</v>
      </c>
      <c r="DU2" s="2" t="s">
        <v>68</v>
      </c>
      <c r="DV2" s="2" t="s">
        <v>69</v>
      </c>
      <c r="DW2" s="2" t="s">
        <v>70</v>
      </c>
      <c r="DX2" s="2" t="s">
        <v>71</v>
      </c>
      <c r="DY2" s="2" t="s">
        <v>72</v>
      </c>
      <c r="DZ2" s="2" t="s">
        <v>66</v>
      </c>
      <c r="EA2" s="2" t="s">
        <v>73</v>
      </c>
      <c r="EB2" s="2" t="s">
        <v>68</v>
      </c>
      <c r="EC2" s="2" t="s">
        <v>69</v>
      </c>
      <c r="ED2" s="2" t="s">
        <v>70</v>
      </c>
      <c r="EE2" s="2" t="s">
        <v>71</v>
      </c>
      <c r="EF2" s="2" t="s">
        <v>72</v>
      </c>
      <c r="EG2" s="2" t="s">
        <v>66</v>
      </c>
      <c r="EH2" s="2" t="s">
        <v>73</v>
      </c>
      <c r="EI2" s="2" t="s">
        <v>68</v>
      </c>
      <c r="EJ2" s="2" t="s">
        <v>69</v>
      </c>
      <c r="EK2" s="2" t="s">
        <v>70</v>
      </c>
      <c r="EL2" s="2" t="s">
        <v>71</v>
      </c>
      <c r="EM2" s="2" t="s">
        <v>72</v>
      </c>
      <c r="EN2" s="2" t="s">
        <v>66</v>
      </c>
      <c r="EO2" s="2" t="s">
        <v>73</v>
      </c>
      <c r="EP2" s="2" t="s">
        <v>68</v>
      </c>
      <c r="EQ2" s="2" t="s">
        <v>69</v>
      </c>
      <c r="ER2" s="2" t="s">
        <v>70</v>
      </c>
      <c r="ES2" s="2" t="s">
        <v>71</v>
      </c>
      <c r="ET2" s="2" t="s">
        <v>72</v>
      </c>
      <c r="EU2" s="2" t="s">
        <v>66</v>
      </c>
      <c r="EV2" s="2" t="s">
        <v>73</v>
      </c>
      <c r="EW2" s="2" t="s">
        <v>68</v>
      </c>
      <c r="EX2" s="2" t="s">
        <v>69</v>
      </c>
      <c r="EY2" s="2" t="s">
        <v>70</v>
      </c>
      <c r="EZ2" s="2" t="s">
        <v>71</v>
      </c>
      <c r="FA2" s="2" t="s">
        <v>72</v>
      </c>
      <c r="FB2" s="2" t="s">
        <v>66</v>
      </c>
      <c r="FC2" s="2" t="s">
        <v>73</v>
      </c>
      <c r="FD2" s="2" t="s">
        <v>68</v>
      </c>
      <c r="FE2" s="2" t="s">
        <v>69</v>
      </c>
      <c r="FF2" s="2" t="s">
        <v>70</v>
      </c>
      <c r="FG2" s="2" t="s">
        <v>71</v>
      </c>
      <c r="FH2" s="2" t="s">
        <v>72</v>
      </c>
      <c r="FI2" s="2" t="s">
        <v>66</v>
      </c>
      <c r="FJ2" s="2" t="s">
        <v>73</v>
      </c>
      <c r="FK2" s="2" t="s">
        <v>68</v>
      </c>
      <c r="FL2" s="2" t="s">
        <v>69</v>
      </c>
      <c r="FM2" s="2" t="s">
        <v>70</v>
      </c>
      <c r="FN2" s="2" t="s">
        <v>71</v>
      </c>
      <c r="FO2" s="2" t="s">
        <v>72</v>
      </c>
      <c r="FP2" s="2" t="s">
        <v>66</v>
      </c>
      <c r="FQ2" s="2" t="s">
        <v>73</v>
      </c>
      <c r="FR2" s="2" t="s">
        <v>68</v>
      </c>
      <c r="FS2" s="2" t="s">
        <v>69</v>
      </c>
      <c r="FT2" s="2" t="s">
        <v>70</v>
      </c>
      <c r="FU2" s="2" t="s">
        <v>71</v>
      </c>
      <c r="FV2" s="2" t="s">
        <v>72</v>
      </c>
      <c r="FW2" s="2" t="s">
        <v>66</v>
      </c>
      <c r="FX2" s="2" t="s">
        <v>73</v>
      </c>
      <c r="FY2" s="2" t="s">
        <v>68</v>
      </c>
      <c r="FZ2" s="2" t="s">
        <v>69</v>
      </c>
      <c r="GA2" s="2" t="s">
        <v>70</v>
      </c>
      <c r="GB2" s="2" t="s">
        <v>71</v>
      </c>
      <c r="GC2" s="2" t="s">
        <v>72</v>
      </c>
      <c r="GD2" s="2" t="s">
        <v>66</v>
      </c>
      <c r="GE2" s="2" t="s">
        <v>73</v>
      </c>
      <c r="GF2" s="2" t="s">
        <v>68</v>
      </c>
      <c r="GG2" s="2" t="s">
        <v>69</v>
      </c>
      <c r="GH2" s="2" t="s">
        <v>70</v>
      </c>
      <c r="GI2" s="2" t="s">
        <v>71</v>
      </c>
      <c r="GJ2" s="2" t="s">
        <v>72</v>
      </c>
      <c r="GK2" s="2" t="s">
        <v>66</v>
      </c>
      <c r="GL2" s="2" t="s">
        <v>73</v>
      </c>
      <c r="GM2" s="2" t="s">
        <v>68</v>
      </c>
      <c r="GN2" s="2" t="s">
        <v>69</v>
      </c>
      <c r="GO2" s="2" t="s">
        <v>70</v>
      </c>
      <c r="GP2" s="2" t="s">
        <v>71</v>
      </c>
      <c r="GQ2" s="2" t="s">
        <v>72</v>
      </c>
      <c r="GR2" s="2" t="s">
        <v>66</v>
      </c>
      <c r="GS2" s="2" t="s">
        <v>73</v>
      </c>
      <c r="GT2" s="2" t="s">
        <v>68</v>
      </c>
      <c r="GU2" s="2" t="s">
        <v>69</v>
      </c>
      <c r="GV2" s="2" t="s">
        <v>70</v>
      </c>
      <c r="GW2" s="2" t="s">
        <v>71</v>
      </c>
      <c r="GX2" s="2" t="s">
        <v>72</v>
      </c>
      <c r="GY2" s="2" t="s">
        <v>66</v>
      </c>
      <c r="GZ2" s="2" t="s">
        <v>73</v>
      </c>
      <c r="HA2" s="2" t="s">
        <v>68</v>
      </c>
      <c r="HB2" s="2" t="s">
        <v>69</v>
      </c>
      <c r="HC2" s="2" t="s">
        <v>70</v>
      </c>
      <c r="HD2" s="2" t="s">
        <v>71</v>
      </c>
      <c r="HE2" s="2" t="s">
        <v>72</v>
      </c>
      <c r="HF2" s="2" t="s">
        <v>66</v>
      </c>
      <c r="HG2" s="2" t="s">
        <v>73</v>
      </c>
      <c r="HH2" s="2" t="s">
        <v>68</v>
      </c>
      <c r="HI2" s="2" t="s">
        <v>69</v>
      </c>
      <c r="HJ2" s="2" t="s">
        <v>70</v>
      </c>
      <c r="HK2" s="2" t="s">
        <v>71</v>
      </c>
      <c r="HL2" s="2" t="s">
        <v>72</v>
      </c>
      <c r="HM2" s="2" t="s">
        <v>66</v>
      </c>
      <c r="HN2" s="2" t="s">
        <v>73</v>
      </c>
      <c r="HO2" s="2" t="s">
        <v>68</v>
      </c>
      <c r="HP2" s="2" t="s">
        <v>69</v>
      </c>
      <c r="HQ2" s="2" t="s">
        <v>70</v>
      </c>
      <c r="HR2" s="2" t="s">
        <v>71</v>
      </c>
      <c r="HS2" s="2" t="s">
        <v>72</v>
      </c>
      <c r="HT2" s="2" t="s">
        <v>66</v>
      </c>
      <c r="HU2" s="2" t="s">
        <v>73</v>
      </c>
      <c r="HV2" s="2" t="s">
        <v>68</v>
      </c>
      <c r="HW2" s="2" t="s">
        <v>69</v>
      </c>
      <c r="HX2" s="2" t="s">
        <v>70</v>
      </c>
      <c r="HY2" s="2" t="s">
        <v>71</v>
      </c>
      <c r="HZ2" s="2" t="s">
        <v>72</v>
      </c>
      <c r="IA2" s="2" t="s">
        <v>66</v>
      </c>
      <c r="IB2" s="2" t="s">
        <v>73</v>
      </c>
      <c r="IC2" s="2" t="s">
        <v>68</v>
      </c>
      <c r="ID2" s="2" t="s">
        <v>69</v>
      </c>
      <c r="IE2" s="2" t="s">
        <v>70</v>
      </c>
      <c r="IF2" s="2" t="s">
        <v>71</v>
      </c>
      <c r="IG2" s="2" t="s">
        <v>72</v>
      </c>
      <c r="IH2" s="2" t="s">
        <v>66</v>
      </c>
      <c r="II2" s="2" t="s">
        <v>73</v>
      </c>
    </row>
    <row r="3" spans="1:243" s="3" customFormat="1">
      <c r="B3" s="45">
        <v>43589</v>
      </c>
      <c r="C3" s="45">
        <v>43590</v>
      </c>
      <c r="D3" s="45">
        <v>43591</v>
      </c>
      <c r="E3" s="45">
        <v>43592</v>
      </c>
      <c r="F3" s="45">
        <v>43593</v>
      </c>
      <c r="G3" s="45">
        <v>43594</v>
      </c>
      <c r="H3" s="45">
        <v>43595</v>
      </c>
      <c r="I3" s="45">
        <v>43596</v>
      </c>
      <c r="J3" s="45">
        <v>43597</v>
      </c>
      <c r="K3" s="45">
        <v>43598</v>
      </c>
      <c r="L3" s="45">
        <v>43599</v>
      </c>
      <c r="M3" s="45">
        <v>43600</v>
      </c>
      <c r="N3" s="45">
        <v>43601</v>
      </c>
      <c r="O3" s="45">
        <v>43602</v>
      </c>
      <c r="P3" s="45">
        <v>43603</v>
      </c>
      <c r="Q3" s="45">
        <v>43604</v>
      </c>
      <c r="R3" s="45">
        <v>43605</v>
      </c>
      <c r="S3" s="45">
        <v>43606</v>
      </c>
      <c r="T3" s="45">
        <v>43607</v>
      </c>
      <c r="U3" s="45">
        <v>43608</v>
      </c>
      <c r="V3" s="45">
        <v>43609</v>
      </c>
      <c r="BM3" s="45">
        <v>43652</v>
      </c>
      <c r="BN3" s="45">
        <v>43653</v>
      </c>
      <c r="BO3" s="45">
        <v>43654</v>
      </c>
      <c r="BP3" s="45">
        <v>43655</v>
      </c>
      <c r="BQ3" s="45">
        <v>43656</v>
      </c>
      <c r="BR3" s="45">
        <v>43657</v>
      </c>
      <c r="BS3" s="45">
        <v>43658</v>
      </c>
      <c r="BT3" s="45">
        <v>43659</v>
      </c>
      <c r="BU3" s="45">
        <v>43660</v>
      </c>
      <c r="BV3" s="45">
        <v>43661</v>
      </c>
      <c r="BW3" s="45">
        <v>43662</v>
      </c>
      <c r="BX3" s="45">
        <v>43663</v>
      </c>
      <c r="BY3" s="45">
        <v>43664</v>
      </c>
      <c r="BZ3" s="45">
        <v>43665</v>
      </c>
      <c r="CA3" s="45">
        <v>43666</v>
      </c>
      <c r="CB3" s="45">
        <v>43667</v>
      </c>
      <c r="CC3" s="45">
        <v>43668</v>
      </c>
      <c r="CD3" s="45">
        <v>43669</v>
      </c>
      <c r="CE3" s="45">
        <v>43670</v>
      </c>
      <c r="CF3" s="45">
        <v>43671</v>
      </c>
      <c r="CG3" s="45">
        <v>43672</v>
      </c>
      <c r="CH3" s="45">
        <v>43673</v>
      </c>
      <c r="CI3" s="45">
        <v>43674</v>
      </c>
      <c r="CJ3" s="45">
        <v>43675</v>
      </c>
      <c r="CK3" s="45">
        <v>43676</v>
      </c>
      <c r="CL3" s="45">
        <v>43677</v>
      </c>
      <c r="CM3" s="45">
        <v>43678</v>
      </c>
      <c r="CN3" s="45">
        <v>43679</v>
      </c>
      <c r="CO3" s="45">
        <v>43680</v>
      </c>
      <c r="CP3" s="45">
        <v>43681</v>
      </c>
      <c r="CQ3" s="45">
        <v>43682</v>
      </c>
      <c r="CR3" s="45">
        <v>43683</v>
      </c>
      <c r="CS3" s="45">
        <v>43684</v>
      </c>
      <c r="CT3" s="45">
        <v>43685</v>
      </c>
      <c r="CU3" s="45">
        <v>43686</v>
      </c>
      <c r="CV3" s="45">
        <v>43687</v>
      </c>
      <c r="CW3" s="45">
        <v>43688</v>
      </c>
      <c r="CX3" s="45">
        <v>43689</v>
      </c>
      <c r="CY3" s="45">
        <v>43690</v>
      </c>
      <c r="CZ3" s="45">
        <v>43691</v>
      </c>
      <c r="DA3" s="45">
        <v>43692</v>
      </c>
      <c r="DB3" s="45">
        <v>43693</v>
      </c>
      <c r="DC3" s="45">
        <v>43694</v>
      </c>
      <c r="DD3" s="45">
        <v>43695</v>
      </c>
      <c r="DE3" s="45">
        <v>43696</v>
      </c>
      <c r="DF3" s="45">
        <v>43697</v>
      </c>
      <c r="DG3" s="45">
        <v>43698</v>
      </c>
      <c r="DH3" s="45">
        <v>43699</v>
      </c>
      <c r="DI3" s="45">
        <v>43700</v>
      </c>
      <c r="DJ3" s="45">
        <v>43701</v>
      </c>
      <c r="DK3" s="45">
        <v>43702</v>
      </c>
      <c r="DL3" s="45">
        <v>43703</v>
      </c>
      <c r="DM3" s="45">
        <v>43704</v>
      </c>
      <c r="DN3" s="45">
        <v>43705</v>
      </c>
      <c r="DO3" s="45">
        <v>43706</v>
      </c>
      <c r="DP3" s="45">
        <v>43707</v>
      </c>
      <c r="DQ3" s="45">
        <v>43708</v>
      </c>
      <c r="DR3" s="45">
        <v>43709</v>
      </c>
      <c r="DS3" s="45">
        <v>43710</v>
      </c>
      <c r="DT3" s="45">
        <v>43711</v>
      </c>
      <c r="DU3" s="45">
        <v>43712</v>
      </c>
      <c r="DV3" s="45">
        <v>43713</v>
      </c>
      <c r="DW3" s="45">
        <v>43714</v>
      </c>
      <c r="DX3" s="45">
        <v>43715</v>
      </c>
      <c r="DY3" s="45">
        <v>43716</v>
      </c>
      <c r="DZ3" s="45">
        <v>43717</v>
      </c>
      <c r="EA3" s="45">
        <v>43718</v>
      </c>
      <c r="EB3" s="45">
        <v>43719</v>
      </c>
      <c r="EC3" s="45">
        <v>43720</v>
      </c>
      <c r="ED3" s="45">
        <v>43721</v>
      </c>
      <c r="EE3" s="45">
        <v>43722</v>
      </c>
      <c r="EF3" s="45">
        <v>43723</v>
      </c>
      <c r="EG3" s="45">
        <v>43724</v>
      </c>
      <c r="EH3" s="45">
        <v>43725</v>
      </c>
      <c r="EI3" s="45">
        <v>43726</v>
      </c>
      <c r="EJ3" s="45">
        <v>43727</v>
      </c>
      <c r="EK3" s="45">
        <v>43728</v>
      </c>
      <c r="EL3" s="45">
        <v>43729</v>
      </c>
      <c r="EM3" s="45">
        <v>43730</v>
      </c>
      <c r="EN3" s="45">
        <v>43731</v>
      </c>
      <c r="EO3" s="45">
        <v>43732</v>
      </c>
      <c r="EP3" s="45">
        <v>43733</v>
      </c>
      <c r="EQ3" s="45">
        <v>43734</v>
      </c>
      <c r="ER3" s="45">
        <v>43735</v>
      </c>
      <c r="ES3" s="45">
        <v>43736</v>
      </c>
      <c r="ET3" s="45">
        <v>43737</v>
      </c>
      <c r="EU3" s="45">
        <v>43738</v>
      </c>
      <c r="EV3" s="45">
        <v>43739</v>
      </c>
      <c r="EW3" s="45">
        <v>43740</v>
      </c>
      <c r="EX3" s="45">
        <v>43741</v>
      </c>
      <c r="EY3" s="45">
        <v>43742</v>
      </c>
      <c r="EZ3" s="45">
        <v>43743</v>
      </c>
      <c r="FA3" s="45">
        <v>43744</v>
      </c>
      <c r="FB3" s="45">
        <v>43745</v>
      </c>
      <c r="FC3" s="45">
        <v>43746</v>
      </c>
      <c r="FD3" s="45">
        <v>43747</v>
      </c>
      <c r="FE3" s="45">
        <v>43748</v>
      </c>
      <c r="FF3" s="45">
        <v>43749</v>
      </c>
      <c r="FG3" s="45">
        <v>43750</v>
      </c>
      <c r="FH3" s="45">
        <v>43751</v>
      </c>
      <c r="FI3" s="45">
        <v>43752</v>
      </c>
      <c r="FJ3" s="45">
        <v>43753</v>
      </c>
      <c r="FK3" s="45">
        <v>43754</v>
      </c>
      <c r="FL3" s="45">
        <v>43755</v>
      </c>
      <c r="FM3" s="45">
        <v>43756</v>
      </c>
      <c r="FN3" s="45">
        <v>43757</v>
      </c>
      <c r="FO3" s="45">
        <v>43758</v>
      </c>
      <c r="FP3" s="45">
        <v>43759</v>
      </c>
      <c r="FQ3" s="45">
        <v>43760</v>
      </c>
      <c r="FR3" s="45">
        <v>43761</v>
      </c>
      <c r="FS3" s="45">
        <v>43762</v>
      </c>
      <c r="FT3" s="45">
        <v>43763</v>
      </c>
      <c r="FU3" s="45">
        <v>43764</v>
      </c>
      <c r="FV3" s="45">
        <v>43765</v>
      </c>
      <c r="FW3" s="45">
        <v>43766</v>
      </c>
      <c r="FX3" s="45">
        <v>43767</v>
      </c>
      <c r="FY3" s="45">
        <v>43768</v>
      </c>
      <c r="FZ3" s="45">
        <v>43769</v>
      </c>
      <c r="GA3" s="45">
        <v>43770</v>
      </c>
      <c r="GB3" s="45">
        <v>43771</v>
      </c>
      <c r="GC3" s="45">
        <v>43772</v>
      </c>
      <c r="GD3" s="45">
        <v>43773</v>
      </c>
      <c r="GE3" s="45">
        <v>43774</v>
      </c>
      <c r="GF3" s="45">
        <v>43775</v>
      </c>
      <c r="GG3" s="45">
        <v>43776</v>
      </c>
      <c r="GH3" s="45">
        <v>43777</v>
      </c>
      <c r="GI3" s="45">
        <v>43778</v>
      </c>
      <c r="GJ3" s="45">
        <v>43779</v>
      </c>
      <c r="GK3" s="45">
        <v>43780</v>
      </c>
      <c r="GL3" s="45">
        <v>43781</v>
      </c>
      <c r="GM3" s="45">
        <v>43782</v>
      </c>
      <c r="GN3" s="45">
        <v>43783</v>
      </c>
      <c r="GO3" s="45">
        <v>43784</v>
      </c>
      <c r="GP3" s="45">
        <v>43785</v>
      </c>
      <c r="GQ3" s="45">
        <v>43786</v>
      </c>
      <c r="GR3" s="45">
        <v>43787</v>
      </c>
      <c r="GS3" s="45">
        <v>43788</v>
      </c>
      <c r="GT3" s="45">
        <v>43789</v>
      </c>
      <c r="GU3" s="45">
        <v>43790</v>
      </c>
      <c r="GV3" s="45">
        <v>43791</v>
      </c>
      <c r="GW3" s="45">
        <v>43792</v>
      </c>
      <c r="GX3" s="45">
        <v>43793</v>
      </c>
      <c r="GY3" s="45">
        <v>43794</v>
      </c>
      <c r="GZ3" s="45">
        <v>43795</v>
      </c>
      <c r="HA3" s="45">
        <v>43796</v>
      </c>
      <c r="HB3" s="45">
        <v>43797</v>
      </c>
      <c r="HC3" s="45">
        <v>43798</v>
      </c>
      <c r="HD3" s="45">
        <v>43799</v>
      </c>
      <c r="HE3" s="45">
        <v>43800</v>
      </c>
      <c r="HF3" s="45">
        <v>43801</v>
      </c>
      <c r="HG3" s="45">
        <v>43802</v>
      </c>
      <c r="HH3" s="45">
        <v>43803</v>
      </c>
      <c r="HI3" s="45">
        <v>43804</v>
      </c>
      <c r="HJ3" s="45">
        <v>43805</v>
      </c>
      <c r="HK3" s="45">
        <v>43806</v>
      </c>
      <c r="HL3" s="45">
        <v>43807</v>
      </c>
      <c r="HM3" s="45">
        <v>43808</v>
      </c>
      <c r="HN3" s="45">
        <v>43809</v>
      </c>
      <c r="HO3" s="45">
        <v>43810</v>
      </c>
      <c r="HP3" s="45">
        <v>43811</v>
      </c>
      <c r="HQ3" s="45">
        <v>43812</v>
      </c>
      <c r="HR3" s="45">
        <v>43813</v>
      </c>
      <c r="HS3" s="45">
        <v>43814</v>
      </c>
      <c r="HT3" s="45">
        <v>43815</v>
      </c>
      <c r="HU3" s="45">
        <v>43816</v>
      </c>
      <c r="HV3" s="45">
        <v>43817</v>
      </c>
      <c r="HW3" s="45">
        <v>43818</v>
      </c>
      <c r="HX3" s="45">
        <v>43819</v>
      </c>
      <c r="HY3" s="45">
        <v>43820</v>
      </c>
      <c r="HZ3" s="45">
        <v>43821</v>
      </c>
      <c r="IA3" s="45">
        <v>43822</v>
      </c>
      <c r="IB3" s="45">
        <v>43823</v>
      </c>
      <c r="IC3" s="45">
        <v>43824</v>
      </c>
      <c r="ID3" s="45">
        <v>43825</v>
      </c>
      <c r="IE3" s="45">
        <v>43826</v>
      </c>
      <c r="IF3" s="45">
        <v>43827</v>
      </c>
      <c r="IG3" s="45">
        <v>43828</v>
      </c>
      <c r="IH3" s="45">
        <v>43829</v>
      </c>
      <c r="II3" s="45">
        <v>43830</v>
      </c>
    </row>
    <row r="4" spans="1:243">
      <c r="A4" s="1" t="s">
        <v>91</v>
      </c>
      <c r="B4" s="1" t="s">
        <v>2</v>
      </c>
      <c r="C4" s="1" t="s">
        <v>2</v>
      </c>
      <c r="D4" s="1" t="s">
        <v>4</v>
      </c>
      <c r="E4" s="1" t="s">
        <v>4</v>
      </c>
      <c r="I4" s="1" t="s">
        <v>0</v>
      </c>
      <c r="J4" s="1" t="s">
        <v>0</v>
      </c>
      <c r="K4" s="1" t="s">
        <v>2</v>
      </c>
      <c r="L4" s="1" t="s">
        <v>2</v>
      </c>
      <c r="M4" s="1" t="s">
        <v>4</v>
      </c>
      <c r="P4" s="1" t="s">
        <v>8</v>
      </c>
      <c r="Q4" s="1" t="s">
        <v>8</v>
      </c>
      <c r="R4" s="1" t="s">
        <v>8</v>
      </c>
      <c r="S4" s="1" t="s">
        <v>6</v>
      </c>
      <c r="T4" s="1" t="s">
        <v>6</v>
      </c>
      <c r="BM4" s="1" t="s">
        <v>8</v>
      </c>
      <c r="BN4" s="1" t="s">
        <v>8</v>
      </c>
      <c r="BO4" s="1" t="s">
        <v>8</v>
      </c>
      <c r="BP4" s="1" t="s">
        <v>8</v>
      </c>
      <c r="BQ4" s="1" t="s">
        <v>8</v>
      </c>
      <c r="BT4" s="1" t="s">
        <v>8</v>
      </c>
      <c r="BU4" s="1" t="s">
        <v>8</v>
      </c>
      <c r="BV4" s="1" t="s">
        <v>8</v>
      </c>
      <c r="BW4" s="1" t="s">
        <v>8</v>
      </c>
      <c r="BX4" s="1" t="s">
        <v>8</v>
      </c>
      <c r="CA4" s="1" t="s">
        <v>8</v>
      </c>
      <c r="CB4" s="1" t="s">
        <v>8</v>
      </c>
      <c r="CC4" s="1" t="s">
        <v>8</v>
      </c>
      <c r="CD4" s="1" t="s">
        <v>8</v>
      </c>
      <c r="CE4" s="1" t="s">
        <v>8</v>
      </c>
      <c r="CH4" s="1" t="s">
        <v>8</v>
      </c>
      <c r="CI4" s="1" t="s">
        <v>8</v>
      </c>
      <c r="CJ4" s="1" t="s">
        <v>8</v>
      </c>
      <c r="CK4" s="1" t="s">
        <v>8</v>
      </c>
      <c r="CL4" s="1" t="s">
        <v>8</v>
      </c>
      <c r="CO4" s="1" t="s">
        <v>8</v>
      </c>
      <c r="CP4" s="1" t="s">
        <v>8</v>
      </c>
      <c r="CQ4" s="1" t="s">
        <v>8</v>
      </c>
      <c r="CR4" s="1" t="s">
        <v>8</v>
      </c>
      <c r="CS4" s="1" t="s">
        <v>8</v>
      </c>
      <c r="CV4" s="1" t="s">
        <v>2</v>
      </c>
      <c r="CW4" s="1" t="s">
        <v>2</v>
      </c>
      <c r="CX4" s="1" t="s">
        <v>4</v>
      </c>
      <c r="CY4" s="1" t="s">
        <v>4</v>
      </c>
      <c r="DC4" s="1" t="s">
        <v>0</v>
      </c>
      <c r="DD4" s="1" t="s">
        <v>0</v>
      </c>
      <c r="DE4" s="1" t="s">
        <v>2</v>
      </c>
      <c r="DF4" s="1" t="s">
        <v>2</v>
      </c>
      <c r="DG4" s="1" t="s">
        <v>4</v>
      </c>
      <c r="DJ4" s="1" t="s">
        <v>8</v>
      </c>
      <c r="DK4" s="1" t="s">
        <v>8</v>
      </c>
      <c r="DL4" s="1" t="s">
        <v>8</v>
      </c>
      <c r="DM4" s="1" t="s">
        <v>8</v>
      </c>
      <c r="DN4" s="1" t="s">
        <v>8</v>
      </c>
      <c r="DQ4" s="1" t="s">
        <v>8</v>
      </c>
      <c r="DR4" s="1" t="s">
        <v>8</v>
      </c>
      <c r="DS4" s="1" t="s">
        <v>8</v>
      </c>
      <c r="DT4" s="1" t="s">
        <v>8</v>
      </c>
      <c r="DU4" s="1" t="s">
        <v>8</v>
      </c>
      <c r="DX4" s="1" t="s">
        <v>8</v>
      </c>
      <c r="DY4" s="1" t="s">
        <v>8</v>
      </c>
      <c r="DZ4" s="1" t="s">
        <v>8</v>
      </c>
      <c r="EA4" s="1" t="s">
        <v>8</v>
      </c>
      <c r="EB4" s="1" t="s">
        <v>8</v>
      </c>
      <c r="EE4" s="1" t="s">
        <v>8</v>
      </c>
      <c r="EF4" s="1" t="s">
        <v>8</v>
      </c>
      <c r="EG4" s="1" t="s">
        <v>8</v>
      </c>
      <c r="EH4" s="1" t="s">
        <v>8</v>
      </c>
      <c r="EI4" s="1" t="s">
        <v>8</v>
      </c>
      <c r="EL4" s="1" t="s">
        <v>8</v>
      </c>
      <c r="EM4" s="1" t="s">
        <v>8</v>
      </c>
      <c r="EN4" s="1" t="s">
        <v>8</v>
      </c>
      <c r="EO4" s="1" t="s">
        <v>8</v>
      </c>
      <c r="EP4" s="1" t="s">
        <v>8</v>
      </c>
      <c r="ES4" s="1" t="s">
        <v>8</v>
      </c>
      <c r="ET4" s="1" t="s">
        <v>8</v>
      </c>
      <c r="EU4" s="1" t="s">
        <v>8</v>
      </c>
      <c r="EV4" s="1" t="s">
        <v>8</v>
      </c>
      <c r="EW4" s="1" t="s">
        <v>8</v>
      </c>
      <c r="EZ4" s="1" t="s">
        <v>8</v>
      </c>
      <c r="FA4" s="1" t="s">
        <v>8</v>
      </c>
      <c r="FB4" s="1" t="s">
        <v>8</v>
      </c>
      <c r="FC4" s="1" t="s">
        <v>8</v>
      </c>
      <c r="FD4" s="1" t="s">
        <v>8</v>
      </c>
      <c r="FG4" s="1" t="s">
        <v>8</v>
      </c>
      <c r="FH4" s="1" t="s">
        <v>8</v>
      </c>
      <c r="FI4" s="1" t="s">
        <v>8</v>
      </c>
      <c r="FJ4" s="1" t="s">
        <v>8</v>
      </c>
      <c r="FK4" s="1" t="s">
        <v>8</v>
      </c>
      <c r="FN4" s="1" t="s">
        <v>8</v>
      </c>
      <c r="FO4" s="1" t="s">
        <v>8</v>
      </c>
      <c r="FP4" s="1" t="s">
        <v>8</v>
      </c>
      <c r="FQ4" s="1" t="s">
        <v>8</v>
      </c>
      <c r="FR4" s="1" t="s">
        <v>8</v>
      </c>
      <c r="FU4" s="1" t="s">
        <v>8</v>
      </c>
      <c r="FV4" s="1" t="s">
        <v>8</v>
      </c>
      <c r="FW4" s="1" t="s">
        <v>8</v>
      </c>
      <c r="FX4" s="1" t="s">
        <v>8</v>
      </c>
      <c r="FY4" s="1" t="s">
        <v>8</v>
      </c>
      <c r="GB4" s="1" t="s">
        <v>8</v>
      </c>
      <c r="GC4" s="1" t="s">
        <v>8</v>
      </c>
      <c r="GD4" s="1" t="s">
        <v>8</v>
      </c>
      <c r="GE4" s="1" t="s">
        <v>8</v>
      </c>
      <c r="GF4" s="1" t="s">
        <v>8</v>
      </c>
      <c r="GI4" s="1" t="s">
        <v>8</v>
      </c>
      <c r="GJ4" s="1" t="s">
        <v>8</v>
      </c>
      <c r="GK4" s="1" t="s">
        <v>8</v>
      </c>
      <c r="GL4" s="1" t="s">
        <v>8</v>
      </c>
      <c r="GM4" s="1" t="s">
        <v>8</v>
      </c>
      <c r="GP4" s="1" t="s">
        <v>8</v>
      </c>
      <c r="GQ4" s="1" t="s">
        <v>8</v>
      </c>
      <c r="GR4" s="1" t="s">
        <v>8</v>
      </c>
      <c r="GS4" s="1" t="s">
        <v>8</v>
      </c>
      <c r="GT4" s="1" t="s">
        <v>8</v>
      </c>
      <c r="GW4" s="1" t="s">
        <v>8</v>
      </c>
      <c r="GX4" s="1" t="s">
        <v>8</v>
      </c>
      <c r="GY4" s="1" t="s">
        <v>8</v>
      </c>
      <c r="GZ4" s="1" t="s">
        <v>8</v>
      </c>
      <c r="HA4" s="1" t="s">
        <v>8</v>
      </c>
      <c r="HD4" s="1" t="s">
        <v>8</v>
      </c>
      <c r="HE4" s="1" t="s">
        <v>8</v>
      </c>
      <c r="HF4" s="1" t="s">
        <v>8</v>
      </c>
      <c r="HG4" s="1" t="s">
        <v>8</v>
      </c>
      <c r="HH4" s="1" t="s">
        <v>8</v>
      </c>
      <c r="HK4" s="1" t="s">
        <v>8</v>
      </c>
      <c r="HL4" s="1" t="s">
        <v>8</v>
      </c>
      <c r="HM4" s="1" t="s">
        <v>8</v>
      </c>
      <c r="HN4" s="1" t="s">
        <v>8</v>
      </c>
      <c r="HO4" s="1" t="s">
        <v>8</v>
      </c>
      <c r="HR4" s="1" t="s">
        <v>8</v>
      </c>
      <c r="HS4" s="1" t="s">
        <v>8</v>
      </c>
      <c r="HT4" s="1" t="s">
        <v>8</v>
      </c>
      <c r="HU4" s="1" t="s">
        <v>8</v>
      </c>
      <c r="HV4" s="1" t="s">
        <v>8</v>
      </c>
      <c r="HY4" s="1" t="s">
        <v>8</v>
      </c>
      <c r="HZ4" s="1" t="s">
        <v>8</v>
      </c>
      <c r="IA4" s="1" t="s">
        <v>8</v>
      </c>
      <c r="IB4" s="1" t="s">
        <v>8</v>
      </c>
      <c r="IF4" s="1" t="s">
        <v>8</v>
      </c>
      <c r="IG4" s="1" t="s">
        <v>8</v>
      </c>
      <c r="IH4" s="1" t="s">
        <v>8</v>
      </c>
      <c r="II4" s="1" t="s">
        <v>8</v>
      </c>
    </row>
    <row r="5" spans="1:243" ht="12.75" customHeight="1"/>
    <row r="7" spans="1:243">
      <c r="B7" s="4" t="s">
        <v>35</v>
      </c>
      <c r="C7" s="4"/>
      <c r="D7" s="4"/>
      <c r="E7" s="4"/>
      <c r="F7" s="4"/>
      <c r="G7" s="4"/>
      <c r="H7" s="4"/>
      <c r="I7" s="4" t="s">
        <v>36</v>
      </c>
      <c r="J7" s="4"/>
      <c r="K7" s="4"/>
      <c r="L7" s="4"/>
      <c r="M7" s="4"/>
      <c r="N7" s="4"/>
      <c r="O7" s="4"/>
      <c r="P7" s="4" t="s">
        <v>37</v>
      </c>
      <c r="Q7" s="4"/>
      <c r="R7" s="4"/>
      <c r="S7" s="4"/>
      <c r="T7" s="4"/>
      <c r="U7" s="4"/>
      <c r="V7" s="4"/>
    </row>
    <row r="8" spans="1:243">
      <c r="B8" s="2" t="s">
        <v>71</v>
      </c>
      <c r="C8" s="2" t="s">
        <v>72</v>
      </c>
      <c r="D8" s="2" t="s">
        <v>66</v>
      </c>
      <c r="E8" s="2" t="s">
        <v>73</v>
      </c>
      <c r="F8" s="2" t="s">
        <v>68</v>
      </c>
      <c r="G8" s="2" t="s">
        <v>69</v>
      </c>
      <c r="H8" s="2" t="s">
        <v>70</v>
      </c>
      <c r="I8" s="2" t="s">
        <v>71</v>
      </c>
      <c r="J8" s="2" t="s">
        <v>72</v>
      </c>
      <c r="K8" s="2" t="s">
        <v>66</v>
      </c>
      <c r="L8" s="2" t="s">
        <v>73</v>
      </c>
      <c r="M8" s="2" t="s">
        <v>68</v>
      </c>
      <c r="N8" s="2" t="s">
        <v>69</v>
      </c>
      <c r="O8" s="2" t="s">
        <v>70</v>
      </c>
      <c r="P8" s="2" t="s">
        <v>71</v>
      </c>
      <c r="Q8" s="2" t="s">
        <v>72</v>
      </c>
      <c r="R8" s="2" t="s">
        <v>66</v>
      </c>
      <c r="S8" s="2" t="s">
        <v>73</v>
      </c>
      <c r="T8" s="2" t="s">
        <v>68</v>
      </c>
      <c r="U8" s="2" t="s">
        <v>69</v>
      </c>
      <c r="V8" s="2" t="s">
        <v>70</v>
      </c>
    </row>
    <row r="9" spans="1:243">
      <c r="B9" s="45">
        <v>43610</v>
      </c>
      <c r="C9" s="45">
        <v>43611</v>
      </c>
      <c r="D9" s="45">
        <v>43612</v>
      </c>
      <c r="E9" s="45">
        <v>43613</v>
      </c>
      <c r="F9" s="45">
        <v>43614</v>
      </c>
      <c r="G9" s="45">
        <v>43615</v>
      </c>
      <c r="H9" s="45">
        <v>43616</v>
      </c>
      <c r="I9" s="45">
        <v>43617</v>
      </c>
      <c r="J9" s="45">
        <v>43618</v>
      </c>
      <c r="K9" s="45">
        <v>43619</v>
      </c>
      <c r="L9" s="45">
        <v>43620</v>
      </c>
      <c r="M9" s="45">
        <v>43621</v>
      </c>
      <c r="N9" s="45">
        <v>43622</v>
      </c>
      <c r="O9" s="45">
        <v>43623</v>
      </c>
      <c r="P9" s="45">
        <v>43624</v>
      </c>
      <c r="Q9" s="45">
        <v>43625</v>
      </c>
      <c r="R9" s="45">
        <v>43626</v>
      </c>
      <c r="S9" s="45">
        <v>43627</v>
      </c>
      <c r="T9" s="45">
        <v>43628</v>
      </c>
      <c r="U9" s="45">
        <v>43629</v>
      </c>
      <c r="V9" s="45">
        <v>43630</v>
      </c>
    </row>
    <row r="10" spans="1:243">
      <c r="B10" s="1" t="s">
        <v>8</v>
      </c>
      <c r="C10" s="1" t="s">
        <v>8</v>
      </c>
      <c r="D10" s="1" t="s">
        <v>8</v>
      </c>
      <c r="E10" s="1" t="s">
        <v>8</v>
      </c>
      <c r="F10" s="1" t="s">
        <v>8</v>
      </c>
      <c r="I10" s="1" t="s">
        <v>0</v>
      </c>
      <c r="J10" s="1" t="s">
        <v>0</v>
      </c>
      <c r="K10" s="1" t="s">
        <v>2</v>
      </c>
      <c r="L10" s="1" t="s">
        <v>2</v>
      </c>
      <c r="M10" s="1" t="s">
        <v>4</v>
      </c>
      <c r="R10" s="1" t="s">
        <v>0</v>
      </c>
      <c r="S10" s="1" t="s">
        <v>0</v>
      </c>
      <c r="T10" s="1" t="s">
        <v>2</v>
      </c>
      <c r="U10" s="1" t="s">
        <v>4</v>
      </c>
      <c r="V10" s="1" t="s">
        <v>4</v>
      </c>
    </row>
    <row r="12" spans="1:243">
      <c r="B12" s="4" t="s">
        <v>38</v>
      </c>
      <c r="C12" s="4"/>
      <c r="D12" s="4"/>
      <c r="E12" s="4"/>
      <c r="F12" s="4"/>
      <c r="G12" s="4"/>
      <c r="H12" s="4"/>
      <c r="I12" s="4" t="s">
        <v>39</v>
      </c>
      <c r="J12" s="4"/>
      <c r="K12" s="4"/>
      <c r="L12" s="4"/>
      <c r="M12" s="4"/>
      <c r="N12" s="4"/>
      <c r="O12" s="4"/>
      <c r="P12" s="4" t="s">
        <v>40</v>
      </c>
      <c r="Q12" s="4"/>
      <c r="R12" s="4"/>
      <c r="S12" s="4"/>
      <c r="T12" s="4"/>
      <c r="U12" s="4"/>
      <c r="V12" s="4"/>
    </row>
    <row r="13" spans="1:243">
      <c r="B13" s="2" t="s">
        <v>71</v>
      </c>
      <c r="C13" s="2" t="s">
        <v>72</v>
      </c>
      <c r="D13" s="2" t="s">
        <v>66</v>
      </c>
      <c r="E13" s="2" t="s">
        <v>73</v>
      </c>
      <c r="F13" s="2" t="s">
        <v>68</v>
      </c>
      <c r="G13" s="2" t="s">
        <v>69</v>
      </c>
      <c r="H13" s="2" t="s">
        <v>70</v>
      </c>
      <c r="I13" s="2" t="s">
        <v>71</v>
      </c>
      <c r="J13" s="2" t="s">
        <v>72</v>
      </c>
      <c r="K13" s="2" t="s">
        <v>66</v>
      </c>
      <c r="L13" s="2" t="s">
        <v>73</v>
      </c>
      <c r="M13" s="2" t="s">
        <v>68</v>
      </c>
      <c r="N13" s="2" t="s">
        <v>69</v>
      </c>
      <c r="O13" s="2" t="s">
        <v>70</v>
      </c>
      <c r="P13" s="2" t="s">
        <v>71</v>
      </c>
      <c r="Q13" s="2" t="s">
        <v>72</v>
      </c>
      <c r="R13" s="2" t="s">
        <v>66</v>
      </c>
      <c r="S13" s="2" t="s">
        <v>73</v>
      </c>
      <c r="T13" s="2" t="s">
        <v>68</v>
      </c>
      <c r="U13" s="2" t="s">
        <v>69</v>
      </c>
      <c r="V13" s="2" t="s">
        <v>70</v>
      </c>
    </row>
    <row r="14" spans="1:243">
      <c r="B14" s="45">
        <v>43631</v>
      </c>
      <c r="C14" s="45">
        <v>43632</v>
      </c>
      <c r="D14" s="45">
        <v>43633</v>
      </c>
      <c r="E14" s="45">
        <v>43634</v>
      </c>
      <c r="F14" s="45">
        <v>43635</v>
      </c>
      <c r="G14" s="45">
        <v>43636</v>
      </c>
      <c r="H14" s="45">
        <v>43637</v>
      </c>
      <c r="I14" s="45">
        <v>43638</v>
      </c>
      <c r="J14" s="45">
        <v>43639</v>
      </c>
      <c r="K14" s="45">
        <v>43640</v>
      </c>
      <c r="L14" s="45">
        <v>43641</v>
      </c>
      <c r="M14" s="45">
        <v>43642</v>
      </c>
      <c r="N14" s="45">
        <v>43643</v>
      </c>
      <c r="O14" s="45">
        <v>43644</v>
      </c>
      <c r="P14" s="45">
        <v>43645</v>
      </c>
      <c r="Q14" s="45">
        <v>43646</v>
      </c>
      <c r="R14" s="45">
        <v>43647</v>
      </c>
      <c r="S14" s="45">
        <v>43648</v>
      </c>
      <c r="T14" s="45">
        <v>43649</v>
      </c>
      <c r="U14" s="45">
        <v>43650</v>
      </c>
      <c r="V14" s="45">
        <v>43651</v>
      </c>
    </row>
    <row r="15" spans="1:243">
      <c r="F15" s="1" t="s">
        <v>0</v>
      </c>
      <c r="G15" s="1" t="s">
        <v>2</v>
      </c>
      <c r="H15" s="1" t="s">
        <v>2</v>
      </c>
      <c r="I15" s="1" t="s">
        <v>4</v>
      </c>
      <c r="J15" s="1" t="s">
        <v>4</v>
      </c>
      <c r="P15" s="1" t="s">
        <v>8</v>
      </c>
      <c r="Q15" s="1" t="s">
        <v>8</v>
      </c>
      <c r="R15" s="1" t="s">
        <v>8</v>
      </c>
      <c r="S15" s="1" t="s">
        <v>8</v>
      </c>
      <c r="T15" s="1" t="s">
        <v>8</v>
      </c>
    </row>
  </sheetData>
  <conditionalFormatting sqref="A1:V4 BM1:XFD4 A5:XFD1048576">
    <cfRule type="cellIs" dxfId="1030" priority="141" operator="equal">
      <formula>"r"</formula>
    </cfRule>
    <cfRule type="cellIs" dxfId="1029" priority="142" operator="equal">
      <formula>"z"</formula>
    </cfRule>
    <cfRule type="cellIs" dxfId="1028" priority="143" operator="equal">
      <formula>"x"</formula>
    </cfRule>
    <cfRule type="cellIs" dxfId="1027" priority="144" operator="equal">
      <formula>"v"</formula>
    </cfRule>
    <cfRule type="cellIs" dxfId="1026" priority="145" operator="equal">
      <formula>"n"</formula>
    </cfRule>
    <cfRule type="cellIs" dxfId="1025" priority="146" operator="equal">
      <formula>"m"</formula>
    </cfRule>
    <cfRule type="cellIs" dxfId="1024" priority="147" operator="equal">
      <formula>"o"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269C9-7FC6-4D1A-A67F-96AE665E6A86}">
  <dimension ref="A1"/>
  <sheetViews>
    <sheetView workbookViewId="0"/>
  </sheetViews>
  <sheetFormatPr defaultRowHeight="13.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79E92-49D4-4AA0-B006-9E95EB26BDE8}">
  <dimension ref="A1:NZ37"/>
  <sheetViews>
    <sheetView workbookViewId="0">
      <pane xSplit="1" topLeftCell="HB1" activePane="topRight" state="frozen"/>
      <selection pane="topRight" activeCell="S18" sqref="S18"/>
    </sheetView>
  </sheetViews>
  <sheetFormatPr defaultColWidth="9.140625" defaultRowHeight="13.15"/>
  <cols>
    <col min="1" max="1" width="6.85546875" style="1" bestFit="1" customWidth="1"/>
    <col min="2" max="2" width="20.42578125" style="1" bestFit="1" customWidth="1"/>
    <col min="3" max="61" width="6.42578125" style="1" bestFit="1" customWidth="1"/>
    <col min="62" max="88" width="6.5703125" style="1" bestFit="1" customWidth="1"/>
    <col min="89" max="90" width="6.5703125" style="1" customWidth="1"/>
    <col min="91" max="95" width="6.5703125" style="1" bestFit="1" customWidth="1"/>
    <col min="96" max="97" width="9.140625" style="1" bestFit="1" customWidth="1"/>
    <col min="98" max="118" width="6.5703125" style="1" bestFit="1" customWidth="1"/>
    <col min="119" max="119" width="9.140625" style="1" bestFit="1" customWidth="1"/>
    <col min="120" max="122" width="6.5703125" style="1" bestFit="1" customWidth="1"/>
    <col min="123" max="134" width="7" style="1" bestFit="1" customWidth="1"/>
    <col min="135" max="135" width="8.5703125" style="1" bestFit="1" customWidth="1"/>
    <col min="136" max="144" width="7" style="1" bestFit="1" customWidth="1"/>
    <col min="145" max="146" width="11.140625" style="1" bestFit="1" customWidth="1"/>
    <col min="147" max="153" width="7" style="1" bestFit="1" customWidth="1"/>
    <col min="154" max="183" width="6.42578125" style="1" bestFit="1" customWidth="1"/>
    <col min="184" max="214" width="5.85546875" style="1" bestFit="1" customWidth="1"/>
    <col min="215" max="245" width="7" style="1" bestFit="1" customWidth="1"/>
    <col min="246" max="275" width="6.5703125" style="1" bestFit="1" customWidth="1"/>
    <col min="276" max="306" width="6.42578125" style="1" bestFit="1" customWidth="1"/>
    <col min="307" max="367" width="6.85546875" style="1" bestFit="1" customWidth="1"/>
    <col min="368" max="390" width="6.42578125" style="1" bestFit="1" customWidth="1"/>
    <col min="391" max="16384" width="9.140625" style="1"/>
  </cols>
  <sheetData>
    <row r="1" spans="1:390">
      <c r="A1" s="1" t="s">
        <v>0</v>
      </c>
      <c r="B1" s="1" t="s">
        <v>1</v>
      </c>
    </row>
    <row r="2" spans="1:390">
      <c r="A2" s="1" t="s">
        <v>2</v>
      </c>
      <c r="B2" s="1" t="s">
        <v>3</v>
      </c>
    </row>
    <row r="3" spans="1:390">
      <c r="A3" s="1" t="s">
        <v>4</v>
      </c>
      <c r="B3" s="1" t="s">
        <v>5</v>
      </c>
    </row>
    <row r="4" spans="1:390">
      <c r="A4" s="1" t="s">
        <v>6</v>
      </c>
      <c r="B4" s="1" t="s">
        <v>97</v>
      </c>
    </row>
    <row r="5" spans="1:390">
      <c r="A5" s="1" t="s">
        <v>140</v>
      </c>
      <c r="B5" s="1" t="s">
        <v>141</v>
      </c>
    </row>
    <row r="6" spans="1:390">
      <c r="A6" s="1" t="s">
        <v>8</v>
      </c>
      <c r="B6" s="1" t="s">
        <v>9</v>
      </c>
    </row>
    <row r="7" spans="1:390">
      <c r="A7" s="1" t="s">
        <v>12</v>
      </c>
      <c r="B7" s="1" t="s">
        <v>13</v>
      </c>
    </row>
    <row r="8" spans="1:390">
      <c r="A8" s="46"/>
      <c r="B8" s="1" t="s">
        <v>142</v>
      </c>
      <c r="DO8" s="2"/>
    </row>
    <row r="9" spans="1:390">
      <c r="A9" s="43"/>
      <c r="B9" s="1" t="s">
        <v>143</v>
      </c>
      <c r="DO9" s="2"/>
    </row>
    <row r="10" spans="1:390">
      <c r="A10" s="4"/>
      <c r="DO10" s="2"/>
    </row>
    <row r="11" spans="1:390">
      <c r="DO11" s="2"/>
    </row>
    <row r="12" spans="1:390" s="4" customFormat="1">
      <c r="B12" s="1"/>
      <c r="C12" s="4" t="s">
        <v>144</v>
      </c>
      <c r="F12" s="4" t="s">
        <v>14</v>
      </c>
      <c r="M12" s="4" t="s">
        <v>145</v>
      </c>
      <c r="T12" s="4" t="s">
        <v>146</v>
      </c>
      <c r="AA12" s="4" t="s">
        <v>147</v>
      </c>
      <c r="AH12" s="4" t="s">
        <v>148</v>
      </c>
      <c r="AO12" s="4" t="s">
        <v>149</v>
      </c>
      <c r="AV12" s="4" t="s">
        <v>150</v>
      </c>
      <c r="BC12" s="4" t="s">
        <v>151</v>
      </c>
      <c r="BJ12" s="4" t="s">
        <v>152</v>
      </c>
      <c r="BQ12" s="4" t="s">
        <v>153</v>
      </c>
      <c r="BX12" s="4" t="s">
        <v>154</v>
      </c>
      <c r="CE12" s="4" t="s">
        <v>155</v>
      </c>
      <c r="CL12" s="4" t="s">
        <v>156</v>
      </c>
      <c r="CS12" s="4" t="s">
        <v>157</v>
      </c>
      <c r="CZ12" s="4" t="s">
        <v>158</v>
      </c>
      <c r="DG12" s="4" t="s">
        <v>159</v>
      </c>
      <c r="DN12" s="4" t="s">
        <v>160</v>
      </c>
      <c r="DU12" s="4" t="s">
        <v>161</v>
      </c>
      <c r="EB12" s="4" t="s">
        <v>162</v>
      </c>
      <c r="EI12" s="4" t="s">
        <v>163</v>
      </c>
      <c r="EP12" s="4" t="s">
        <v>164</v>
      </c>
      <c r="EW12" s="4" t="s">
        <v>165</v>
      </c>
      <c r="FD12" s="4" t="s">
        <v>166</v>
      </c>
      <c r="FK12" s="4" t="s">
        <v>167</v>
      </c>
      <c r="FR12" s="4" t="s">
        <v>168</v>
      </c>
      <c r="FY12" s="4" t="s">
        <v>169</v>
      </c>
      <c r="GF12" s="4" t="s">
        <v>170</v>
      </c>
      <c r="GM12" s="4" t="s">
        <v>171</v>
      </c>
      <c r="GT12" s="4" t="s">
        <v>172</v>
      </c>
      <c r="HA12" s="4" t="s">
        <v>173</v>
      </c>
      <c r="HH12" s="4" t="s">
        <v>174</v>
      </c>
      <c r="HO12" s="4" t="s">
        <v>175</v>
      </c>
      <c r="HV12" s="4" t="s">
        <v>46</v>
      </c>
      <c r="IC12" s="4" t="s">
        <v>176</v>
      </c>
      <c r="IJ12" s="4" t="s">
        <v>177</v>
      </c>
      <c r="IQ12" s="4" t="s">
        <v>178</v>
      </c>
      <c r="IX12" s="4" t="s">
        <v>179</v>
      </c>
      <c r="JE12" s="4" t="s">
        <v>180</v>
      </c>
      <c r="JL12" s="4" t="s">
        <v>181</v>
      </c>
      <c r="JS12" s="4" t="s">
        <v>182</v>
      </c>
      <c r="JZ12" s="4" t="s">
        <v>183</v>
      </c>
      <c r="KG12" s="4" t="s">
        <v>184</v>
      </c>
      <c r="KN12" s="4" t="s">
        <v>185</v>
      </c>
      <c r="KU12" s="4" t="s">
        <v>186</v>
      </c>
      <c r="LB12" s="4" t="s">
        <v>187</v>
      </c>
      <c r="LI12" s="4" t="s">
        <v>188</v>
      </c>
      <c r="LP12" s="4" t="s">
        <v>189</v>
      </c>
      <c r="LW12" s="4" t="s">
        <v>190</v>
      </c>
      <c r="MD12" s="4" t="s">
        <v>191</v>
      </c>
      <c r="MK12" s="4" t="s">
        <v>192</v>
      </c>
      <c r="MR12" s="4" t="s">
        <v>193</v>
      </c>
      <c r="MY12" s="4" t="s">
        <v>194</v>
      </c>
    </row>
    <row r="13" spans="1:390" s="2" customFormat="1">
      <c r="C13" s="2" t="s">
        <v>68</v>
      </c>
      <c r="D13" s="2" t="s">
        <v>69</v>
      </c>
      <c r="E13" s="2" t="s">
        <v>70</v>
      </c>
      <c r="F13" s="2" t="s">
        <v>71</v>
      </c>
      <c r="G13" s="2" t="s">
        <v>72</v>
      </c>
      <c r="H13" s="2" t="s">
        <v>66</v>
      </c>
      <c r="I13" s="2" t="s">
        <v>73</v>
      </c>
      <c r="J13" s="2" t="s">
        <v>68</v>
      </c>
      <c r="K13" s="2" t="s">
        <v>69</v>
      </c>
      <c r="L13" s="2" t="s">
        <v>70</v>
      </c>
      <c r="M13" s="2" t="s">
        <v>71</v>
      </c>
      <c r="N13" s="2" t="s">
        <v>72</v>
      </c>
      <c r="O13" s="2" t="s">
        <v>66</v>
      </c>
      <c r="P13" s="2" t="s">
        <v>73</v>
      </c>
      <c r="Q13" s="2" t="s">
        <v>68</v>
      </c>
      <c r="R13" s="2" t="s">
        <v>69</v>
      </c>
      <c r="S13" s="2" t="s">
        <v>70</v>
      </c>
      <c r="T13" s="2" t="s">
        <v>71</v>
      </c>
      <c r="U13" s="2" t="s">
        <v>72</v>
      </c>
      <c r="V13" s="2" t="s">
        <v>66</v>
      </c>
      <c r="W13" s="2" t="s">
        <v>73</v>
      </c>
      <c r="X13" s="2" t="s">
        <v>68</v>
      </c>
      <c r="Y13" s="2" t="s">
        <v>69</v>
      </c>
      <c r="Z13" s="2" t="s">
        <v>70</v>
      </c>
      <c r="AA13" s="2" t="s">
        <v>71</v>
      </c>
      <c r="AB13" s="2" t="s">
        <v>72</v>
      </c>
      <c r="AC13" s="2" t="s">
        <v>66</v>
      </c>
      <c r="AD13" s="2" t="s">
        <v>73</v>
      </c>
      <c r="AE13" s="2" t="s">
        <v>68</v>
      </c>
      <c r="AF13" s="2" t="s">
        <v>69</v>
      </c>
      <c r="AG13" s="2" t="s">
        <v>70</v>
      </c>
      <c r="AH13" s="2" t="s">
        <v>71</v>
      </c>
      <c r="AI13" s="2" t="s">
        <v>72</v>
      </c>
      <c r="AJ13" s="2" t="s">
        <v>66</v>
      </c>
      <c r="AK13" s="2" t="s">
        <v>73</v>
      </c>
      <c r="AL13" s="2" t="s">
        <v>68</v>
      </c>
      <c r="AM13" s="2" t="s">
        <v>69</v>
      </c>
      <c r="AN13" s="2" t="s">
        <v>70</v>
      </c>
      <c r="AO13" s="2" t="s">
        <v>71</v>
      </c>
      <c r="AP13" s="2" t="s">
        <v>72</v>
      </c>
      <c r="AQ13" s="2" t="s">
        <v>66</v>
      </c>
      <c r="AR13" s="2" t="s">
        <v>73</v>
      </c>
      <c r="AS13" s="2" t="s">
        <v>68</v>
      </c>
      <c r="AT13" s="2" t="s">
        <v>69</v>
      </c>
      <c r="AU13" s="2" t="s">
        <v>70</v>
      </c>
      <c r="AV13" s="2" t="s">
        <v>71</v>
      </c>
      <c r="AW13" s="2" t="s">
        <v>72</v>
      </c>
      <c r="AX13" s="2" t="s">
        <v>66</v>
      </c>
      <c r="AY13" s="2" t="s">
        <v>73</v>
      </c>
      <c r="AZ13" s="2" t="s">
        <v>68</v>
      </c>
      <c r="BA13" s="2" t="s">
        <v>69</v>
      </c>
      <c r="BB13" s="2" t="s">
        <v>70</v>
      </c>
      <c r="BC13" s="2" t="s">
        <v>71</v>
      </c>
      <c r="BD13" s="2" t="s">
        <v>72</v>
      </c>
      <c r="BE13" s="2" t="s">
        <v>66</v>
      </c>
      <c r="BF13" s="2" t="s">
        <v>73</v>
      </c>
      <c r="BG13" s="2" t="s">
        <v>68</v>
      </c>
      <c r="BH13" s="2" t="s">
        <v>69</v>
      </c>
      <c r="BI13" s="2" t="s">
        <v>70</v>
      </c>
      <c r="BJ13" s="2" t="s">
        <v>71</v>
      </c>
      <c r="BK13" s="2" t="s">
        <v>72</v>
      </c>
      <c r="BL13" s="2" t="s">
        <v>66</v>
      </c>
      <c r="BM13" s="2" t="s">
        <v>73</v>
      </c>
      <c r="BN13" s="2" t="s">
        <v>68</v>
      </c>
      <c r="BO13" s="2" t="s">
        <v>69</v>
      </c>
      <c r="BP13" s="2" t="s">
        <v>70</v>
      </c>
      <c r="BQ13" s="2" t="s">
        <v>71</v>
      </c>
      <c r="BR13" s="2" t="s">
        <v>72</v>
      </c>
      <c r="BS13" s="2" t="s">
        <v>66</v>
      </c>
      <c r="BT13" s="2" t="s">
        <v>73</v>
      </c>
      <c r="BU13" s="2" t="s">
        <v>68</v>
      </c>
      <c r="BV13" s="2" t="s">
        <v>69</v>
      </c>
      <c r="BW13" s="2" t="s">
        <v>70</v>
      </c>
      <c r="BX13" s="2" t="s">
        <v>71</v>
      </c>
      <c r="BY13" s="2" t="s">
        <v>72</v>
      </c>
      <c r="BZ13" s="2" t="s">
        <v>66</v>
      </c>
      <c r="CA13" s="2" t="s">
        <v>73</v>
      </c>
      <c r="CB13" s="2" t="s">
        <v>68</v>
      </c>
      <c r="CC13" s="2" t="s">
        <v>69</v>
      </c>
      <c r="CD13" s="2" t="s">
        <v>70</v>
      </c>
      <c r="CE13" s="2" t="s">
        <v>71</v>
      </c>
      <c r="CF13" s="2" t="s">
        <v>72</v>
      </c>
      <c r="CG13" s="2" t="s">
        <v>66</v>
      </c>
      <c r="CH13" s="2" t="s">
        <v>73</v>
      </c>
      <c r="CI13" s="2" t="s">
        <v>68</v>
      </c>
      <c r="CJ13" s="2" t="s">
        <v>69</v>
      </c>
      <c r="CK13" s="2" t="s">
        <v>70</v>
      </c>
      <c r="CL13" s="2" t="s">
        <v>71</v>
      </c>
      <c r="CM13" s="2" t="s">
        <v>72</v>
      </c>
      <c r="CN13" s="2" t="s">
        <v>66</v>
      </c>
      <c r="CO13" s="2" t="s">
        <v>73</v>
      </c>
      <c r="CP13" s="2" t="s">
        <v>68</v>
      </c>
      <c r="CQ13" s="2" t="s">
        <v>69</v>
      </c>
      <c r="CR13" s="2" t="s">
        <v>70</v>
      </c>
      <c r="CS13" s="2" t="s">
        <v>71</v>
      </c>
      <c r="CT13" s="2" t="s">
        <v>72</v>
      </c>
      <c r="CU13" s="2" t="s">
        <v>66</v>
      </c>
      <c r="CV13" s="2" t="s">
        <v>73</v>
      </c>
      <c r="CW13" s="2" t="s">
        <v>68</v>
      </c>
      <c r="CX13" s="2" t="s">
        <v>69</v>
      </c>
      <c r="CY13" s="2" t="s">
        <v>70</v>
      </c>
      <c r="CZ13" s="2" t="s">
        <v>71</v>
      </c>
      <c r="DA13" s="2" t="s">
        <v>72</v>
      </c>
      <c r="DB13" s="2" t="s">
        <v>66</v>
      </c>
      <c r="DC13" s="2" t="s">
        <v>73</v>
      </c>
      <c r="DD13" s="2" t="s">
        <v>68</v>
      </c>
      <c r="DE13" s="2" t="s">
        <v>69</v>
      </c>
      <c r="DF13" s="2" t="s">
        <v>70</v>
      </c>
      <c r="DG13" s="2" t="s">
        <v>71</v>
      </c>
      <c r="DH13" s="2" t="s">
        <v>72</v>
      </c>
      <c r="DI13" s="2" t="s">
        <v>66</v>
      </c>
      <c r="DJ13" s="2" t="s">
        <v>73</v>
      </c>
      <c r="DK13" s="2" t="s">
        <v>68</v>
      </c>
      <c r="DL13" s="2" t="s">
        <v>69</v>
      </c>
      <c r="DM13" s="2" t="s">
        <v>70</v>
      </c>
      <c r="DN13" s="2" t="s">
        <v>71</v>
      </c>
      <c r="DO13" s="2" t="s">
        <v>72</v>
      </c>
      <c r="DP13" s="2" t="s">
        <v>66</v>
      </c>
      <c r="DQ13" s="2" t="s">
        <v>73</v>
      </c>
      <c r="DR13" s="2" t="s">
        <v>68</v>
      </c>
      <c r="DS13" s="2" t="s">
        <v>69</v>
      </c>
      <c r="DT13" s="2" t="s">
        <v>70</v>
      </c>
      <c r="DU13" s="2" t="s">
        <v>71</v>
      </c>
      <c r="DV13" s="2" t="s">
        <v>72</v>
      </c>
      <c r="DW13" s="2" t="s">
        <v>66</v>
      </c>
      <c r="DX13" s="2" t="s">
        <v>73</v>
      </c>
      <c r="DY13" s="2" t="s">
        <v>68</v>
      </c>
      <c r="DZ13" s="2" t="s">
        <v>69</v>
      </c>
      <c r="EA13" s="2" t="s">
        <v>70</v>
      </c>
      <c r="EB13" s="2" t="s">
        <v>71</v>
      </c>
      <c r="EC13" s="2" t="s">
        <v>72</v>
      </c>
      <c r="ED13" s="2" t="s">
        <v>66</v>
      </c>
      <c r="EE13" s="2" t="s">
        <v>73</v>
      </c>
      <c r="EF13" s="2" t="s">
        <v>68</v>
      </c>
      <c r="EG13" s="2" t="s">
        <v>69</v>
      </c>
      <c r="EH13" s="2" t="s">
        <v>70</v>
      </c>
      <c r="EI13" s="2" t="s">
        <v>71</v>
      </c>
      <c r="EJ13" s="2" t="s">
        <v>72</v>
      </c>
      <c r="EK13" s="2" t="s">
        <v>66</v>
      </c>
      <c r="EL13" s="2" t="s">
        <v>73</v>
      </c>
      <c r="EM13" s="2" t="s">
        <v>68</v>
      </c>
      <c r="EN13" s="2" t="s">
        <v>69</v>
      </c>
      <c r="EO13" s="2" t="s">
        <v>70</v>
      </c>
      <c r="EP13" s="2" t="s">
        <v>71</v>
      </c>
      <c r="EQ13" s="2" t="s">
        <v>72</v>
      </c>
      <c r="ER13" s="2" t="s">
        <v>66</v>
      </c>
      <c r="ES13" s="2" t="s">
        <v>73</v>
      </c>
      <c r="ET13" s="2" t="s">
        <v>68</v>
      </c>
      <c r="EU13" s="2" t="s">
        <v>69</v>
      </c>
      <c r="EV13" s="2" t="s">
        <v>70</v>
      </c>
      <c r="EW13" s="2" t="s">
        <v>71</v>
      </c>
      <c r="EX13" s="2" t="s">
        <v>72</v>
      </c>
      <c r="EY13" s="2" t="s">
        <v>66</v>
      </c>
      <c r="EZ13" s="2" t="s">
        <v>73</v>
      </c>
      <c r="FA13" s="2" t="s">
        <v>68</v>
      </c>
      <c r="FB13" s="2" t="s">
        <v>69</v>
      </c>
      <c r="FC13" s="2" t="s">
        <v>70</v>
      </c>
      <c r="FD13" s="2" t="s">
        <v>71</v>
      </c>
      <c r="FE13" s="2" t="s">
        <v>72</v>
      </c>
      <c r="FF13" s="2" t="s">
        <v>66</v>
      </c>
      <c r="FG13" s="2" t="s">
        <v>73</v>
      </c>
      <c r="FH13" s="2" t="s">
        <v>68</v>
      </c>
      <c r="FI13" s="2" t="s">
        <v>69</v>
      </c>
      <c r="FJ13" s="2" t="s">
        <v>70</v>
      </c>
      <c r="FK13" s="2" t="s">
        <v>71</v>
      </c>
      <c r="FL13" s="2" t="s">
        <v>72</v>
      </c>
      <c r="FM13" s="2" t="s">
        <v>66</v>
      </c>
      <c r="FN13" s="2" t="s">
        <v>73</v>
      </c>
      <c r="FO13" s="2" t="s">
        <v>68</v>
      </c>
      <c r="FP13" s="2" t="s">
        <v>69</v>
      </c>
      <c r="FQ13" s="2" t="s">
        <v>70</v>
      </c>
      <c r="FR13" s="2" t="s">
        <v>71</v>
      </c>
      <c r="FS13" s="2" t="s">
        <v>72</v>
      </c>
      <c r="FT13" s="2" t="s">
        <v>66</v>
      </c>
      <c r="FU13" s="2" t="s">
        <v>73</v>
      </c>
      <c r="FV13" s="2" t="s">
        <v>68</v>
      </c>
      <c r="FW13" s="2" t="s">
        <v>69</v>
      </c>
      <c r="FX13" s="2" t="s">
        <v>70</v>
      </c>
      <c r="FY13" s="2" t="s">
        <v>71</v>
      </c>
      <c r="FZ13" s="2" t="s">
        <v>72</v>
      </c>
      <c r="GA13" s="2" t="s">
        <v>66</v>
      </c>
      <c r="GB13" s="2" t="s">
        <v>73</v>
      </c>
      <c r="GC13" s="2" t="s">
        <v>68</v>
      </c>
      <c r="GD13" s="2" t="s">
        <v>69</v>
      </c>
      <c r="GE13" s="2" t="s">
        <v>70</v>
      </c>
      <c r="GF13" s="2" t="s">
        <v>71</v>
      </c>
      <c r="GG13" s="2" t="s">
        <v>72</v>
      </c>
      <c r="GH13" s="2" t="s">
        <v>66</v>
      </c>
      <c r="GI13" s="2" t="s">
        <v>73</v>
      </c>
      <c r="GJ13" s="2" t="s">
        <v>68</v>
      </c>
      <c r="GK13" s="2" t="s">
        <v>69</v>
      </c>
      <c r="GL13" s="2" t="s">
        <v>70</v>
      </c>
      <c r="GM13" s="2" t="s">
        <v>71</v>
      </c>
      <c r="GN13" s="2" t="s">
        <v>72</v>
      </c>
      <c r="GO13" s="2" t="s">
        <v>66</v>
      </c>
      <c r="GP13" s="2" t="s">
        <v>73</v>
      </c>
      <c r="GQ13" s="2" t="s">
        <v>68</v>
      </c>
      <c r="GR13" s="2" t="s">
        <v>69</v>
      </c>
      <c r="GS13" s="2" t="s">
        <v>70</v>
      </c>
      <c r="GT13" s="2" t="s">
        <v>71</v>
      </c>
      <c r="GU13" s="2" t="s">
        <v>72</v>
      </c>
      <c r="GV13" s="2" t="s">
        <v>66</v>
      </c>
      <c r="GW13" s="2" t="s">
        <v>73</v>
      </c>
      <c r="GX13" s="2" t="s">
        <v>68</v>
      </c>
      <c r="GY13" s="2" t="s">
        <v>69</v>
      </c>
      <c r="GZ13" s="2" t="s">
        <v>70</v>
      </c>
      <c r="HA13" s="2" t="s">
        <v>71</v>
      </c>
      <c r="HB13" s="2" t="s">
        <v>72</v>
      </c>
      <c r="HC13" s="2" t="s">
        <v>66</v>
      </c>
      <c r="HD13" s="2" t="s">
        <v>73</v>
      </c>
      <c r="HE13" s="2" t="s">
        <v>68</v>
      </c>
      <c r="HF13" s="2" t="s">
        <v>69</v>
      </c>
      <c r="HG13" s="2" t="s">
        <v>70</v>
      </c>
      <c r="HH13" s="2" t="s">
        <v>71</v>
      </c>
      <c r="HI13" s="2" t="s">
        <v>72</v>
      </c>
      <c r="HJ13" s="2" t="s">
        <v>66</v>
      </c>
      <c r="HK13" s="2" t="s">
        <v>73</v>
      </c>
      <c r="HL13" s="2" t="s">
        <v>68</v>
      </c>
      <c r="HM13" s="2" t="s">
        <v>69</v>
      </c>
      <c r="HN13" s="2" t="s">
        <v>70</v>
      </c>
      <c r="HO13" s="2" t="s">
        <v>71</v>
      </c>
      <c r="HP13" s="2" t="s">
        <v>72</v>
      </c>
      <c r="HQ13" s="2" t="s">
        <v>66</v>
      </c>
      <c r="HR13" s="2" t="s">
        <v>73</v>
      </c>
      <c r="HS13" s="2" t="s">
        <v>68</v>
      </c>
      <c r="HT13" s="2" t="s">
        <v>69</v>
      </c>
      <c r="HU13" s="2" t="s">
        <v>70</v>
      </c>
      <c r="HV13" s="2" t="s">
        <v>71</v>
      </c>
      <c r="HW13" s="2" t="s">
        <v>72</v>
      </c>
      <c r="HX13" s="2" t="s">
        <v>66</v>
      </c>
      <c r="HY13" s="2" t="s">
        <v>73</v>
      </c>
      <c r="HZ13" s="2" t="s">
        <v>68</v>
      </c>
      <c r="IA13" s="2" t="s">
        <v>69</v>
      </c>
      <c r="IB13" s="2" t="s">
        <v>70</v>
      </c>
      <c r="IC13" s="2" t="s">
        <v>71</v>
      </c>
      <c r="ID13" s="2" t="s">
        <v>72</v>
      </c>
      <c r="IE13" s="2" t="s">
        <v>66</v>
      </c>
      <c r="IF13" s="2" t="s">
        <v>73</v>
      </c>
      <c r="IG13" s="2" t="s">
        <v>68</v>
      </c>
      <c r="IH13" s="2" t="s">
        <v>69</v>
      </c>
      <c r="II13" s="2" t="s">
        <v>70</v>
      </c>
      <c r="IJ13" s="2" t="s">
        <v>71</v>
      </c>
      <c r="IK13" s="2" t="s">
        <v>72</v>
      </c>
      <c r="IL13" s="2" t="s">
        <v>66</v>
      </c>
      <c r="IM13" s="2" t="s">
        <v>73</v>
      </c>
      <c r="IN13" s="2" t="s">
        <v>68</v>
      </c>
      <c r="IO13" s="2" t="s">
        <v>69</v>
      </c>
      <c r="IP13" s="2" t="s">
        <v>70</v>
      </c>
      <c r="IQ13" s="2" t="s">
        <v>71</v>
      </c>
      <c r="IR13" s="2" t="s">
        <v>72</v>
      </c>
      <c r="IS13" s="2" t="s">
        <v>66</v>
      </c>
      <c r="IT13" s="2" t="s">
        <v>73</v>
      </c>
      <c r="IU13" s="2" t="s">
        <v>68</v>
      </c>
      <c r="IV13" s="2" t="s">
        <v>69</v>
      </c>
      <c r="IW13" s="2" t="s">
        <v>70</v>
      </c>
      <c r="IX13" s="2" t="s">
        <v>71</v>
      </c>
      <c r="IY13" s="2" t="s">
        <v>72</v>
      </c>
      <c r="IZ13" s="2" t="s">
        <v>66</v>
      </c>
      <c r="JA13" s="2" t="s">
        <v>73</v>
      </c>
      <c r="JB13" s="2" t="s">
        <v>68</v>
      </c>
      <c r="JC13" s="2" t="s">
        <v>69</v>
      </c>
      <c r="JD13" s="2" t="s">
        <v>70</v>
      </c>
      <c r="JE13" s="2" t="s">
        <v>71</v>
      </c>
      <c r="JF13" s="2" t="s">
        <v>72</v>
      </c>
      <c r="JG13" s="2" t="s">
        <v>66</v>
      </c>
      <c r="JH13" s="2" t="s">
        <v>73</v>
      </c>
      <c r="JI13" s="2" t="s">
        <v>68</v>
      </c>
      <c r="JJ13" s="2" t="s">
        <v>69</v>
      </c>
      <c r="JK13" s="2" t="s">
        <v>70</v>
      </c>
      <c r="JL13" s="2" t="s">
        <v>71</v>
      </c>
      <c r="JM13" s="2" t="s">
        <v>72</v>
      </c>
      <c r="JN13" s="2" t="s">
        <v>66</v>
      </c>
      <c r="JO13" s="2" t="s">
        <v>73</v>
      </c>
      <c r="JP13" s="2" t="s">
        <v>68</v>
      </c>
      <c r="JQ13" s="2" t="s">
        <v>69</v>
      </c>
      <c r="JR13" s="2" t="s">
        <v>70</v>
      </c>
      <c r="JS13" s="2" t="s">
        <v>71</v>
      </c>
      <c r="JT13" s="2" t="s">
        <v>72</v>
      </c>
      <c r="JU13" s="2" t="s">
        <v>66</v>
      </c>
      <c r="JV13" s="2" t="s">
        <v>73</v>
      </c>
      <c r="JW13" s="2" t="s">
        <v>68</v>
      </c>
      <c r="JX13" s="2" t="s">
        <v>69</v>
      </c>
      <c r="JY13" s="2" t="s">
        <v>70</v>
      </c>
      <c r="JZ13" s="2" t="s">
        <v>71</v>
      </c>
      <c r="KA13" s="2" t="s">
        <v>72</v>
      </c>
      <c r="KB13" s="2" t="s">
        <v>66</v>
      </c>
      <c r="KC13" s="2" t="s">
        <v>73</v>
      </c>
      <c r="KD13" s="2" t="s">
        <v>68</v>
      </c>
      <c r="KE13" s="2" t="s">
        <v>69</v>
      </c>
      <c r="KF13" s="2" t="s">
        <v>70</v>
      </c>
      <c r="KG13" s="2" t="s">
        <v>71</v>
      </c>
      <c r="KH13" s="2" t="s">
        <v>72</v>
      </c>
      <c r="KI13" s="2" t="s">
        <v>66</v>
      </c>
      <c r="KJ13" s="2" t="s">
        <v>73</v>
      </c>
      <c r="KK13" s="2" t="s">
        <v>68</v>
      </c>
      <c r="KL13" s="2" t="s">
        <v>69</v>
      </c>
      <c r="KM13" s="2" t="s">
        <v>70</v>
      </c>
      <c r="KN13" s="2" t="s">
        <v>71</v>
      </c>
      <c r="KO13" s="2" t="s">
        <v>72</v>
      </c>
      <c r="KP13" s="2" t="s">
        <v>66</v>
      </c>
      <c r="KQ13" s="2" t="s">
        <v>73</v>
      </c>
      <c r="KR13" s="2" t="s">
        <v>68</v>
      </c>
      <c r="KS13" s="2" t="s">
        <v>69</v>
      </c>
      <c r="KT13" s="2" t="s">
        <v>70</v>
      </c>
      <c r="KU13" s="2" t="s">
        <v>71</v>
      </c>
      <c r="KV13" s="2" t="s">
        <v>72</v>
      </c>
      <c r="KW13" s="2" t="s">
        <v>66</v>
      </c>
      <c r="KX13" s="2" t="s">
        <v>73</v>
      </c>
      <c r="KY13" s="2" t="s">
        <v>68</v>
      </c>
      <c r="KZ13" s="2" t="s">
        <v>69</v>
      </c>
      <c r="LA13" s="2" t="s">
        <v>70</v>
      </c>
      <c r="LB13" s="2" t="s">
        <v>71</v>
      </c>
      <c r="LC13" s="2" t="s">
        <v>72</v>
      </c>
      <c r="LD13" s="2" t="s">
        <v>66</v>
      </c>
      <c r="LE13" s="2" t="s">
        <v>73</v>
      </c>
      <c r="LF13" s="2" t="s">
        <v>68</v>
      </c>
      <c r="LG13" s="2" t="s">
        <v>69</v>
      </c>
      <c r="LH13" s="2" t="s">
        <v>70</v>
      </c>
      <c r="LI13" s="2" t="s">
        <v>71</v>
      </c>
      <c r="LJ13" s="2" t="s">
        <v>72</v>
      </c>
      <c r="LK13" s="2" t="s">
        <v>66</v>
      </c>
      <c r="LL13" s="2" t="s">
        <v>73</v>
      </c>
      <c r="LM13" s="2" t="s">
        <v>68</v>
      </c>
      <c r="LN13" s="2" t="s">
        <v>69</v>
      </c>
      <c r="LO13" s="2" t="s">
        <v>70</v>
      </c>
      <c r="LP13" s="2" t="s">
        <v>71</v>
      </c>
      <c r="LQ13" s="2" t="s">
        <v>72</v>
      </c>
      <c r="LR13" s="2" t="s">
        <v>66</v>
      </c>
      <c r="LS13" s="2" t="s">
        <v>73</v>
      </c>
      <c r="LT13" s="2" t="s">
        <v>68</v>
      </c>
      <c r="LU13" s="2" t="s">
        <v>69</v>
      </c>
      <c r="LV13" s="2" t="s">
        <v>70</v>
      </c>
      <c r="LW13" s="2" t="s">
        <v>71</v>
      </c>
      <c r="LX13" s="2" t="s">
        <v>72</v>
      </c>
      <c r="LY13" s="2" t="s">
        <v>66</v>
      </c>
      <c r="LZ13" s="2" t="s">
        <v>73</v>
      </c>
      <c r="MA13" s="2" t="s">
        <v>68</v>
      </c>
      <c r="MB13" s="2" t="s">
        <v>69</v>
      </c>
      <c r="MC13" s="2" t="s">
        <v>70</v>
      </c>
      <c r="MD13" s="2" t="s">
        <v>71</v>
      </c>
      <c r="ME13" s="2" t="s">
        <v>72</v>
      </c>
      <c r="MF13" s="2" t="s">
        <v>66</v>
      </c>
      <c r="MG13" s="2" t="s">
        <v>73</v>
      </c>
      <c r="MH13" s="2" t="s">
        <v>68</v>
      </c>
      <c r="MI13" s="2" t="s">
        <v>69</v>
      </c>
      <c r="MJ13" s="2" t="s">
        <v>70</v>
      </c>
      <c r="MK13" s="2" t="s">
        <v>71</v>
      </c>
      <c r="ML13" s="2" t="s">
        <v>72</v>
      </c>
      <c r="MM13" s="2" t="s">
        <v>66</v>
      </c>
      <c r="MN13" s="2" t="s">
        <v>73</v>
      </c>
      <c r="MO13" s="2" t="s">
        <v>68</v>
      </c>
      <c r="MP13" s="2" t="s">
        <v>69</v>
      </c>
      <c r="MQ13" s="2" t="s">
        <v>70</v>
      </c>
      <c r="MR13" s="2" t="s">
        <v>71</v>
      </c>
      <c r="MS13" s="2" t="s">
        <v>72</v>
      </c>
      <c r="MT13" s="2" t="s">
        <v>66</v>
      </c>
      <c r="MU13" s="2" t="s">
        <v>73</v>
      </c>
      <c r="MV13" s="2" t="s">
        <v>68</v>
      </c>
      <c r="MW13" s="2" t="s">
        <v>69</v>
      </c>
      <c r="MX13" s="2" t="s">
        <v>70</v>
      </c>
      <c r="MY13" s="2" t="s">
        <v>71</v>
      </c>
      <c r="MZ13" s="2" t="s">
        <v>72</v>
      </c>
      <c r="NA13" s="2" t="s">
        <v>66</v>
      </c>
      <c r="NB13" s="2" t="s">
        <v>73</v>
      </c>
      <c r="NC13" s="2" t="s">
        <v>68</v>
      </c>
      <c r="ND13" s="2" t="s">
        <v>69</v>
      </c>
      <c r="NE13" s="2" t="s">
        <v>70</v>
      </c>
      <c r="NF13" s="2" t="s">
        <v>71</v>
      </c>
      <c r="NG13" s="2" t="s">
        <v>72</v>
      </c>
      <c r="NH13" s="2" t="s">
        <v>66</v>
      </c>
      <c r="NI13" s="2" t="s">
        <v>73</v>
      </c>
      <c r="NJ13" s="2" t="s">
        <v>68</v>
      </c>
      <c r="NK13" s="2" t="s">
        <v>69</v>
      </c>
      <c r="NL13" s="2" t="s">
        <v>70</v>
      </c>
      <c r="NM13" s="2" t="s">
        <v>71</v>
      </c>
      <c r="NN13" s="2" t="s">
        <v>72</v>
      </c>
      <c r="NO13" s="2" t="s">
        <v>66</v>
      </c>
      <c r="NP13" s="2" t="s">
        <v>73</v>
      </c>
      <c r="NQ13" s="2" t="s">
        <v>68</v>
      </c>
      <c r="NR13" s="2" t="s">
        <v>69</v>
      </c>
      <c r="NS13" s="2" t="s">
        <v>70</v>
      </c>
      <c r="NT13" s="2" t="s">
        <v>71</v>
      </c>
      <c r="NU13" s="2" t="s">
        <v>72</v>
      </c>
      <c r="NV13" s="2" t="s">
        <v>66</v>
      </c>
      <c r="NW13" s="2" t="s">
        <v>73</v>
      </c>
      <c r="NX13" s="2" t="s">
        <v>68</v>
      </c>
      <c r="NY13" s="2" t="s">
        <v>69</v>
      </c>
      <c r="NZ13" s="2" t="s">
        <v>70</v>
      </c>
    </row>
    <row r="14" spans="1:390" s="3" customFormat="1">
      <c r="C14" s="45">
        <v>43466</v>
      </c>
      <c r="D14" s="45">
        <v>43467</v>
      </c>
      <c r="E14" s="45">
        <v>43468</v>
      </c>
      <c r="F14" s="45">
        <v>43469</v>
      </c>
      <c r="G14" s="45">
        <v>43470</v>
      </c>
      <c r="H14" s="45">
        <v>43471</v>
      </c>
      <c r="I14" s="45">
        <v>43472</v>
      </c>
      <c r="J14" s="45">
        <v>43473</v>
      </c>
      <c r="K14" s="45">
        <v>43474</v>
      </c>
      <c r="L14" s="45">
        <v>43475</v>
      </c>
      <c r="M14" s="45">
        <v>43476</v>
      </c>
      <c r="N14" s="45">
        <v>43477</v>
      </c>
      <c r="O14" s="45">
        <v>43478</v>
      </c>
      <c r="P14" s="45">
        <v>43479</v>
      </c>
      <c r="Q14" s="45">
        <v>43480</v>
      </c>
      <c r="R14" s="45">
        <v>43481</v>
      </c>
      <c r="S14" s="45">
        <v>43482</v>
      </c>
      <c r="T14" s="45">
        <v>43483</v>
      </c>
      <c r="U14" s="45">
        <v>43484</v>
      </c>
      <c r="V14" s="45">
        <v>43485</v>
      </c>
      <c r="W14" s="45">
        <v>43486</v>
      </c>
      <c r="X14" s="45">
        <v>43487</v>
      </c>
      <c r="Y14" s="45">
        <v>43488</v>
      </c>
      <c r="Z14" s="45">
        <v>43489</v>
      </c>
      <c r="AA14" s="45">
        <v>43490</v>
      </c>
      <c r="AB14" s="45">
        <v>43491</v>
      </c>
      <c r="AC14" s="45">
        <v>43492</v>
      </c>
      <c r="AD14" s="45">
        <v>43493</v>
      </c>
      <c r="AE14" s="45">
        <v>43494</v>
      </c>
      <c r="AF14" s="45">
        <v>43495</v>
      </c>
      <c r="AG14" s="45">
        <v>43496</v>
      </c>
      <c r="AH14" s="45">
        <v>43497</v>
      </c>
      <c r="AI14" s="45">
        <v>43498</v>
      </c>
      <c r="AJ14" s="45">
        <v>43499</v>
      </c>
      <c r="AK14" s="45">
        <v>43500</v>
      </c>
      <c r="AL14" s="45">
        <v>43501</v>
      </c>
      <c r="AM14" s="45">
        <v>43502</v>
      </c>
      <c r="AN14" s="45">
        <v>43503</v>
      </c>
      <c r="AO14" s="45">
        <v>43504</v>
      </c>
      <c r="AP14" s="45">
        <v>43505</v>
      </c>
      <c r="AQ14" s="45">
        <v>43506</v>
      </c>
      <c r="AR14" s="45">
        <v>43507</v>
      </c>
      <c r="AS14" s="45">
        <v>43508</v>
      </c>
      <c r="AT14" s="45">
        <v>43509</v>
      </c>
      <c r="AU14" s="45">
        <v>43510</v>
      </c>
      <c r="AV14" s="45">
        <v>43511</v>
      </c>
      <c r="AW14" s="45">
        <v>43512</v>
      </c>
      <c r="AX14" s="45">
        <v>43513</v>
      </c>
      <c r="AY14" s="45">
        <v>43514</v>
      </c>
      <c r="AZ14" s="45">
        <v>43515</v>
      </c>
      <c r="BA14" s="45">
        <v>43516</v>
      </c>
      <c r="BB14" s="45">
        <v>43517</v>
      </c>
      <c r="BC14" s="45">
        <v>43518</v>
      </c>
      <c r="BD14" s="45">
        <v>43519</v>
      </c>
      <c r="BE14" s="45">
        <v>43520</v>
      </c>
      <c r="BF14" s="45">
        <v>43521</v>
      </c>
      <c r="BG14" s="45">
        <v>43522</v>
      </c>
      <c r="BH14" s="45">
        <v>43523</v>
      </c>
      <c r="BI14" s="45">
        <v>43524</v>
      </c>
      <c r="BJ14" s="45">
        <v>43525</v>
      </c>
      <c r="BK14" s="45">
        <v>43526</v>
      </c>
      <c r="BL14" s="45">
        <v>43527</v>
      </c>
      <c r="BM14" s="45">
        <v>43528</v>
      </c>
      <c r="BN14" s="45">
        <v>43529</v>
      </c>
      <c r="BO14" s="45">
        <v>43530</v>
      </c>
      <c r="BP14" s="45">
        <v>43531</v>
      </c>
      <c r="BQ14" s="45">
        <v>43532</v>
      </c>
      <c r="BR14" s="45">
        <v>43533</v>
      </c>
      <c r="BS14" s="45">
        <v>43534</v>
      </c>
      <c r="BT14" s="45">
        <v>43535</v>
      </c>
      <c r="BU14" s="45">
        <v>43536</v>
      </c>
      <c r="BV14" s="45">
        <v>43537</v>
      </c>
      <c r="BW14" s="45">
        <v>43538</v>
      </c>
      <c r="BX14" s="45">
        <v>43539</v>
      </c>
      <c r="BY14" s="45">
        <v>43540</v>
      </c>
      <c r="BZ14" s="45">
        <v>43541</v>
      </c>
      <c r="CA14" s="45">
        <v>43542</v>
      </c>
      <c r="CB14" s="45">
        <v>43543</v>
      </c>
      <c r="CC14" s="45">
        <v>43544</v>
      </c>
      <c r="CD14" s="45">
        <v>43545</v>
      </c>
      <c r="CE14" s="45">
        <v>43546</v>
      </c>
      <c r="CF14" s="45">
        <v>43547</v>
      </c>
      <c r="CG14" s="45">
        <v>43548</v>
      </c>
      <c r="CH14" s="45">
        <v>43549</v>
      </c>
      <c r="CI14" s="45">
        <v>43550</v>
      </c>
      <c r="CJ14" s="45">
        <v>43551</v>
      </c>
      <c r="CK14" s="45">
        <v>43552</v>
      </c>
      <c r="CL14" s="45">
        <v>43553</v>
      </c>
      <c r="CM14" s="45">
        <v>43554</v>
      </c>
      <c r="CN14" s="45">
        <v>43555</v>
      </c>
      <c r="CO14" s="45">
        <v>43556</v>
      </c>
      <c r="CP14" s="45">
        <v>43557</v>
      </c>
      <c r="CQ14" s="45">
        <v>43558</v>
      </c>
      <c r="CR14" s="45">
        <v>43559</v>
      </c>
      <c r="CS14" s="45">
        <v>43560</v>
      </c>
      <c r="CT14" s="45">
        <v>43561</v>
      </c>
      <c r="CU14" s="45">
        <v>43562</v>
      </c>
      <c r="CV14" s="45">
        <v>43563</v>
      </c>
      <c r="CW14" s="45">
        <v>43564</v>
      </c>
      <c r="CX14" s="45">
        <v>43565</v>
      </c>
      <c r="CY14" s="45">
        <v>43566</v>
      </c>
      <c r="CZ14" s="45">
        <v>43567</v>
      </c>
      <c r="DA14" s="45">
        <v>43568</v>
      </c>
      <c r="DB14" s="45">
        <v>43569</v>
      </c>
      <c r="DC14" s="45">
        <v>43570</v>
      </c>
      <c r="DD14" s="45">
        <v>43571</v>
      </c>
      <c r="DE14" s="45">
        <v>43572</v>
      </c>
      <c r="DF14" s="45">
        <v>43573</v>
      </c>
      <c r="DG14" s="45">
        <v>43574</v>
      </c>
      <c r="DH14" s="45">
        <v>43575</v>
      </c>
      <c r="DI14" s="45">
        <v>43576</v>
      </c>
      <c r="DJ14" s="45">
        <v>43577</v>
      </c>
      <c r="DK14" s="45">
        <v>43578</v>
      </c>
      <c r="DL14" s="45">
        <v>43579</v>
      </c>
      <c r="DM14" s="45">
        <v>43580</v>
      </c>
      <c r="DN14" s="45">
        <v>43581</v>
      </c>
      <c r="DO14" s="45">
        <v>43582</v>
      </c>
      <c r="DP14" s="45">
        <v>43583</v>
      </c>
      <c r="DQ14" s="45">
        <v>43584</v>
      </c>
      <c r="DR14" s="45">
        <v>43585</v>
      </c>
      <c r="DS14" s="45">
        <v>43586</v>
      </c>
      <c r="DT14" s="45">
        <v>43587</v>
      </c>
      <c r="DU14" s="45">
        <v>43588</v>
      </c>
      <c r="DV14" s="45">
        <v>43589</v>
      </c>
      <c r="DW14" s="45">
        <v>43590</v>
      </c>
      <c r="DX14" s="45">
        <v>43591</v>
      </c>
      <c r="DY14" s="45">
        <v>43592</v>
      </c>
      <c r="DZ14" s="45">
        <v>43593</v>
      </c>
      <c r="EA14" s="45">
        <v>43594</v>
      </c>
      <c r="EB14" s="45">
        <v>43595</v>
      </c>
      <c r="EC14" s="45">
        <v>43596</v>
      </c>
      <c r="ED14" s="45">
        <v>43597</v>
      </c>
      <c r="EE14" s="45">
        <v>43598</v>
      </c>
      <c r="EF14" s="45">
        <v>43599</v>
      </c>
      <c r="EG14" s="45">
        <v>43600</v>
      </c>
      <c r="EH14" s="45">
        <v>43601</v>
      </c>
      <c r="EI14" s="45">
        <v>43602</v>
      </c>
      <c r="EJ14" s="45">
        <v>43603</v>
      </c>
      <c r="EK14" s="45">
        <v>43604</v>
      </c>
      <c r="EL14" s="45">
        <v>43605</v>
      </c>
      <c r="EM14" s="45">
        <v>43606</v>
      </c>
      <c r="EN14" s="45">
        <v>43607</v>
      </c>
      <c r="EO14" s="45">
        <v>43608</v>
      </c>
      <c r="EP14" s="45">
        <v>43609</v>
      </c>
      <c r="EQ14" s="45">
        <v>43610</v>
      </c>
      <c r="ER14" s="45">
        <v>43611</v>
      </c>
      <c r="ES14" s="45">
        <v>43612</v>
      </c>
      <c r="ET14" s="45">
        <v>43613</v>
      </c>
      <c r="EU14" s="45">
        <v>43614</v>
      </c>
      <c r="EV14" s="45">
        <v>43615</v>
      </c>
      <c r="EW14" s="45">
        <v>43616</v>
      </c>
      <c r="EX14" s="45">
        <v>43617</v>
      </c>
      <c r="EY14" s="45">
        <v>43618</v>
      </c>
      <c r="EZ14" s="45">
        <v>43619</v>
      </c>
      <c r="FA14" s="45">
        <v>43620</v>
      </c>
      <c r="FB14" s="45">
        <v>43621</v>
      </c>
      <c r="FC14" s="45">
        <v>43622</v>
      </c>
      <c r="FD14" s="45">
        <v>43623</v>
      </c>
      <c r="FE14" s="45">
        <v>43624</v>
      </c>
      <c r="FF14" s="45">
        <v>43625</v>
      </c>
      <c r="FG14" s="45">
        <v>43626</v>
      </c>
      <c r="FH14" s="45">
        <v>43627</v>
      </c>
      <c r="FI14" s="45">
        <v>43628</v>
      </c>
      <c r="FJ14" s="45">
        <v>43629</v>
      </c>
      <c r="FK14" s="45">
        <v>43630</v>
      </c>
      <c r="FL14" s="45">
        <v>43631</v>
      </c>
      <c r="FM14" s="45">
        <v>43632</v>
      </c>
      <c r="FN14" s="45">
        <v>43633</v>
      </c>
      <c r="FO14" s="45">
        <v>43634</v>
      </c>
      <c r="FP14" s="45">
        <v>43635</v>
      </c>
      <c r="FQ14" s="45">
        <v>43636</v>
      </c>
      <c r="FR14" s="45">
        <v>43637</v>
      </c>
      <c r="FS14" s="45">
        <v>43638</v>
      </c>
      <c r="FT14" s="45">
        <v>43639</v>
      </c>
      <c r="FU14" s="45">
        <v>43640</v>
      </c>
      <c r="FV14" s="45">
        <v>43641</v>
      </c>
      <c r="FW14" s="45">
        <v>43642</v>
      </c>
      <c r="FX14" s="45">
        <v>43643</v>
      </c>
      <c r="FY14" s="45">
        <v>43644</v>
      </c>
      <c r="FZ14" s="45">
        <v>43645</v>
      </c>
      <c r="GA14" s="45">
        <v>43646</v>
      </c>
      <c r="GB14" s="45">
        <v>43647</v>
      </c>
      <c r="GC14" s="45">
        <v>43648</v>
      </c>
      <c r="GD14" s="45">
        <v>43649</v>
      </c>
      <c r="GE14" s="45">
        <v>43650</v>
      </c>
      <c r="GF14" s="45">
        <v>43651</v>
      </c>
      <c r="GG14" s="45">
        <v>43652</v>
      </c>
      <c r="GH14" s="45">
        <v>43653</v>
      </c>
      <c r="GI14" s="45">
        <v>43654</v>
      </c>
      <c r="GJ14" s="45">
        <v>43655</v>
      </c>
      <c r="GK14" s="45">
        <v>43656</v>
      </c>
      <c r="GL14" s="45">
        <v>43657</v>
      </c>
      <c r="GM14" s="45">
        <v>43658</v>
      </c>
      <c r="GN14" s="45">
        <v>43659</v>
      </c>
      <c r="GO14" s="45">
        <v>43660</v>
      </c>
      <c r="GP14" s="45">
        <v>43661</v>
      </c>
      <c r="GQ14" s="45">
        <v>43662</v>
      </c>
      <c r="GR14" s="45">
        <v>43663</v>
      </c>
      <c r="GS14" s="45">
        <v>43664</v>
      </c>
      <c r="GT14" s="45">
        <v>43665</v>
      </c>
      <c r="GU14" s="45">
        <v>43666</v>
      </c>
      <c r="GV14" s="45">
        <v>43667</v>
      </c>
      <c r="GW14" s="45">
        <v>43668</v>
      </c>
      <c r="GX14" s="45">
        <v>43669</v>
      </c>
      <c r="GY14" s="45">
        <v>43670</v>
      </c>
      <c r="GZ14" s="45">
        <v>43671</v>
      </c>
      <c r="HA14" s="45">
        <v>43672</v>
      </c>
      <c r="HB14" s="45">
        <v>43673</v>
      </c>
      <c r="HC14" s="45">
        <v>43674</v>
      </c>
      <c r="HD14" s="45">
        <v>43675</v>
      </c>
      <c r="HE14" s="45">
        <v>43676</v>
      </c>
      <c r="HF14" s="45">
        <v>43677</v>
      </c>
      <c r="HG14" s="45">
        <v>43678</v>
      </c>
      <c r="HH14" s="45">
        <v>43679</v>
      </c>
      <c r="HI14" s="45">
        <v>43680</v>
      </c>
      <c r="HJ14" s="45">
        <v>43681</v>
      </c>
      <c r="HK14" s="45">
        <v>43682</v>
      </c>
      <c r="HL14" s="45">
        <v>43683</v>
      </c>
      <c r="HM14" s="45">
        <v>43684</v>
      </c>
      <c r="HN14" s="45">
        <v>43685</v>
      </c>
      <c r="HO14" s="45">
        <v>43686</v>
      </c>
      <c r="HP14" s="45">
        <v>43687</v>
      </c>
      <c r="HQ14" s="45">
        <v>43688</v>
      </c>
      <c r="HR14" s="45">
        <v>43689</v>
      </c>
      <c r="HS14" s="45">
        <v>43690</v>
      </c>
      <c r="HT14" s="45">
        <v>43691</v>
      </c>
      <c r="HU14" s="45">
        <v>43692</v>
      </c>
      <c r="HV14" s="45">
        <v>43693</v>
      </c>
      <c r="HW14" s="45">
        <v>43694</v>
      </c>
      <c r="HX14" s="45">
        <v>43695</v>
      </c>
      <c r="HY14" s="45">
        <v>43696</v>
      </c>
      <c r="HZ14" s="45">
        <v>43697</v>
      </c>
      <c r="IA14" s="45">
        <v>43698</v>
      </c>
      <c r="IB14" s="45">
        <v>43699</v>
      </c>
      <c r="IC14" s="45">
        <v>43700</v>
      </c>
      <c r="ID14" s="45">
        <v>43701</v>
      </c>
      <c r="IE14" s="45">
        <v>43702</v>
      </c>
      <c r="IF14" s="45">
        <v>43703</v>
      </c>
      <c r="IG14" s="45">
        <v>43704</v>
      </c>
      <c r="IH14" s="45">
        <v>43705</v>
      </c>
      <c r="II14" s="45">
        <v>43706</v>
      </c>
      <c r="IJ14" s="45">
        <v>43707</v>
      </c>
      <c r="IK14" s="45">
        <v>43708</v>
      </c>
      <c r="IL14" s="45">
        <v>43709</v>
      </c>
      <c r="IM14" s="45">
        <v>43710</v>
      </c>
      <c r="IN14" s="45">
        <v>43711</v>
      </c>
      <c r="IO14" s="45">
        <v>43712</v>
      </c>
      <c r="IP14" s="45">
        <v>43713</v>
      </c>
      <c r="IQ14" s="45">
        <v>43714</v>
      </c>
      <c r="IR14" s="45">
        <v>43715</v>
      </c>
      <c r="IS14" s="45">
        <v>43716</v>
      </c>
      <c r="IT14" s="45">
        <v>43717</v>
      </c>
      <c r="IU14" s="45">
        <v>43718</v>
      </c>
      <c r="IV14" s="45">
        <v>43719</v>
      </c>
      <c r="IW14" s="45">
        <v>43720</v>
      </c>
      <c r="IX14" s="45">
        <v>43721</v>
      </c>
      <c r="IY14" s="45">
        <v>43722</v>
      </c>
      <c r="IZ14" s="45">
        <v>43723</v>
      </c>
      <c r="JA14" s="45">
        <v>43724</v>
      </c>
      <c r="JB14" s="45">
        <v>43725</v>
      </c>
      <c r="JC14" s="45">
        <v>43726</v>
      </c>
      <c r="JD14" s="45">
        <v>43727</v>
      </c>
      <c r="JE14" s="45">
        <v>43728</v>
      </c>
      <c r="JF14" s="45">
        <v>43729</v>
      </c>
      <c r="JG14" s="45">
        <v>43730</v>
      </c>
      <c r="JH14" s="45">
        <v>43731</v>
      </c>
      <c r="JI14" s="45">
        <v>43732</v>
      </c>
      <c r="JJ14" s="45">
        <v>43733</v>
      </c>
      <c r="JK14" s="45">
        <v>43734</v>
      </c>
      <c r="JL14" s="45">
        <v>43735</v>
      </c>
      <c r="JM14" s="45">
        <v>43736</v>
      </c>
      <c r="JN14" s="45">
        <v>43737</v>
      </c>
      <c r="JO14" s="45">
        <v>43738</v>
      </c>
      <c r="JP14" s="45">
        <v>43739</v>
      </c>
      <c r="JQ14" s="45">
        <v>43740</v>
      </c>
      <c r="JR14" s="45">
        <v>43741</v>
      </c>
      <c r="JS14" s="45">
        <v>43742</v>
      </c>
      <c r="JT14" s="45">
        <v>43743</v>
      </c>
      <c r="JU14" s="45">
        <v>43744</v>
      </c>
      <c r="JV14" s="45">
        <v>43745</v>
      </c>
      <c r="JW14" s="45">
        <v>43746</v>
      </c>
      <c r="JX14" s="45">
        <v>43747</v>
      </c>
      <c r="JY14" s="45">
        <v>43748</v>
      </c>
      <c r="JZ14" s="45">
        <v>43749</v>
      </c>
      <c r="KA14" s="45">
        <v>43750</v>
      </c>
      <c r="KB14" s="45">
        <v>43751</v>
      </c>
      <c r="KC14" s="45">
        <v>43752</v>
      </c>
      <c r="KD14" s="45">
        <v>43753</v>
      </c>
      <c r="KE14" s="45">
        <v>43754</v>
      </c>
      <c r="KF14" s="45">
        <v>43755</v>
      </c>
      <c r="KG14" s="45">
        <v>43756</v>
      </c>
      <c r="KH14" s="45">
        <v>43757</v>
      </c>
      <c r="KI14" s="45">
        <v>43758</v>
      </c>
      <c r="KJ14" s="45">
        <v>43759</v>
      </c>
      <c r="KK14" s="45">
        <v>43760</v>
      </c>
      <c r="KL14" s="45">
        <v>43761</v>
      </c>
      <c r="KM14" s="45">
        <v>43762</v>
      </c>
      <c r="KN14" s="45">
        <v>43763</v>
      </c>
      <c r="KO14" s="45">
        <v>43764</v>
      </c>
      <c r="KP14" s="45">
        <v>43765</v>
      </c>
      <c r="KQ14" s="45">
        <v>43766</v>
      </c>
      <c r="KR14" s="45">
        <v>43767</v>
      </c>
      <c r="KS14" s="45">
        <v>43768</v>
      </c>
      <c r="KT14" s="45">
        <v>43769</v>
      </c>
      <c r="KU14" s="45">
        <v>43770</v>
      </c>
      <c r="KV14" s="45">
        <v>43771</v>
      </c>
      <c r="KW14" s="45">
        <v>43772</v>
      </c>
      <c r="KX14" s="45">
        <v>43773</v>
      </c>
      <c r="KY14" s="45">
        <v>43774</v>
      </c>
      <c r="KZ14" s="45">
        <v>43775</v>
      </c>
      <c r="LA14" s="45">
        <v>43776</v>
      </c>
      <c r="LB14" s="45">
        <v>43777</v>
      </c>
      <c r="LC14" s="45">
        <v>43778</v>
      </c>
      <c r="LD14" s="45">
        <v>43779</v>
      </c>
      <c r="LE14" s="45">
        <v>43780</v>
      </c>
      <c r="LF14" s="45">
        <v>43781</v>
      </c>
      <c r="LG14" s="45">
        <v>43782</v>
      </c>
      <c r="LH14" s="45">
        <v>43783</v>
      </c>
      <c r="LI14" s="45">
        <v>43784</v>
      </c>
      <c r="LJ14" s="45">
        <v>43785</v>
      </c>
      <c r="LK14" s="45">
        <v>43786</v>
      </c>
      <c r="LL14" s="45">
        <v>43787</v>
      </c>
      <c r="LM14" s="45">
        <v>43788</v>
      </c>
      <c r="LN14" s="45">
        <v>43789</v>
      </c>
      <c r="LO14" s="45">
        <v>43790</v>
      </c>
      <c r="LP14" s="45">
        <v>43791</v>
      </c>
      <c r="LQ14" s="45">
        <v>43792</v>
      </c>
      <c r="LR14" s="45">
        <v>43793</v>
      </c>
      <c r="LS14" s="45">
        <v>43794</v>
      </c>
      <c r="LT14" s="45">
        <v>43795</v>
      </c>
      <c r="LU14" s="45">
        <v>43796</v>
      </c>
      <c r="LV14" s="45">
        <v>43797</v>
      </c>
      <c r="LW14" s="45">
        <v>43798</v>
      </c>
      <c r="LX14" s="45">
        <v>43799</v>
      </c>
      <c r="LY14" s="45">
        <v>43800</v>
      </c>
      <c r="LZ14" s="45">
        <v>43801</v>
      </c>
      <c r="MA14" s="45">
        <v>43802</v>
      </c>
      <c r="MB14" s="45">
        <v>43803</v>
      </c>
      <c r="MC14" s="45">
        <v>43804</v>
      </c>
      <c r="MD14" s="45">
        <v>43805</v>
      </c>
      <c r="ME14" s="45">
        <v>43806</v>
      </c>
      <c r="MF14" s="45">
        <v>43807</v>
      </c>
      <c r="MG14" s="45">
        <v>43808</v>
      </c>
      <c r="MH14" s="45">
        <v>43809</v>
      </c>
      <c r="MI14" s="45">
        <v>43810</v>
      </c>
      <c r="MJ14" s="45">
        <v>43811</v>
      </c>
      <c r="MK14" s="45">
        <v>43812</v>
      </c>
      <c r="ML14" s="45">
        <v>43813</v>
      </c>
      <c r="MM14" s="45">
        <v>43814</v>
      </c>
      <c r="MN14" s="45">
        <v>43815</v>
      </c>
      <c r="MO14" s="45">
        <v>43816</v>
      </c>
      <c r="MP14" s="45">
        <v>43817</v>
      </c>
      <c r="MQ14" s="45">
        <v>43818</v>
      </c>
      <c r="MR14" s="45">
        <v>43819</v>
      </c>
      <c r="MS14" s="45">
        <v>43820</v>
      </c>
      <c r="MT14" s="45">
        <v>43821</v>
      </c>
      <c r="MU14" s="45">
        <v>43822</v>
      </c>
      <c r="MV14" s="45">
        <v>43823</v>
      </c>
      <c r="MW14" s="45">
        <v>43824</v>
      </c>
      <c r="MX14" s="45">
        <v>43825</v>
      </c>
      <c r="MY14" s="45">
        <v>43826</v>
      </c>
      <c r="MZ14" s="45">
        <v>43827</v>
      </c>
      <c r="NA14" s="45">
        <v>43828</v>
      </c>
      <c r="NB14" s="45">
        <v>43829</v>
      </c>
      <c r="NC14" s="45">
        <v>43830</v>
      </c>
      <c r="ND14" s="45">
        <v>43831</v>
      </c>
      <c r="NE14" s="45">
        <v>43832</v>
      </c>
      <c r="NF14" s="45">
        <v>43833</v>
      </c>
      <c r="NG14" s="45">
        <v>43834</v>
      </c>
      <c r="NH14" s="45">
        <v>43835</v>
      </c>
      <c r="NI14" s="45">
        <v>43836</v>
      </c>
      <c r="NJ14" s="45">
        <v>43837</v>
      </c>
      <c r="NK14" s="45">
        <v>43838</v>
      </c>
      <c r="NL14" s="45">
        <v>43839</v>
      </c>
      <c r="NM14" s="45">
        <v>43840</v>
      </c>
      <c r="NN14" s="45">
        <v>43841</v>
      </c>
      <c r="NO14" s="45">
        <v>43842</v>
      </c>
      <c r="NP14" s="45">
        <v>43843</v>
      </c>
      <c r="NQ14" s="45">
        <v>43844</v>
      </c>
      <c r="NR14" s="45">
        <v>43845</v>
      </c>
      <c r="NS14" s="45">
        <v>43846</v>
      </c>
      <c r="NT14" s="45">
        <v>43847</v>
      </c>
      <c r="NU14" s="45">
        <v>43848</v>
      </c>
      <c r="NV14" s="45">
        <v>43849</v>
      </c>
      <c r="NW14" s="45">
        <v>43850</v>
      </c>
      <c r="NX14" s="45">
        <v>43851</v>
      </c>
      <c r="NY14" s="45">
        <v>43852</v>
      </c>
      <c r="NZ14" s="45">
        <v>43853</v>
      </c>
    </row>
    <row r="15" spans="1:390" s="12" customFormat="1" ht="10.15"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 t="s">
        <v>195</v>
      </c>
      <c r="CQ15" s="11"/>
      <c r="CR15" s="11" t="s">
        <v>196</v>
      </c>
      <c r="CS15" s="11" t="s">
        <v>197</v>
      </c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 t="s">
        <v>198</v>
      </c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 t="s">
        <v>199</v>
      </c>
      <c r="EF15" s="11"/>
      <c r="EG15" s="11"/>
      <c r="EH15" s="11"/>
      <c r="EI15" s="11"/>
      <c r="EJ15" s="11"/>
      <c r="EK15" s="11"/>
      <c r="EL15" s="11"/>
      <c r="EM15" s="11"/>
      <c r="EN15" s="11"/>
      <c r="EO15" s="11" t="s">
        <v>200</v>
      </c>
      <c r="EP15" s="11" t="s">
        <v>201</v>
      </c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</row>
    <row r="16" spans="1:390" s="12" customFormat="1" ht="10.15"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</row>
    <row r="17" spans="1:390">
      <c r="A17" s="1" t="s">
        <v>202</v>
      </c>
      <c r="B17" s="1" t="s">
        <v>202</v>
      </c>
      <c r="D17" s="1" t="s">
        <v>0</v>
      </c>
      <c r="E17" s="1" t="s">
        <v>0</v>
      </c>
      <c r="F17" s="1" t="s">
        <v>2</v>
      </c>
      <c r="G17" s="1" t="s">
        <v>2</v>
      </c>
      <c r="H17" s="1" t="s">
        <v>4</v>
      </c>
      <c r="I17" s="1" t="s">
        <v>4</v>
      </c>
      <c r="M17" s="1" t="s">
        <v>0</v>
      </c>
      <c r="N17" s="1" t="s">
        <v>0</v>
      </c>
      <c r="O17" s="1" t="s">
        <v>2</v>
      </c>
      <c r="P17" s="1" t="s">
        <v>2</v>
      </c>
      <c r="Q17" s="1" t="s">
        <v>4</v>
      </c>
      <c r="V17" s="1" t="s">
        <v>0</v>
      </c>
      <c r="W17" s="1" t="s">
        <v>0</v>
      </c>
      <c r="X17" s="1" t="s">
        <v>2</v>
      </c>
      <c r="Y17" s="1" t="s">
        <v>4</v>
      </c>
      <c r="Z17" s="1" t="s">
        <v>4</v>
      </c>
      <c r="AE17" s="1" t="s">
        <v>0</v>
      </c>
      <c r="AF17" s="1" t="s">
        <v>2</v>
      </c>
      <c r="AG17" s="1" t="s">
        <v>2</v>
      </c>
      <c r="AH17" s="1" t="s">
        <v>4</v>
      </c>
      <c r="AI17" s="1" t="s">
        <v>4</v>
      </c>
      <c r="AM17" s="1" t="s">
        <v>0</v>
      </c>
      <c r="AN17" s="1" t="s">
        <v>0</v>
      </c>
      <c r="AO17" s="1" t="s">
        <v>2</v>
      </c>
      <c r="AP17" s="1" t="s">
        <v>2</v>
      </c>
      <c r="AQ17" s="1" t="s">
        <v>4</v>
      </c>
      <c r="AR17" s="1" t="s">
        <v>4</v>
      </c>
      <c r="AV17" s="1" t="s">
        <v>0</v>
      </c>
      <c r="AW17" s="1" t="s">
        <v>0</v>
      </c>
      <c r="AX17" s="1" t="s">
        <v>2</v>
      </c>
      <c r="AY17" s="1" t="s">
        <v>2</v>
      </c>
      <c r="AZ17" s="1" t="s">
        <v>4</v>
      </c>
      <c r="BE17" s="1" t="s">
        <v>0</v>
      </c>
      <c r="BF17" s="1" t="s">
        <v>0</v>
      </c>
      <c r="BG17" s="1" t="s">
        <v>2</v>
      </c>
      <c r="BH17" s="1" t="s">
        <v>4</v>
      </c>
      <c r="BI17" s="1" t="s">
        <v>4</v>
      </c>
      <c r="BN17" s="1" t="s">
        <v>0</v>
      </c>
      <c r="BO17" s="1" t="s">
        <v>2</v>
      </c>
      <c r="BP17" s="1" t="s">
        <v>2</v>
      </c>
      <c r="BQ17" s="1" t="s">
        <v>4</v>
      </c>
      <c r="BR17" s="1" t="s">
        <v>4</v>
      </c>
      <c r="BV17" s="1" t="s">
        <v>0</v>
      </c>
      <c r="BW17" s="1" t="s">
        <v>0</v>
      </c>
      <c r="BX17" s="1" t="s">
        <v>2</v>
      </c>
      <c r="BY17" s="1" t="s">
        <v>2</v>
      </c>
      <c r="BZ17" s="1" t="s">
        <v>4</v>
      </c>
      <c r="CA17" s="1" t="s">
        <v>4</v>
      </c>
      <c r="CE17" s="1" t="s">
        <v>0</v>
      </c>
      <c r="CF17" s="1" t="s">
        <v>0</v>
      </c>
      <c r="CG17" s="1" t="s">
        <v>2</v>
      </c>
      <c r="CH17" s="1" t="s">
        <v>2</v>
      </c>
      <c r="CI17" s="1" t="s">
        <v>4</v>
      </c>
      <c r="CN17" s="1" t="s">
        <v>0</v>
      </c>
      <c r="CO17" s="1" t="s">
        <v>0</v>
      </c>
      <c r="CP17" s="1" t="s">
        <v>2</v>
      </c>
      <c r="CQ17" s="1" t="s">
        <v>4</v>
      </c>
      <c r="CR17" s="1" t="s">
        <v>4</v>
      </c>
      <c r="CW17" s="1" t="s">
        <v>0</v>
      </c>
      <c r="CX17" s="1" t="s">
        <v>2</v>
      </c>
      <c r="CY17" s="1" t="s">
        <v>2</v>
      </c>
      <c r="CZ17" s="1" t="s">
        <v>4</v>
      </c>
      <c r="DA17" s="1" t="s">
        <v>4</v>
      </c>
      <c r="DE17" s="1" t="s">
        <v>0</v>
      </c>
      <c r="DF17" s="1" t="s">
        <v>0</v>
      </c>
      <c r="DG17" s="1" t="s">
        <v>2</v>
      </c>
      <c r="DH17" s="1" t="s">
        <v>2</v>
      </c>
      <c r="DI17" s="1" t="s">
        <v>4</v>
      </c>
      <c r="DJ17" s="1" t="s">
        <v>4</v>
      </c>
      <c r="DN17" s="1" t="s">
        <v>0</v>
      </c>
      <c r="DO17" s="1" t="s">
        <v>0</v>
      </c>
      <c r="DP17" s="1" t="s">
        <v>2</v>
      </c>
      <c r="DQ17" s="1" t="s">
        <v>2</v>
      </c>
      <c r="DR17" s="1" t="s">
        <v>4</v>
      </c>
      <c r="DW17" s="1" t="s">
        <v>0</v>
      </c>
      <c r="DX17" s="1" t="s">
        <v>0</v>
      </c>
      <c r="DY17" s="1" t="s">
        <v>2</v>
      </c>
      <c r="DZ17" s="1" t="s">
        <v>4</v>
      </c>
      <c r="EA17" s="1" t="s">
        <v>4</v>
      </c>
      <c r="EF17" s="1" t="s">
        <v>0</v>
      </c>
      <c r="EG17" s="1" t="s">
        <v>2</v>
      </c>
      <c r="EH17" s="1" t="s">
        <v>2</v>
      </c>
      <c r="EI17" s="1" t="s">
        <v>4</v>
      </c>
      <c r="EJ17" s="1" t="s">
        <v>4</v>
      </c>
      <c r="EN17" s="1" t="s">
        <v>0</v>
      </c>
      <c r="EO17" s="1" t="s">
        <v>0</v>
      </c>
      <c r="EP17" s="1" t="s">
        <v>2</v>
      </c>
      <c r="EQ17" s="1" t="s">
        <v>2</v>
      </c>
      <c r="ER17" s="1" t="s">
        <v>4</v>
      </c>
      <c r="ES17" s="1" t="s">
        <v>4</v>
      </c>
      <c r="EW17" s="1" t="s">
        <v>0</v>
      </c>
      <c r="EX17" s="1" t="s">
        <v>0</v>
      </c>
      <c r="EY17" s="1" t="s">
        <v>2</v>
      </c>
      <c r="EZ17" s="1" t="s">
        <v>2</v>
      </c>
      <c r="FA17" s="1" t="s">
        <v>4</v>
      </c>
      <c r="FF17" s="1" t="s">
        <v>0</v>
      </c>
      <c r="FG17" s="1" t="s">
        <v>0</v>
      </c>
      <c r="FH17" s="1" t="s">
        <v>2</v>
      </c>
      <c r="FI17" s="1" t="s">
        <v>4</v>
      </c>
      <c r="FJ17" s="1" t="s">
        <v>4</v>
      </c>
      <c r="FO17" s="1" t="s">
        <v>0</v>
      </c>
      <c r="FP17" s="1" t="s">
        <v>2</v>
      </c>
      <c r="FQ17" s="1" t="s">
        <v>2</v>
      </c>
      <c r="FR17" s="1" t="s">
        <v>4</v>
      </c>
      <c r="FS17" s="1" t="s">
        <v>4</v>
      </c>
      <c r="FW17" s="1" t="s">
        <v>0</v>
      </c>
      <c r="FX17" s="1" t="s">
        <v>0</v>
      </c>
      <c r="FY17" s="1" t="s">
        <v>2</v>
      </c>
      <c r="FZ17" s="1" t="s">
        <v>2</v>
      </c>
      <c r="GA17" s="1" t="s">
        <v>4</v>
      </c>
      <c r="GB17" s="1" t="s">
        <v>4</v>
      </c>
      <c r="GF17" s="1" t="s">
        <v>0</v>
      </c>
      <c r="GG17" s="1" t="s">
        <v>0</v>
      </c>
      <c r="GH17" s="1" t="s">
        <v>2</v>
      </c>
      <c r="GI17" s="1" t="s">
        <v>2</v>
      </c>
      <c r="GJ17" s="1" t="s">
        <v>4</v>
      </c>
      <c r="GO17" s="1" t="s">
        <v>0</v>
      </c>
      <c r="GP17" s="1" t="s">
        <v>0</v>
      </c>
      <c r="GQ17" s="1" t="s">
        <v>2</v>
      </c>
      <c r="GR17" s="1" t="s">
        <v>4</v>
      </c>
      <c r="GS17" s="1" t="s">
        <v>4</v>
      </c>
      <c r="GX17" s="1" t="s">
        <v>0</v>
      </c>
      <c r="GY17" s="1" t="s">
        <v>2</v>
      </c>
      <c r="GZ17" s="1" t="s">
        <v>2</v>
      </c>
      <c r="HA17" s="1" t="s">
        <v>4</v>
      </c>
      <c r="HB17" s="1" t="s">
        <v>4</v>
      </c>
      <c r="HF17" s="1" t="s">
        <v>0</v>
      </c>
      <c r="HG17" s="1" t="s">
        <v>0</v>
      </c>
      <c r="HH17" s="1" t="s">
        <v>2</v>
      </c>
      <c r="HI17" s="1" t="s">
        <v>2</v>
      </c>
      <c r="HJ17" s="1" t="s">
        <v>4</v>
      </c>
      <c r="HK17" s="1" t="s">
        <v>4</v>
      </c>
      <c r="HO17" s="1" t="s">
        <v>0</v>
      </c>
      <c r="HP17" s="1" t="s">
        <v>0</v>
      </c>
      <c r="HQ17" s="1" t="s">
        <v>2</v>
      </c>
      <c r="HR17" s="1" t="s">
        <v>2</v>
      </c>
      <c r="HS17" s="1" t="s">
        <v>4</v>
      </c>
      <c r="HX17" s="1" t="s">
        <v>0</v>
      </c>
      <c r="HY17" s="1" t="s">
        <v>0</v>
      </c>
      <c r="HZ17" s="1" t="s">
        <v>2</v>
      </c>
      <c r="IA17" s="1" t="s">
        <v>4</v>
      </c>
      <c r="IB17" s="1" t="s">
        <v>4</v>
      </c>
      <c r="IG17" s="1" t="s">
        <v>0</v>
      </c>
      <c r="IH17" s="1" t="s">
        <v>2</v>
      </c>
      <c r="II17" s="1" t="s">
        <v>2</v>
      </c>
      <c r="IJ17" s="1" t="s">
        <v>4</v>
      </c>
      <c r="IK17" s="1" t="s">
        <v>4</v>
      </c>
      <c r="IO17" s="1" t="s">
        <v>0</v>
      </c>
      <c r="IP17" s="1" t="s">
        <v>0</v>
      </c>
      <c r="IQ17" s="1" t="s">
        <v>2</v>
      </c>
      <c r="IR17" s="1" t="s">
        <v>2</v>
      </c>
      <c r="IS17" s="1" t="s">
        <v>4</v>
      </c>
      <c r="IT17" s="1" t="s">
        <v>4</v>
      </c>
      <c r="IX17" s="1" t="s">
        <v>0</v>
      </c>
      <c r="IY17" s="1" t="s">
        <v>0</v>
      </c>
      <c r="IZ17" s="1" t="s">
        <v>2</v>
      </c>
      <c r="JA17" s="1" t="s">
        <v>2</v>
      </c>
      <c r="JB17" s="1" t="s">
        <v>4</v>
      </c>
      <c r="JG17" s="1" t="s">
        <v>0</v>
      </c>
      <c r="JH17" s="1" t="s">
        <v>0</v>
      </c>
      <c r="JI17" s="1" t="s">
        <v>2</v>
      </c>
      <c r="JJ17" s="1" t="s">
        <v>4</v>
      </c>
      <c r="JK17" s="1" t="s">
        <v>4</v>
      </c>
      <c r="JP17" s="1" t="s">
        <v>0</v>
      </c>
      <c r="JQ17" s="1" t="s">
        <v>2</v>
      </c>
      <c r="JR17" s="1" t="s">
        <v>2</v>
      </c>
      <c r="JS17" s="1" t="s">
        <v>4</v>
      </c>
      <c r="JT17" s="1" t="s">
        <v>4</v>
      </c>
      <c r="JX17" s="1" t="s">
        <v>0</v>
      </c>
      <c r="JY17" s="1" t="s">
        <v>0</v>
      </c>
      <c r="JZ17" s="1" t="s">
        <v>2</v>
      </c>
      <c r="KA17" s="1" t="s">
        <v>2</v>
      </c>
      <c r="KB17" s="1" t="s">
        <v>4</v>
      </c>
      <c r="KC17" s="1" t="s">
        <v>4</v>
      </c>
      <c r="KG17" s="1" t="s">
        <v>0</v>
      </c>
      <c r="KH17" s="1" t="s">
        <v>0</v>
      </c>
      <c r="KI17" s="1" t="s">
        <v>2</v>
      </c>
      <c r="KJ17" s="1" t="s">
        <v>2</v>
      </c>
      <c r="KK17" s="1" t="s">
        <v>4</v>
      </c>
      <c r="KP17" s="1" t="s">
        <v>0</v>
      </c>
      <c r="KQ17" s="1" t="s">
        <v>0</v>
      </c>
      <c r="KR17" s="1" t="s">
        <v>2</v>
      </c>
      <c r="KS17" s="1" t="s">
        <v>4</v>
      </c>
      <c r="KT17" s="1" t="s">
        <v>4</v>
      </c>
      <c r="KY17" s="1" t="s">
        <v>0</v>
      </c>
      <c r="KZ17" s="1" t="s">
        <v>2</v>
      </c>
      <c r="LA17" s="1" t="s">
        <v>2</v>
      </c>
      <c r="LB17" s="1" t="s">
        <v>4</v>
      </c>
      <c r="LC17" s="1" t="s">
        <v>4</v>
      </c>
      <c r="LG17" s="1" t="s">
        <v>0</v>
      </c>
      <c r="LH17" s="1" t="s">
        <v>0</v>
      </c>
      <c r="LI17" s="1" t="s">
        <v>2</v>
      </c>
      <c r="LJ17" s="1" t="s">
        <v>2</v>
      </c>
      <c r="LK17" s="1" t="s">
        <v>4</v>
      </c>
      <c r="LL17" s="1" t="s">
        <v>4</v>
      </c>
      <c r="LP17" s="1" t="s">
        <v>0</v>
      </c>
      <c r="LQ17" s="1" t="s">
        <v>0</v>
      </c>
      <c r="LR17" s="1" t="s">
        <v>2</v>
      </c>
      <c r="LS17" s="1" t="s">
        <v>2</v>
      </c>
      <c r="LT17" s="1" t="s">
        <v>4</v>
      </c>
      <c r="LY17" s="1" t="s">
        <v>0</v>
      </c>
      <c r="LZ17" s="1" t="s">
        <v>0</v>
      </c>
      <c r="MA17" s="1" t="s">
        <v>2</v>
      </c>
      <c r="MB17" s="1" t="s">
        <v>4</v>
      </c>
      <c r="MC17" s="1" t="s">
        <v>4</v>
      </c>
      <c r="MH17" s="1" t="s">
        <v>0</v>
      </c>
      <c r="MI17" s="1" t="s">
        <v>2</v>
      </c>
      <c r="MJ17" s="1" t="s">
        <v>2</v>
      </c>
      <c r="MK17" s="1" t="s">
        <v>4</v>
      </c>
      <c r="ML17" s="1" t="s">
        <v>4</v>
      </c>
      <c r="MP17" s="1" t="s">
        <v>0</v>
      </c>
      <c r="MQ17" s="1" t="s">
        <v>0</v>
      </c>
      <c r="MR17" s="1" t="s">
        <v>2</v>
      </c>
      <c r="MS17" s="1" t="s">
        <v>2</v>
      </c>
      <c r="MT17" s="1" t="s">
        <v>4</v>
      </c>
      <c r="MU17" s="1" t="s">
        <v>4</v>
      </c>
      <c r="MY17" s="1" t="s">
        <v>0</v>
      </c>
      <c r="MZ17" s="1" t="s">
        <v>0</v>
      </c>
      <c r="NA17" s="1" t="s">
        <v>2</v>
      </c>
      <c r="NB17" s="1" t="s">
        <v>2</v>
      </c>
      <c r="NC17" s="1" t="s">
        <v>4</v>
      </c>
      <c r="NH17" s="1" t="s">
        <v>0</v>
      </c>
      <c r="NI17" s="1" t="s">
        <v>0</v>
      </c>
      <c r="NJ17" s="1" t="s">
        <v>2</v>
      </c>
      <c r="NK17" s="1" t="s">
        <v>4</v>
      </c>
      <c r="NL17" s="1" t="s">
        <v>4</v>
      </c>
      <c r="NQ17" s="1" t="s">
        <v>0</v>
      </c>
      <c r="NR17" s="1" t="s">
        <v>2</v>
      </c>
      <c r="NS17" s="1" t="s">
        <v>2</v>
      </c>
      <c r="NT17" s="1" t="s">
        <v>4</v>
      </c>
      <c r="NU17" s="1" t="s">
        <v>4</v>
      </c>
    </row>
    <row r="20" spans="1:390">
      <c r="A20" s="1" t="s">
        <v>79</v>
      </c>
      <c r="B20" s="1" t="s">
        <v>79</v>
      </c>
      <c r="C20" s="1" t="s">
        <v>4</v>
      </c>
      <c r="H20" s="1" t="s">
        <v>0</v>
      </c>
      <c r="I20" s="1" t="s">
        <v>0</v>
      </c>
      <c r="J20" s="1" t="s">
        <v>2</v>
      </c>
      <c r="K20" s="1" t="s">
        <v>4</v>
      </c>
      <c r="L20" s="1" t="s">
        <v>4</v>
      </c>
      <c r="Q20" s="1" t="s">
        <v>0</v>
      </c>
      <c r="R20" s="1" t="s">
        <v>2</v>
      </c>
      <c r="S20" s="1" t="s">
        <v>2</v>
      </c>
      <c r="T20" s="1" t="s">
        <v>4</v>
      </c>
      <c r="U20" s="1" t="s">
        <v>4</v>
      </c>
      <c r="Y20" s="1" t="s">
        <v>0</v>
      </c>
      <c r="Z20" s="1" t="s">
        <v>0</v>
      </c>
      <c r="AA20" s="1" t="s">
        <v>2</v>
      </c>
      <c r="AB20" s="1" t="s">
        <v>2</v>
      </c>
      <c r="AC20" s="1" t="s">
        <v>4</v>
      </c>
      <c r="AD20" s="1" t="s">
        <v>4</v>
      </c>
      <c r="AH20" s="1" t="s">
        <v>0</v>
      </c>
      <c r="AI20" s="1" t="s">
        <v>0</v>
      </c>
      <c r="AJ20" s="1" t="s">
        <v>2</v>
      </c>
      <c r="AK20" s="1" t="s">
        <v>2</v>
      </c>
      <c r="AL20" s="1" t="s">
        <v>4</v>
      </c>
      <c r="AQ20" s="1" t="s">
        <v>0</v>
      </c>
      <c r="AR20" s="1" t="s">
        <v>0</v>
      </c>
      <c r="AS20" s="1" t="s">
        <v>2</v>
      </c>
      <c r="AT20" s="1" t="s">
        <v>4</v>
      </c>
      <c r="AU20" s="1" t="s">
        <v>4</v>
      </c>
      <c r="AZ20" s="1" t="s">
        <v>0</v>
      </c>
      <c r="BA20" s="1" t="s">
        <v>2</v>
      </c>
      <c r="BB20" s="1" t="s">
        <v>2</v>
      </c>
      <c r="BC20" s="1" t="s">
        <v>4</v>
      </c>
      <c r="BD20" s="1" t="s">
        <v>4</v>
      </c>
      <c r="BH20" s="1" t="s">
        <v>0</v>
      </c>
      <c r="BI20" s="1" t="s">
        <v>0</v>
      </c>
      <c r="BJ20" s="1" t="s">
        <v>2</v>
      </c>
      <c r="BK20" s="1" t="s">
        <v>2</v>
      </c>
      <c r="BL20" s="1" t="s">
        <v>4</v>
      </c>
      <c r="BM20" s="1" t="s">
        <v>4</v>
      </c>
      <c r="BQ20" s="1" t="s">
        <v>0</v>
      </c>
      <c r="BR20" s="1" t="s">
        <v>0</v>
      </c>
      <c r="BS20" s="1" t="s">
        <v>2</v>
      </c>
      <c r="BT20" s="1" t="s">
        <v>2</v>
      </c>
      <c r="BU20" s="1" t="s">
        <v>4</v>
      </c>
      <c r="BZ20" s="1" t="s">
        <v>0</v>
      </c>
      <c r="CA20" s="1" t="s">
        <v>0</v>
      </c>
      <c r="CB20" s="1" t="s">
        <v>2</v>
      </c>
      <c r="CC20" s="1" t="s">
        <v>4</v>
      </c>
      <c r="CD20" s="1" t="s">
        <v>4</v>
      </c>
      <c r="CI20" s="1" t="s">
        <v>0</v>
      </c>
      <c r="CJ20" s="1" t="s">
        <v>2</v>
      </c>
      <c r="CK20" s="1" t="s">
        <v>2</v>
      </c>
      <c r="CL20" s="1" t="s">
        <v>4</v>
      </c>
      <c r="CM20" s="1" t="s">
        <v>4</v>
      </c>
      <c r="CQ20" s="1" t="s">
        <v>0</v>
      </c>
      <c r="CR20" s="1" t="s">
        <v>0</v>
      </c>
      <c r="CS20" s="1" t="s">
        <v>2</v>
      </c>
      <c r="CT20" s="1" t="s">
        <v>2</v>
      </c>
      <c r="CU20" s="1" t="s">
        <v>4</v>
      </c>
      <c r="CV20" s="1" t="s">
        <v>4</v>
      </c>
      <c r="CZ20" s="1" t="s">
        <v>0</v>
      </c>
      <c r="DA20" s="1" t="s">
        <v>0</v>
      </c>
      <c r="DB20" s="1" t="s">
        <v>2</v>
      </c>
      <c r="DC20" s="1" t="s">
        <v>2</v>
      </c>
      <c r="DD20" s="1" t="s">
        <v>4</v>
      </c>
      <c r="DI20" s="1" t="s">
        <v>0</v>
      </c>
      <c r="DJ20" s="1" t="s">
        <v>0</v>
      </c>
      <c r="DK20" s="1" t="s">
        <v>2</v>
      </c>
      <c r="DL20" s="1" t="s">
        <v>4</v>
      </c>
      <c r="DM20" s="1" t="s">
        <v>4</v>
      </c>
      <c r="DR20" s="1" t="s">
        <v>0</v>
      </c>
      <c r="DS20" s="1" t="s">
        <v>2</v>
      </c>
      <c r="DT20" s="1" t="s">
        <v>2</v>
      </c>
      <c r="DU20" s="1" t="s">
        <v>4</v>
      </c>
      <c r="DV20" s="1" t="s">
        <v>4</v>
      </c>
      <c r="DZ20" s="1" t="s">
        <v>0</v>
      </c>
      <c r="EA20" s="1" t="s">
        <v>0</v>
      </c>
      <c r="EB20" s="1" t="s">
        <v>2</v>
      </c>
      <c r="EC20" s="1" t="s">
        <v>2</v>
      </c>
      <c r="ED20" s="1" t="s">
        <v>4</v>
      </c>
      <c r="EE20" s="1" t="s">
        <v>4</v>
      </c>
      <c r="EI20" s="1" t="s">
        <v>0</v>
      </c>
      <c r="EJ20" s="1" t="s">
        <v>0</v>
      </c>
      <c r="EK20" s="1" t="s">
        <v>2</v>
      </c>
      <c r="EL20" s="1" t="s">
        <v>2</v>
      </c>
      <c r="EM20" s="1" t="s">
        <v>4</v>
      </c>
      <c r="ER20" s="1" t="s">
        <v>0</v>
      </c>
      <c r="ES20" s="1" t="s">
        <v>0</v>
      </c>
      <c r="ET20" s="1" t="s">
        <v>2</v>
      </c>
      <c r="EU20" s="1" t="s">
        <v>4</v>
      </c>
      <c r="EV20" s="1" t="s">
        <v>4</v>
      </c>
      <c r="FA20" s="1" t="s">
        <v>0</v>
      </c>
      <c r="FB20" s="1" t="s">
        <v>2</v>
      </c>
      <c r="FC20" s="1" t="s">
        <v>2</v>
      </c>
      <c r="FD20" s="1" t="s">
        <v>4</v>
      </c>
      <c r="FE20" s="1" t="s">
        <v>4</v>
      </c>
      <c r="FI20" s="1" t="s">
        <v>0</v>
      </c>
      <c r="FJ20" s="1" t="s">
        <v>0</v>
      </c>
      <c r="FK20" s="1" t="s">
        <v>2</v>
      </c>
      <c r="FL20" s="1" t="s">
        <v>2</v>
      </c>
      <c r="FM20" s="1" t="s">
        <v>4</v>
      </c>
      <c r="FN20" s="1" t="s">
        <v>4</v>
      </c>
      <c r="FR20" s="1" t="s">
        <v>0</v>
      </c>
      <c r="FS20" s="1" t="s">
        <v>0</v>
      </c>
      <c r="FT20" s="1" t="s">
        <v>2</v>
      </c>
      <c r="FU20" s="1" t="s">
        <v>2</v>
      </c>
      <c r="FV20" s="1" t="s">
        <v>4</v>
      </c>
      <c r="GA20" s="1" t="s">
        <v>0</v>
      </c>
      <c r="GB20" s="1" t="s">
        <v>0</v>
      </c>
      <c r="GC20" s="1" t="s">
        <v>2</v>
      </c>
      <c r="GD20" s="1" t="s">
        <v>4</v>
      </c>
      <c r="GE20" s="1" t="s">
        <v>4</v>
      </c>
      <c r="GJ20" s="1" t="s">
        <v>0</v>
      </c>
      <c r="GK20" s="1" t="s">
        <v>2</v>
      </c>
      <c r="GL20" s="1" t="s">
        <v>2</v>
      </c>
      <c r="GM20" s="1" t="s">
        <v>4</v>
      </c>
      <c r="GN20" s="1" t="s">
        <v>4</v>
      </c>
      <c r="GR20" s="1" t="s">
        <v>0</v>
      </c>
      <c r="GS20" s="1" t="s">
        <v>0</v>
      </c>
      <c r="GT20" s="1" t="s">
        <v>2</v>
      </c>
      <c r="GU20" s="1" t="s">
        <v>2</v>
      </c>
      <c r="GV20" s="1" t="s">
        <v>4</v>
      </c>
      <c r="GW20" s="1" t="s">
        <v>4</v>
      </c>
      <c r="HA20" s="1" t="s">
        <v>0</v>
      </c>
      <c r="HB20" s="1" t="s">
        <v>0</v>
      </c>
      <c r="HC20" s="1" t="s">
        <v>2</v>
      </c>
      <c r="HD20" s="1" t="s">
        <v>2</v>
      </c>
      <c r="HE20" s="1" t="s">
        <v>4</v>
      </c>
      <c r="HJ20" s="1" t="s">
        <v>0</v>
      </c>
      <c r="HK20" s="1" t="s">
        <v>0</v>
      </c>
      <c r="HL20" s="1" t="s">
        <v>2</v>
      </c>
      <c r="HM20" s="1" t="s">
        <v>4</v>
      </c>
      <c r="HN20" s="1" t="s">
        <v>4</v>
      </c>
      <c r="HS20" s="1" t="s">
        <v>0</v>
      </c>
      <c r="HT20" s="1" t="s">
        <v>2</v>
      </c>
      <c r="HU20" s="1" t="s">
        <v>2</v>
      </c>
      <c r="HV20" s="1" t="s">
        <v>4</v>
      </c>
      <c r="HW20" s="1" t="s">
        <v>4</v>
      </c>
      <c r="IA20" s="1" t="s">
        <v>0</v>
      </c>
      <c r="IB20" s="1" t="s">
        <v>0</v>
      </c>
      <c r="IC20" s="1" t="s">
        <v>2</v>
      </c>
      <c r="ID20" s="1" t="s">
        <v>2</v>
      </c>
      <c r="IE20" s="1" t="s">
        <v>4</v>
      </c>
      <c r="IF20" s="1" t="s">
        <v>4</v>
      </c>
      <c r="IJ20" s="1" t="s">
        <v>0</v>
      </c>
      <c r="IK20" s="1" t="s">
        <v>0</v>
      </c>
      <c r="IL20" s="1" t="s">
        <v>2</v>
      </c>
      <c r="IM20" s="1" t="s">
        <v>2</v>
      </c>
      <c r="IN20" s="1" t="s">
        <v>4</v>
      </c>
      <c r="IS20" s="1" t="s">
        <v>0</v>
      </c>
      <c r="IT20" s="1" t="s">
        <v>0</v>
      </c>
      <c r="IU20" s="1" t="s">
        <v>2</v>
      </c>
      <c r="IV20" s="1" t="s">
        <v>4</v>
      </c>
      <c r="IW20" s="1" t="s">
        <v>4</v>
      </c>
      <c r="JB20" s="1" t="s">
        <v>0</v>
      </c>
      <c r="JC20" s="1" t="s">
        <v>2</v>
      </c>
      <c r="JD20" s="1" t="s">
        <v>2</v>
      </c>
      <c r="JE20" s="1" t="s">
        <v>4</v>
      </c>
      <c r="JF20" s="1" t="s">
        <v>4</v>
      </c>
      <c r="JJ20" s="1" t="s">
        <v>0</v>
      </c>
      <c r="JK20" s="1" t="s">
        <v>0</v>
      </c>
      <c r="JL20" s="1" t="s">
        <v>2</v>
      </c>
      <c r="JM20" s="1" t="s">
        <v>2</v>
      </c>
      <c r="JN20" s="1" t="s">
        <v>4</v>
      </c>
      <c r="JO20" s="1" t="s">
        <v>4</v>
      </c>
      <c r="JS20" s="1" t="s">
        <v>0</v>
      </c>
      <c r="JT20" s="1" t="s">
        <v>0</v>
      </c>
      <c r="JU20" s="1" t="s">
        <v>2</v>
      </c>
      <c r="JV20" s="1" t="s">
        <v>2</v>
      </c>
      <c r="JW20" s="1" t="s">
        <v>4</v>
      </c>
      <c r="KB20" s="1" t="s">
        <v>0</v>
      </c>
      <c r="KC20" s="1" t="s">
        <v>0</v>
      </c>
      <c r="KD20" s="1" t="s">
        <v>2</v>
      </c>
      <c r="KE20" s="1" t="s">
        <v>4</v>
      </c>
      <c r="KF20" s="1" t="s">
        <v>4</v>
      </c>
      <c r="KK20" s="1" t="s">
        <v>0</v>
      </c>
      <c r="KL20" s="1" t="s">
        <v>2</v>
      </c>
      <c r="KM20" s="1" t="s">
        <v>2</v>
      </c>
      <c r="KN20" s="1" t="s">
        <v>4</v>
      </c>
      <c r="KO20" s="1" t="s">
        <v>4</v>
      </c>
      <c r="KS20" s="1" t="s">
        <v>0</v>
      </c>
      <c r="KT20" s="1" t="s">
        <v>0</v>
      </c>
      <c r="KU20" s="1" t="s">
        <v>2</v>
      </c>
      <c r="KV20" s="1" t="s">
        <v>2</v>
      </c>
      <c r="KW20" s="1" t="s">
        <v>4</v>
      </c>
      <c r="KX20" s="1" t="s">
        <v>4</v>
      </c>
      <c r="LB20" s="1" t="s">
        <v>0</v>
      </c>
      <c r="LC20" s="1" t="s">
        <v>0</v>
      </c>
      <c r="LD20" s="1" t="s">
        <v>2</v>
      </c>
      <c r="LE20" s="1" t="s">
        <v>2</v>
      </c>
      <c r="LF20" s="1" t="s">
        <v>4</v>
      </c>
      <c r="LK20" s="1" t="s">
        <v>0</v>
      </c>
      <c r="LL20" s="1" t="s">
        <v>0</v>
      </c>
      <c r="LM20" s="1" t="s">
        <v>2</v>
      </c>
      <c r="LN20" s="1" t="s">
        <v>4</v>
      </c>
      <c r="LO20" s="1" t="s">
        <v>4</v>
      </c>
      <c r="LT20" s="1" t="s">
        <v>0</v>
      </c>
      <c r="LU20" s="1" t="s">
        <v>2</v>
      </c>
      <c r="LV20" s="1" t="s">
        <v>2</v>
      </c>
      <c r="LW20" s="1" t="s">
        <v>4</v>
      </c>
      <c r="LX20" s="1" t="s">
        <v>4</v>
      </c>
      <c r="MB20" s="1" t="s">
        <v>0</v>
      </c>
      <c r="MC20" s="1" t="s">
        <v>0</v>
      </c>
      <c r="MD20" s="1" t="s">
        <v>2</v>
      </c>
      <c r="ME20" s="1" t="s">
        <v>2</v>
      </c>
      <c r="MF20" s="1" t="s">
        <v>4</v>
      </c>
      <c r="MG20" s="1" t="s">
        <v>4</v>
      </c>
      <c r="MK20" s="1" t="s">
        <v>0</v>
      </c>
      <c r="ML20" s="1" t="s">
        <v>0</v>
      </c>
      <c r="MM20" s="1" t="s">
        <v>2</v>
      </c>
      <c r="MN20" s="1" t="s">
        <v>2</v>
      </c>
      <c r="MO20" s="1" t="s">
        <v>4</v>
      </c>
      <c r="MT20" s="1" t="s">
        <v>0</v>
      </c>
      <c r="MU20" s="1" t="s">
        <v>0</v>
      </c>
      <c r="MV20" s="1" t="s">
        <v>2</v>
      </c>
      <c r="MW20" s="1" t="s">
        <v>4</v>
      </c>
      <c r="MX20" s="1" t="s">
        <v>4</v>
      </c>
      <c r="NC20" s="1" t="s">
        <v>0</v>
      </c>
      <c r="ND20" s="1" t="s">
        <v>2</v>
      </c>
      <c r="NE20" s="1" t="s">
        <v>2</v>
      </c>
      <c r="NF20" s="1" t="s">
        <v>4</v>
      </c>
      <c r="NG20" s="1" t="s">
        <v>4</v>
      </c>
      <c r="NK20" s="1" t="s">
        <v>0</v>
      </c>
      <c r="NL20" s="1" t="s">
        <v>0</v>
      </c>
      <c r="NM20" s="1" t="s">
        <v>2</v>
      </c>
      <c r="NN20" s="1" t="s">
        <v>2</v>
      </c>
      <c r="NO20" s="1" t="s">
        <v>4</v>
      </c>
      <c r="NP20" s="1" t="s">
        <v>4</v>
      </c>
      <c r="NT20" s="1" t="s">
        <v>0</v>
      </c>
      <c r="NU20" s="1" t="s">
        <v>0</v>
      </c>
      <c r="NV20" s="1" t="s">
        <v>2</v>
      </c>
      <c r="NW20" s="1" t="s">
        <v>2</v>
      </c>
      <c r="NX20" s="1" t="s">
        <v>4</v>
      </c>
    </row>
    <row r="22" spans="1:390">
      <c r="A22" s="1" t="s">
        <v>77</v>
      </c>
      <c r="B22" s="1" t="s">
        <v>77</v>
      </c>
      <c r="F22" s="1" t="s">
        <v>0</v>
      </c>
      <c r="G22" s="1" t="s">
        <v>0</v>
      </c>
      <c r="H22" s="1" t="s">
        <v>2</v>
      </c>
      <c r="I22" s="1" t="s">
        <v>2</v>
      </c>
      <c r="J22" s="1" t="s">
        <v>4</v>
      </c>
      <c r="O22" s="1" t="s">
        <v>0</v>
      </c>
      <c r="P22" s="1" t="s">
        <v>0</v>
      </c>
      <c r="Q22" s="1" t="s">
        <v>2</v>
      </c>
      <c r="R22" s="1" t="s">
        <v>4</v>
      </c>
      <c r="S22" s="1" t="s">
        <v>4</v>
      </c>
      <c r="X22" s="1" t="s">
        <v>0</v>
      </c>
      <c r="Y22" s="1" t="s">
        <v>2</v>
      </c>
      <c r="Z22" s="1" t="s">
        <v>2</v>
      </c>
      <c r="AA22" s="1" t="s">
        <v>4</v>
      </c>
      <c r="AB22" s="1" t="s">
        <v>4</v>
      </c>
      <c r="AF22" s="1" t="s">
        <v>0</v>
      </c>
      <c r="AG22" s="1" t="s">
        <v>0</v>
      </c>
      <c r="AH22" s="1" t="s">
        <v>2</v>
      </c>
      <c r="AI22" s="1" t="s">
        <v>2</v>
      </c>
      <c r="AJ22" s="1" t="s">
        <v>4</v>
      </c>
      <c r="AK22" s="1" t="s">
        <v>4</v>
      </c>
      <c r="AO22" s="1" t="s">
        <v>0</v>
      </c>
      <c r="AP22" s="1" t="s">
        <v>0</v>
      </c>
      <c r="AQ22" s="1" t="s">
        <v>2</v>
      </c>
      <c r="AR22" s="1" t="s">
        <v>2</v>
      </c>
      <c r="AS22" s="1" t="s">
        <v>4</v>
      </c>
      <c r="AX22" s="1" t="s">
        <v>0</v>
      </c>
      <c r="AY22" s="1" t="s">
        <v>0</v>
      </c>
      <c r="AZ22" s="1" t="s">
        <v>2</v>
      </c>
      <c r="BA22" s="1" t="s">
        <v>4</v>
      </c>
      <c r="BB22" s="1" t="s">
        <v>4</v>
      </c>
      <c r="BG22" s="1" t="s">
        <v>0</v>
      </c>
      <c r="BH22" s="1" t="s">
        <v>2</v>
      </c>
      <c r="BI22" s="1" t="s">
        <v>2</v>
      </c>
      <c r="BJ22" s="1" t="s">
        <v>4</v>
      </c>
      <c r="BK22" s="1" t="s">
        <v>4</v>
      </c>
      <c r="BO22" s="1" t="s">
        <v>0</v>
      </c>
      <c r="BP22" s="1" t="s">
        <v>0</v>
      </c>
      <c r="BQ22" s="1" t="s">
        <v>2</v>
      </c>
      <c r="BR22" s="1" t="s">
        <v>2</v>
      </c>
      <c r="BS22" s="1" t="s">
        <v>4</v>
      </c>
      <c r="BT22" s="1" t="s">
        <v>4</v>
      </c>
      <c r="BX22" s="1" t="s">
        <v>0</v>
      </c>
      <c r="BY22" s="1" t="s">
        <v>0</v>
      </c>
      <c r="BZ22" s="1" t="s">
        <v>2</v>
      </c>
      <c r="CA22" s="1" t="s">
        <v>2</v>
      </c>
      <c r="CB22" s="1" t="s">
        <v>4</v>
      </c>
      <c r="CG22" s="1" t="s">
        <v>0</v>
      </c>
      <c r="CH22" s="1" t="s">
        <v>0</v>
      </c>
      <c r="CI22" s="1" t="s">
        <v>2</v>
      </c>
      <c r="CJ22" s="1" t="s">
        <v>4</v>
      </c>
      <c r="CK22" s="1" t="s">
        <v>4</v>
      </c>
      <c r="CP22" s="1" t="s">
        <v>0</v>
      </c>
      <c r="CQ22" s="1" t="s">
        <v>2</v>
      </c>
      <c r="CR22" s="1" t="s">
        <v>2</v>
      </c>
      <c r="CS22" s="1" t="s">
        <v>4</v>
      </c>
      <c r="CT22" s="1" t="s">
        <v>4</v>
      </c>
      <c r="CX22" s="1" t="s">
        <v>0</v>
      </c>
      <c r="CY22" s="1" t="s">
        <v>0</v>
      </c>
      <c r="CZ22" s="1" t="s">
        <v>2</v>
      </c>
      <c r="DA22" s="1" t="s">
        <v>2</v>
      </c>
      <c r="DB22" s="1" t="s">
        <v>4</v>
      </c>
      <c r="DC22" s="1" t="s">
        <v>4</v>
      </c>
      <c r="DG22" s="1" t="s">
        <v>0</v>
      </c>
      <c r="DH22" s="1" t="s">
        <v>0</v>
      </c>
      <c r="DI22" s="1" t="s">
        <v>2</v>
      </c>
      <c r="DJ22" s="1" t="s">
        <v>2</v>
      </c>
      <c r="DK22" s="1" t="s">
        <v>4</v>
      </c>
      <c r="DP22" s="1" t="s">
        <v>0</v>
      </c>
      <c r="DQ22" s="1" t="s">
        <v>0</v>
      </c>
      <c r="DR22" s="1" t="s">
        <v>2</v>
      </c>
      <c r="DS22" s="1" t="s">
        <v>4</v>
      </c>
      <c r="DT22" s="1" t="s">
        <v>4</v>
      </c>
      <c r="DY22" s="1" t="s">
        <v>0</v>
      </c>
      <c r="DZ22" s="1" t="s">
        <v>2</v>
      </c>
      <c r="EA22" s="1" t="s">
        <v>2</v>
      </c>
      <c r="EB22" s="1" t="s">
        <v>4</v>
      </c>
      <c r="EC22" s="1" t="s">
        <v>4</v>
      </c>
      <c r="EG22" s="1" t="s">
        <v>0</v>
      </c>
      <c r="EH22" s="1" t="s">
        <v>0</v>
      </c>
      <c r="EI22" s="1" t="s">
        <v>2</v>
      </c>
      <c r="EJ22" s="1" t="s">
        <v>2</v>
      </c>
      <c r="EK22" s="1" t="s">
        <v>4</v>
      </c>
      <c r="EL22" s="1" t="s">
        <v>4</v>
      </c>
      <c r="EP22" s="1" t="s">
        <v>0</v>
      </c>
      <c r="EQ22" s="1" t="s">
        <v>0</v>
      </c>
      <c r="ER22" s="1" t="s">
        <v>2</v>
      </c>
      <c r="ES22" s="1" t="s">
        <v>2</v>
      </c>
      <c r="ET22" s="1" t="s">
        <v>4</v>
      </c>
      <c r="EY22" s="1" t="s">
        <v>0</v>
      </c>
      <c r="EZ22" s="1" t="s">
        <v>0</v>
      </c>
      <c r="FA22" s="1" t="s">
        <v>2</v>
      </c>
      <c r="FB22" s="1" t="s">
        <v>4</v>
      </c>
      <c r="FC22" s="1" t="s">
        <v>4</v>
      </c>
      <c r="FH22" s="1" t="s">
        <v>0</v>
      </c>
      <c r="FI22" s="1" t="s">
        <v>2</v>
      </c>
      <c r="FJ22" s="1" t="s">
        <v>2</v>
      </c>
      <c r="FK22" s="1" t="s">
        <v>4</v>
      </c>
      <c r="FL22" s="1" t="s">
        <v>4</v>
      </c>
      <c r="FP22" s="1" t="s">
        <v>0</v>
      </c>
      <c r="FQ22" s="1" t="s">
        <v>0</v>
      </c>
      <c r="FR22" s="1" t="s">
        <v>2</v>
      </c>
      <c r="FS22" s="1" t="s">
        <v>2</v>
      </c>
      <c r="FT22" s="1" t="s">
        <v>4</v>
      </c>
      <c r="FU22" s="1" t="s">
        <v>4</v>
      </c>
      <c r="FY22" s="1" t="s">
        <v>0</v>
      </c>
      <c r="FZ22" s="1" t="s">
        <v>0</v>
      </c>
      <c r="GA22" s="1" t="s">
        <v>2</v>
      </c>
      <c r="GB22" s="1" t="s">
        <v>2</v>
      </c>
      <c r="GC22" s="1" t="s">
        <v>4</v>
      </c>
      <c r="GH22" s="1" t="s">
        <v>0</v>
      </c>
      <c r="GI22" s="1" t="s">
        <v>0</v>
      </c>
      <c r="GJ22" s="1" t="s">
        <v>2</v>
      </c>
      <c r="GK22" s="1" t="s">
        <v>4</v>
      </c>
      <c r="GL22" s="1" t="s">
        <v>4</v>
      </c>
      <c r="GQ22" s="1" t="s">
        <v>0</v>
      </c>
      <c r="GR22" s="1" t="s">
        <v>2</v>
      </c>
      <c r="GS22" s="1" t="s">
        <v>2</v>
      </c>
      <c r="GT22" s="1" t="s">
        <v>4</v>
      </c>
      <c r="GU22" s="1" t="s">
        <v>4</v>
      </c>
      <c r="GY22" s="1" t="s">
        <v>0</v>
      </c>
      <c r="GZ22" s="1" t="s">
        <v>0</v>
      </c>
      <c r="HA22" s="1" t="s">
        <v>2</v>
      </c>
      <c r="HB22" s="1" t="s">
        <v>2</v>
      </c>
      <c r="HC22" s="1" t="s">
        <v>4</v>
      </c>
      <c r="HD22" s="1" t="s">
        <v>4</v>
      </c>
      <c r="HH22" s="1" t="s">
        <v>0</v>
      </c>
      <c r="HI22" s="1" t="s">
        <v>0</v>
      </c>
      <c r="HJ22" s="1" t="s">
        <v>2</v>
      </c>
      <c r="HK22" s="1" t="s">
        <v>2</v>
      </c>
      <c r="HL22" s="1" t="s">
        <v>4</v>
      </c>
      <c r="HQ22" s="1" t="s">
        <v>0</v>
      </c>
      <c r="HR22" s="1" t="s">
        <v>0</v>
      </c>
      <c r="HS22" s="1" t="s">
        <v>2</v>
      </c>
      <c r="HT22" s="1" t="s">
        <v>4</v>
      </c>
      <c r="HU22" s="1" t="s">
        <v>4</v>
      </c>
      <c r="HZ22" s="1" t="s">
        <v>0</v>
      </c>
      <c r="IA22" s="1" t="s">
        <v>2</v>
      </c>
      <c r="IB22" s="1" t="s">
        <v>2</v>
      </c>
      <c r="IC22" s="1" t="s">
        <v>4</v>
      </c>
      <c r="ID22" s="1" t="s">
        <v>4</v>
      </c>
      <c r="IH22" s="1" t="s">
        <v>0</v>
      </c>
      <c r="II22" s="1" t="s">
        <v>0</v>
      </c>
      <c r="IJ22" s="1" t="s">
        <v>2</v>
      </c>
      <c r="IK22" s="1" t="s">
        <v>2</v>
      </c>
      <c r="IL22" s="1" t="s">
        <v>4</v>
      </c>
      <c r="IM22" s="1" t="s">
        <v>4</v>
      </c>
      <c r="IQ22" s="1" t="s">
        <v>0</v>
      </c>
      <c r="IR22" s="1" t="s">
        <v>0</v>
      </c>
      <c r="IS22" s="1" t="s">
        <v>2</v>
      </c>
      <c r="IT22" s="1" t="s">
        <v>2</v>
      </c>
      <c r="IU22" s="1" t="s">
        <v>4</v>
      </c>
      <c r="IZ22" s="1" t="s">
        <v>0</v>
      </c>
      <c r="JA22" s="1" t="s">
        <v>0</v>
      </c>
      <c r="JB22" s="1" t="s">
        <v>2</v>
      </c>
      <c r="JC22" s="1" t="s">
        <v>4</v>
      </c>
      <c r="JD22" s="1" t="s">
        <v>4</v>
      </c>
      <c r="JI22" s="1" t="s">
        <v>0</v>
      </c>
      <c r="JJ22" s="1" t="s">
        <v>2</v>
      </c>
      <c r="JK22" s="1" t="s">
        <v>2</v>
      </c>
      <c r="JL22" s="1" t="s">
        <v>4</v>
      </c>
      <c r="JM22" s="1" t="s">
        <v>4</v>
      </c>
      <c r="JQ22" s="1" t="s">
        <v>0</v>
      </c>
      <c r="JR22" s="1" t="s">
        <v>0</v>
      </c>
      <c r="JS22" s="1" t="s">
        <v>2</v>
      </c>
      <c r="JT22" s="1" t="s">
        <v>2</v>
      </c>
      <c r="JU22" s="1" t="s">
        <v>4</v>
      </c>
      <c r="JV22" s="1" t="s">
        <v>4</v>
      </c>
      <c r="JZ22" s="1" t="s">
        <v>0</v>
      </c>
      <c r="KA22" s="1" t="s">
        <v>0</v>
      </c>
      <c r="KB22" s="1" t="s">
        <v>2</v>
      </c>
      <c r="KC22" s="1" t="s">
        <v>2</v>
      </c>
      <c r="KD22" s="1" t="s">
        <v>4</v>
      </c>
      <c r="KI22" s="1" t="s">
        <v>0</v>
      </c>
      <c r="KJ22" s="1" t="s">
        <v>0</v>
      </c>
      <c r="KK22" s="1" t="s">
        <v>2</v>
      </c>
      <c r="KL22" s="1" t="s">
        <v>4</v>
      </c>
      <c r="KM22" s="1" t="s">
        <v>4</v>
      </c>
      <c r="KR22" s="1" t="s">
        <v>0</v>
      </c>
      <c r="KS22" s="1" t="s">
        <v>2</v>
      </c>
      <c r="KT22" s="1" t="s">
        <v>2</v>
      </c>
      <c r="KU22" s="1" t="s">
        <v>4</v>
      </c>
      <c r="KV22" s="1" t="s">
        <v>4</v>
      </c>
      <c r="KZ22" s="1" t="s">
        <v>0</v>
      </c>
      <c r="LA22" s="1" t="s">
        <v>0</v>
      </c>
      <c r="LB22" s="1" t="s">
        <v>2</v>
      </c>
      <c r="LC22" s="1" t="s">
        <v>2</v>
      </c>
      <c r="LD22" s="1" t="s">
        <v>4</v>
      </c>
      <c r="LE22" s="1" t="s">
        <v>4</v>
      </c>
      <c r="LI22" s="1" t="s">
        <v>0</v>
      </c>
      <c r="LJ22" s="1" t="s">
        <v>0</v>
      </c>
      <c r="LK22" s="1" t="s">
        <v>2</v>
      </c>
      <c r="LL22" s="1" t="s">
        <v>2</v>
      </c>
      <c r="LM22" s="1" t="s">
        <v>4</v>
      </c>
      <c r="LR22" s="1" t="s">
        <v>0</v>
      </c>
      <c r="LS22" s="1" t="s">
        <v>0</v>
      </c>
      <c r="LT22" s="1" t="s">
        <v>2</v>
      </c>
      <c r="LU22" s="1" t="s">
        <v>4</v>
      </c>
      <c r="LV22" s="1" t="s">
        <v>4</v>
      </c>
      <c r="MA22" s="1" t="s">
        <v>0</v>
      </c>
      <c r="MB22" s="1" t="s">
        <v>2</v>
      </c>
      <c r="MC22" s="1" t="s">
        <v>2</v>
      </c>
      <c r="MD22" s="1" t="s">
        <v>4</v>
      </c>
      <c r="ME22" s="1" t="s">
        <v>4</v>
      </c>
      <c r="MI22" s="1" t="s">
        <v>0</v>
      </c>
      <c r="MJ22" s="1" t="s">
        <v>0</v>
      </c>
      <c r="MK22" s="1" t="s">
        <v>2</v>
      </c>
      <c r="ML22" s="1" t="s">
        <v>2</v>
      </c>
      <c r="MM22" s="1" t="s">
        <v>4</v>
      </c>
      <c r="MN22" s="1" t="s">
        <v>4</v>
      </c>
      <c r="MR22" s="1" t="s">
        <v>0</v>
      </c>
      <c r="MS22" s="1" t="s">
        <v>0</v>
      </c>
      <c r="MT22" s="1" t="s">
        <v>2</v>
      </c>
      <c r="MU22" s="1" t="s">
        <v>2</v>
      </c>
      <c r="MV22" s="1" t="s">
        <v>4</v>
      </c>
      <c r="NA22" s="1" t="s">
        <v>0</v>
      </c>
      <c r="NB22" s="1" t="s">
        <v>0</v>
      </c>
      <c r="NC22" s="1" t="s">
        <v>2</v>
      </c>
      <c r="ND22" s="1" t="s">
        <v>4</v>
      </c>
      <c r="NE22" s="1" t="s">
        <v>4</v>
      </c>
      <c r="NJ22" s="1" t="s">
        <v>0</v>
      </c>
      <c r="NK22" s="1" t="s">
        <v>2</v>
      </c>
      <c r="NL22" s="1" t="s">
        <v>2</v>
      </c>
      <c r="NM22" s="1" t="s">
        <v>4</v>
      </c>
      <c r="NN22" s="1" t="s">
        <v>4</v>
      </c>
      <c r="NR22" s="1" t="s">
        <v>0</v>
      </c>
      <c r="NS22" s="1" t="s">
        <v>0</v>
      </c>
      <c r="NT22" s="1" t="s">
        <v>2</v>
      </c>
      <c r="NU22" s="1" t="s">
        <v>2</v>
      </c>
      <c r="NV22" s="1" t="s">
        <v>4</v>
      </c>
      <c r="NW22" s="1" t="s">
        <v>4</v>
      </c>
    </row>
    <row r="24" spans="1:390">
      <c r="A24" s="1" t="s">
        <v>85</v>
      </c>
      <c r="B24" s="1" t="s">
        <v>85</v>
      </c>
      <c r="C24" s="1" t="s">
        <v>2</v>
      </c>
      <c r="D24" s="1" t="s">
        <v>4</v>
      </c>
      <c r="E24" s="1" t="s">
        <v>4</v>
      </c>
      <c r="J24" s="1" t="s">
        <v>0</v>
      </c>
      <c r="K24" s="1" t="s">
        <v>2</v>
      </c>
      <c r="L24" s="1" t="s">
        <v>2</v>
      </c>
      <c r="M24" s="1" t="s">
        <v>4</v>
      </c>
      <c r="N24" s="1" t="s">
        <v>4</v>
      </c>
      <c r="R24" s="1" t="s">
        <v>0</v>
      </c>
      <c r="S24" s="1" t="s">
        <v>0</v>
      </c>
      <c r="T24" s="1" t="s">
        <v>2</v>
      </c>
      <c r="U24" s="1" t="s">
        <v>2</v>
      </c>
      <c r="V24" s="1" t="s">
        <v>4</v>
      </c>
      <c r="W24" s="1" t="s">
        <v>4</v>
      </c>
      <c r="AA24" s="1" t="s">
        <v>0</v>
      </c>
      <c r="AB24" s="1" t="s">
        <v>0</v>
      </c>
      <c r="AC24" s="1" t="s">
        <v>2</v>
      </c>
      <c r="AD24" s="1" t="s">
        <v>2</v>
      </c>
      <c r="AE24" s="1" t="s">
        <v>4</v>
      </c>
      <c r="AJ24" s="1" t="s">
        <v>0</v>
      </c>
      <c r="AK24" s="1" t="s">
        <v>0</v>
      </c>
      <c r="AL24" s="1" t="s">
        <v>2</v>
      </c>
      <c r="AM24" s="1" t="s">
        <v>4</v>
      </c>
      <c r="AN24" s="1" t="s">
        <v>4</v>
      </c>
      <c r="AS24" s="1" t="s">
        <v>0</v>
      </c>
      <c r="AT24" s="1" t="s">
        <v>2</v>
      </c>
      <c r="AU24" s="1" t="s">
        <v>2</v>
      </c>
      <c r="AV24" s="1" t="s">
        <v>4</v>
      </c>
      <c r="AW24" s="1" t="s">
        <v>4</v>
      </c>
      <c r="BA24" s="1" t="s">
        <v>0</v>
      </c>
      <c r="BB24" s="1" t="s">
        <v>0</v>
      </c>
      <c r="BC24" s="1" t="s">
        <v>2</v>
      </c>
      <c r="BD24" s="1" t="s">
        <v>2</v>
      </c>
      <c r="BE24" s="1" t="s">
        <v>4</v>
      </c>
      <c r="BF24" s="1" t="s">
        <v>4</v>
      </c>
      <c r="BJ24" s="1" t="s">
        <v>0</v>
      </c>
      <c r="BK24" s="1" t="s">
        <v>0</v>
      </c>
      <c r="BL24" s="1" t="s">
        <v>2</v>
      </c>
      <c r="BM24" s="1" t="s">
        <v>2</v>
      </c>
      <c r="BN24" s="1" t="s">
        <v>4</v>
      </c>
      <c r="BS24" s="1" t="s">
        <v>0</v>
      </c>
      <c r="BT24" s="1" t="s">
        <v>0</v>
      </c>
      <c r="BU24" s="1" t="s">
        <v>2</v>
      </c>
      <c r="BV24" s="1" t="s">
        <v>4</v>
      </c>
      <c r="BW24" s="1" t="s">
        <v>4</v>
      </c>
      <c r="CB24" s="1" t="s">
        <v>0</v>
      </c>
      <c r="CC24" s="1" t="s">
        <v>2</v>
      </c>
      <c r="CD24" s="1" t="s">
        <v>2</v>
      </c>
      <c r="CE24" s="1" t="s">
        <v>4</v>
      </c>
      <c r="CF24" s="1" t="s">
        <v>4</v>
      </c>
      <c r="CJ24" s="1" t="s">
        <v>0</v>
      </c>
      <c r="CK24" s="1" t="s">
        <v>0</v>
      </c>
      <c r="CL24" s="1" t="s">
        <v>2</v>
      </c>
      <c r="CM24" s="1" t="s">
        <v>2</v>
      </c>
      <c r="CN24" s="1" t="s">
        <v>4</v>
      </c>
      <c r="CO24" s="1" t="s">
        <v>4</v>
      </c>
      <c r="CS24" s="1" t="s">
        <v>0</v>
      </c>
      <c r="CT24" s="1" t="s">
        <v>0</v>
      </c>
      <c r="CU24" s="1" t="s">
        <v>2</v>
      </c>
      <c r="CV24" s="1" t="s">
        <v>2</v>
      </c>
      <c r="CW24" s="1" t="s">
        <v>4</v>
      </c>
      <c r="DB24" s="1" t="s">
        <v>0</v>
      </c>
      <c r="DC24" s="1" t="s">
        <v>0</v>
      </c>
      <c r="DD24" s="1" t="s">
        <v>2</v>
      </c>
      <c r="DE24" s="1" t="s">
        <v>4</v>
      </c>
      <c r="DF24" s="1" t="s">
        <v>4</v>
      </c>
      <c r="DK24" s="1" t="s">
        <v>0</v>
      </c>
      <c r="DL24" s="1" t="s">
        <v>2</v>
      </c>
      <c r="DM24" s="1" t="s">
        <v>2</v>
      </c>
      <c r="DN24" s="1" t="s">
        <v>4</v>
      </c>
      <c r="DO24" s="1" t="s">
        <v>4</v>
      </c>
      <c r="DS24" s="1" t="s">
        <v>0</v>
      </c>
      <c r="DT24" s="1" t="s">
        <v>0</v>
      </c>
      <c r="DU24" s="1" t="s">
        <v>2</v>
      </c>
      <c r="DV24" s="1" t="s">
        <v>2</v>
      </c>
      <c r="DW24" s="1" t="s">
        <v>4</v>
      </c>
      <c r="DX24" s="1" t="s">
        <v>4</v>
      </c>
      <c r="EB24" s="1" t="s">
        <v>0</v>
      </c>
      <c r="EC24" s="1" t="s">
        <v>0</v>
      </c>
      <c r="ED24" s="1" t="s">
        <v>2</v>
      </c>
      <c r="EE24" s="1" t="s">
        <v>2</v>
      </c>
      <c r="EF24" s="1" t="s">
        <v>4</v>
      </c>
      <c r="EK24" s="1" t="s">
        <v>0</v>
      </c>
      <c r="EL24" s="1" t="s">
        <v>0</v>
      </c>
      <c r="EM24" s="1" t="s">
        <v>2</v>
      </c>
      <c r="EN24" s="1" t="s">
        <v>4</v>
      </c>
      <c r="EO24" s="1" t="s">
        <v>4</v>
      </c>
      <c r="ET24" s="1" t="s">
        <v>0</v>
      </c>
      <c r="EU24" s="1" t="s">
        <v>2</v>
      </c>
      <c r="EV24" s="1" t="s">
        <v>2</v>
      </c>
      <c r="EW24" s="1" t="s">
        <v>4</v>
      </c>
      <c r="EX24" s="1" t="s">
        <v>4</v>
      </c>
      <c r="FB24" s="1" t="s">
        <v>0</v>
      </c>
      <c r="FC24" s="1" t="s">
        <v>0</v>
      </c>
      <c r="FD24" s="1" t="s">
        <v>2</v>
      </c>
      <c r="FE24" s="1" t="s">
        <v>2</v>
      </c>
      <c r="FF24" s="1" t="s">
        <v>4</v>
      </c>
      <c r="FG24" s="1" t="s">
        <v>4</v>
      </c>
      <c r="FK24" s="1" t="s">
        <v>0</v>
      </c>
      <c r="FL24" s="1" t="s">
        <v>0</v>
      </c>
      <c r="FM24" s="1" t="s">
        <v>2</v>
      </c>
      <c r="FN24" s="1" t="s">
        <v>2</v>
      </c>
      <c r="FO24" s="1" t="s">
        <v>4</v>
      </c>
      <c r="FT24" s="1" t="s">
        <v>0</v>
      </c>
      <c r="FU24" s="1" t="s">
        <v>0</v>
      </c>
      <c r="FV24" s="1" t="s">
        <v>2</v>
      </c>
      <c r="FW24" s="1" t="s">
        <v>4</v>
      </c>
      <c r="FX24" s="1" t="s">
        <v>4</v>
      </c>
      <c r="GC24" s="1" t="s">
        <v>0</v>
      </c>
      <c r="GD24" s="1" t="s">
        <v>2</v>
      </c>
      <c r="GE24" s="1" t="s">
        <v>2</v>
      </c>
      <c r="GF24" s="1" t="s">
        <v>4</v>
      </c>
      <c r="GG24" s="1" t="s">
        <v>4</v>
      </c>
      <c r="GK24" s="1" t="s">
        <v>0</v>
      </c>
      <c r="GL24" s="1" t="s">
        <v>0</v>
      </c>
      <c r="GM24" s="1" t="s">
        <v>2</v>
      </c>
      <c r="GN24" s="1" t="s">
        <v>2</v>
      </c>
      <c r="GO24" s="1" t="s">
        <v>4</v>
      </c>
      <c r="GP24" s="1" t="s">
        <v>4</v>
      </c>
      <c r="GT24" s="1" t="s">
        <v>0</v>
      </c>
      <c r="GU24" s="1" t="s">
        <v>0</v>
      </c>
      <c r="GV24" s="1" t="s">
        <v>2</v>
      </c>
      <c r="GW24" s="1" t="s">
        <v>2</v>
      </c>
      <c r="GX24" s="1" t="s">
        <v>4</v>
      </c>
      <c r="HC24" s="1" t="s">
        <v>0</v>
      </c>
      <c r="HD24" s="1" t="s">
        <v>0</v>
      </c>
      <c r="HE24" s="1" t="s">
        <v>2</v>
      </c>
      <c r="HF24" s="1" t="s">
        <v>4</v>
      </c>
      <c r="HG24" s="1" t="s">
        <v>4</v>
      </c>
      <c r="HL24" s="1" t="s">
        <v>0</v>
      </c>
      <c r="HM24" s="1" t="s">
        <v>2</v>
      </c>
      <c r="HN24" s="1" t="s">
        <v>2</v>
      </c>
      <c r="HO24" s="1" t="s">
        <v>4</v>
      </c>
      <c r="HP24" s="1" t="s">
        <v>4</v>
      </c>
      <c r="HT24" s="1" t="s">
        <v>0</v>
      </c>
      <c r="HU24" s="1" t="s">
        <v>0</v>
      </c>
      <c r="HV24" s="1" t="s">
        <v>2</v>
      </c>
      <c r="HW24" s="1" t="s">
        <v>2</v>
      </c>
      <c r="HX24" s="1" t="s">
        <v>4</v>
      </c>
      <c r="HY24" s="1" t="s">
        <v>4</v>
      </c>
      <c r="IC24" s="1" t="s">
        <v>0</v>
      </c>
      <c r="ID24" s="1" t="s">
        <v>0</v>
      </c>
      <c r="IE24" s="1" t="s">
        <v>2</v>
      </c>
      <c r="IF24" s="1" t="s">
        <v>2</v>
      </c>
      <c r="IG24" s="1" t="s">
        <v>4</v>
      </c>
      <c r="IL24" s="1" t="s">
        <v>0</v>
      </c>
      <c r="IM24" s="1" t="s">
        <v>0</v>
      </c>
      <c r="IN24" s="1" t="s">
        <v>2</v>
      </c>
      <c r="IO24" s="1" t="s">
        <v>4</v>
      </c>
      <c r="IP24" s="1" t="s">
        <v>4</v>
      </c>
      <c r="IU24" s="1" t="s">
        <v>0</v>
      </c>
      <c r="IV24" s="1" t="s">
        <v>2</v>
      </c>
      <c r="IW24" s="1" t="s">
        <v>2</v>
      </c>
      <c r="IX24" s="1" t="s">
        <v>4</v>
      </c>
      <c r="IY24" s="1" t="s">
        <v>4</v>
      </c>
      <c r="JC24" s="1" t="s">
        <v>0</v>
      </c>
      <c r="JD24" s="1" t="s">
        <v>0</v>
      </c>
      <c r="JE24" s="1" t="s">
        <v>2</v>
      </c>
      <c r="JF24" s="1" t="s">
        <v>2</v>
      </c>
      <c r="JG24" s="1" t="s">
        <v>4</v>
      </c>
      <c r="JH24" s="1" t="s">
        <v>4</v>
      </c>
      <c r="JL24" s="1" t="s">
        <v>0</v>
      </c>
      <c r="JM24" s="1" t="s">
        <v>0</v>
      </c>
      <c r="JN24" s="1" t="s">
        <v>2</v>
      </c>
      <c r="JO24" s="1" t="s">
        <v>2</v>
      </c>
      <c r="JP24" s="1" t="s">
        <v>4</v>
      </c>
      <c r="JU24" s="1" t="s">
        <v>0</v>
      </c>
      <c r="JV24" s="1" t="s">
        <v>0</v>
      </c>
      <c r="JW24" s="1" t="s">
        <v>2</v>
      </c>
      <c r="JX24" s="1" t="s">
        <v>4</v>
      </c>
      <c r="JY24" s="1" t="s">
        <v>4</v>
      </c>
      <c r="KD24" s="1" t="s">
        <v>0</v>
      </c>
      <c r="KE24" s="1" t="s">
        <v>2</v>
      </c>
      <c r="KF24" s="1" t="s">
        <v>2</v>
      </c>
      <c r="KG24" s="1" t="s">
        <v>4</v>
      </c>
      <c r="KH24" s="1" t="s">
        <v>4</v>
      </c>
      <c r="KL24" s="1" t="s">
        <v>0</v>
      </c>
      <c r="KM24" s="1" t="s">
        <v>0</v>
      </c>
      <c r="KN24" s="1" t="s">
        <v>2</v>
      </c>
      <c r="KO24" s="1" t="s">
        <v>2</v>
      </c>
      <c r="KP24" s="1" t="s">
        <v>4</v>
      </c>
      <c r="KQ24" s="1" t="s">
        <v>4</v>
      </c>
      <c r="KU24" s="1" t="s">
        <v>0</v>
      </c>
      <c r="KV24" s="1" t="s">
        <v>0</v>
      </c>
      <c r="KW24" s="1" t="s">
        <v>2</v>
      </c>
      <c r="KX24" s="1" t="s">
        <v>2</v>
      </c>
      <c r="KY24" s="1" t="s">
        <v>4</v>
      </c>
      <c r="LD24" s="1" t="s">
        <v>0</v>
      </c>
      <c r="LE24" s="1" t="s">
        <v>0</v>
      </c>
      <c r="LF24" s="1" t="s">
        <v>2</v>
      </c>
      <c r="LG24" s="1" t="s">
        <v>4</v>
      </c>
      <c r="LH24" s="1" t="s">
        <v>4</v>
      </c>
      <c r="LM24" s="1" t="s">
        <v>0</v>
      </c>
      <c r="LN24" s="1" t="s">
        <v>2</v>
      </c>
      <c r="LO24" s="1" t="s">
        <v>2</v>
      </c>
      <c r="LP24" s="1" t="s">
        <v>4</v>
      </c>
      <c r="LQ24" s="1" t="s">
        <v>4</v>
      </c>
      <c r="LU24" s="1" t="s">
        <v>0</v>
      </c>
      <c r="LV24" s="1" t="s">
        <v>0</v>
      </c>
      <c r="LW24" s="1" t="s">
        <v>2</v>
      </c>
      <c r="LX24" s="1" t="s">
        <v>2</v>
      </c>
      <c r="LY24" s="1" t="s">
        <v>4</v>
      </c>
      <c r="LZ24" s="1" t="s">
        <v>4</v>
      </c>
      <c r="MD24" s="1" t="s">
        <v>0</v>
      </c>
      <c r="ME24" s="1" t="s">
        <v>0</v>
      </c>
      <c r="MF24" s="1" t="s">
        <v>2</v>
      </c>
      <c r="MG24" s="1" t="s">
        <v>2</v>
      </c>
      <c r="MH24" s="1" t="s">
        <v>4</v>
      </c>
      <c r="MM24" s="1" t="s">
        <v>0</v>
      </c>
      <c r="MN24" s="1" t="s">
        <v>0</v>
      </c>
      <c r="MO24" s="1" t="s">
        <v>2</v>
      </c>
      <c r="MP24" s="1" t="s">
        <v>4</v>
      </c>
      <c r="MQ24" s="1" t="s">
        <v>4</v>
      </c>
      <c r="MV24" s="1" t="s">
        <v>0</v>
      </c>
      <c r="MW24" s="1" t="s">
        <v>2</v>
      </c>
      <c r="MX24" s="1" t="s">
        <v>2</v>
      </c>
      <c r="MY24" s="1" t="s">
        <v>4</v>
      </c>
      <c r="MZ24" s="1" t="s">
        <v>4</v>
      </c>
      <c r="ND24" s="1" t="s">
        <v>0</v>
      </c>
      <c r="NE24" s="1" t="s">
        <v>0</v>
      </c>
      <c r="NF24" s="1" t="s">
        <v>2</v>
      </c>
      <c r="NG24" s="1" t="s">
        <v>2</v>
      </c>
      <c r="NH24" s="1" t="s">
        <v>4</v>
      </c>
      <c r="NI24" s="1" t="s">
        <v>4</v>
      </c>
      <c r="NM24" s="1" t="s">
        <v>0</v>
      </c>
      <c r="NN24" s="1" t="s">
        <v>0</v>
      </c>
      <c r="NO24" s="1" t="s">
        <v>2</v>
      </c>
      <c r="NP24" s="1" t="s">
        <v>2</v>
      </c>
      <c r="NQ24" s="1" t="s">
        <v>4</v>
      </c>
      <c r="NV24" s="1" t="s">
        <v>0</v>
      </c>
      <c r="NW24" s="1" t="s">
        <v>0</v>
      </c>
      <c r="NX24" s="1" t="s">
        <v>2</v>
      </c>
      <c r="NY24" s="1" t="s">
        <v>4</v>
      </c>
      <c r="NZ24" s="1" t="s">
        <v>4</v>
      </c>
    </row>
    <row r="26" spans="1:390">
      <c r="A26" s="1" t="s">
        <v>78</v>
      </c>
      <c r="B26" s="1" t="s">
        <v>78</v>
      </c>
      <c r="C26" s="1" t="s">
        <v>0</v>
      </c>
      <c r="D26" s="1" t="s">
        <v>2</v>
      </c>
      <c r="E26" s="1" t="s">
        <v>2</v>
      </c>
      <c r="F26" s="1" t="s">
        <v>4</v>
      </c>
      <c r="G26" s="1" t="s">
        <v>4</v>
      </c>
      <c r="K26" s="1" t="s">
        <v>0</v>
      </c>
      <c r="L26" s="1" t="s">
        <v>0</v>
      </c>
      <c r="M26" s="1" t="s">
        <v>2</v>
      </c>
      <c r="N26" s="1" t="s">
        <v>2</v>
      </c>
      <c r="O26" s="1" t="s">
        <v>4</v>
      </c>
      <c r="P26" s="1" t="s">
        <v>4</v>
      </c>
      <c r="T26" s="1" t="s">
        <v>0</v>
      </c>
      <c r="U26" s="1" t="s">
        <v>0</v>
      </c>
      <c r="V26" s="1" t="s">
        <v>2</v>
      </c>
      <c r="W26" s="1" t="s">
        <v>2</v>
      </c>
      <c r="X26" s="1" t="s">
        <v>4</v>
      </c>
      <c r="AC26" s="1" t="s">
        <v>0</v>
      </c>
      <c r="AD26" s="1" t="s">
        <v>0</v>
      </c>
      <c r="AE26" s="1" t="s">
        <v>2</v>
      </c>
      <c r="AF26" s="1" t="s">
        <v>4</v>
      </c>
      <c r="AG26" s="1" t="s">
        <v>4</v>
      </c>
      <c r="AL26" s="1" t="s">
        <v>0</v>
      </c>
      <c r="AM26" s="1" t="s">
        <v>2</v>
      </c>
      <c r="AN26" s="1" t="s">
        <v>2</v>
      </c>
      <c r="AO26" s="1" t="s">
        <v>4</v>
      </c>
      <c r="AP26" s="1" t="s">
        <v>4</v>
      </c>
      <c r="AT26" s="1" t="s">
        <v>0</v>
      </c>
      <c r="AU26" s="1" t="s">
        <v>0</v>
      </c>
      <c r="AV26" s="1" t="s">
        <v>2</v>
      </c>
      <c r="AW26" s="1" t="s">
        <v>2</v>
      </c>
      <c r="AX26" s="1" t="s">
        <v>4</v>
      </c>
      <c r="AY26" s="1" t="s">
        <v>4</v>
      </c>
      <c r="BC26" s="1" t="s">
        <v>0</v>
      </c>
      <c r="BD26" s="1" t="s">
        <v>0</v>
      </c>
      <c r="BE26" s="1" t="s">
        <v>2</v>
      </c>
      <c r="BF26" s="1" t="s">
        <v>2</v>
      </c>
      <c r="BG26" s="1" t="s">
        <v>4</v>
      </c>
      <c r="BL26" s="1" t="s">
        <v>0</v>
      </c>
      <c r="BM26" s="1" t="s">
        <v>0</v>
      </c>
      <c r="BN26" s="1" t="s">
        <v>2</v>
      </c>
      <c r="BO26" s="1" t="s">
        <v>4</v>
      </c>
      <c r="BP26" s="1" t="s">
        <v>4</v>
      </c>
      <c r="BU26" s="1" t="s">
        <v>0</v>
      </c>
      <c r="BV26" s="1" t="s">
        <v>2</v>
      </c>
      <c r="BW26" s="1" t="s">
        <v>2</v>
      </c>
      <c r="BX26" s="1" t="s">
        <v>4</v>
      </c>
      <c r="BY26" s="1" t="s">
        <v>4</v>
      </c>
      <c r="CC26" s="1" t="s">
        <v>0</v>
      </c>
      <c r="CD26" s="1" t="s">
        <v>0</v>
      </c>
      <c r="CE26" s="1" t="s">
        <v>2</v>
      </c>
      <c r="CF26" s="1" t="s">
        <v>2</v>
      </c>
      <c r="CG26" s="1" t="s">
        <v>4</v>
      </c>
      <c r="CH26" s="1" t="s">
        <v>4</v>
      </c>
      <c r="CL26" s="1" t="s">
        <v>0</v>
      </c>
      <c r="CM26" s="1" t="s">
        <v>0</v>
      </c>
      <c r="CN26" s="1" t="s">
        <v>2</v>
      </c>
      <c r="CO26" s="1" t="s">
        <v>2</v>
      </c>
      <c r="CP26" s="1" t="s">
        <v>4</v>
      </c>
      <c r="CU26" s="1" t="s">
        <v>0</v>
      </c>
      <c r="CV26" s="1" t="s">
        <v>0</v>
      </c>
      <c r="CW26" s="1" t="s">
        <v>2</v>
      </c>
      <c r="CX26" s="1" t="s">
        <v>4</v>
      </c>
      <c r="CY26" s="1" t="s">
        <v>4</v>
      </c>
      <c r="DD26" s="1" t="s">
        <v>0</v>
      </c>
      <c r="DE26" s="1" t="s">
        <v>2</v>
      </c>
      <c r="DF26" s="1" t="s">
        <v>2</v>
      </c>
      <c r="DG26" s="1" t="s">
        <v>4</v>
      </c>
      <c r="DH26" s="1" t="s">
        <v>4</v>
      </c>
      <c r="DL26" s="1" t="s">
        <v>0</v>
      </c>
      <c r="DM26" s="1" t="s">
        <v>0</v>
      </c>
      <c r="DN26" s="1" t="s">
        <v>2</v>
      </c>
      <c r="DO26" s="1" t="s">
        <v>2</v>
      </c>
      <c r="DP26" s="1" t="s">
        <v>4</v>
      </c>
      <c r="DQ26" s="1" t="s">
        <v>4</v>
      </c>
      <c r="DU26" s="1" t="s">
        <v>0</v>
      </c>
      <c r="DV26" s="1" t="s">
        <v>0</v>
      </c>
      <c r="DW26" s="1" t="s">
        <v>2</v>
      </c>
      <c r="DX26" s="1" t="s">
        <v>2</v>
      </c>
      <c r="DY26" s="1" t="s">
        <v>4</v>
      </c>
      <c r="ED26" s="1" t="s">
        <v>0</v>
      </c>
      <c r="EE26" s="1" t="s">
        <v>0</v>
      </c>
      <c r="EF26" s="1" t="s">
        <v>2</v>
      </c>
      <c r="EG26" s="1" t="s">
        <v>4</v>
      </c>
      <c r="EH26" s="1" t="s">
        <v>4</v>
      </c>
      <c r="EM26" s="1" t="s">
        <v>0</v>
      </c>
      <c r="EN26" s="1" t="s">
        <v>2</v>
      </c>
      <c r="EO26" s="1" t="s">
        <v>2</v>
      </c>
      <c r="EP26" s="1" t="s">
        <v>4</v>
      </c>
      <c r="EQ26" s="1" t="s">
        <v>4</v>
      </c>
      <c r="EU26" s="1" t="s">
        <v>0</v>
      </c>
      <c r="EV26" s="1" t="s">
        <v>0</v>
      </c>
      <c r="EW26" s="1" t="s">
        <v>2</v>
      </c>
      <c r="EX26" s="1" t="s">
        <v>2</v>
      </c>
      <c r="EY26" s="1" t="s">
        <v>4</v>
      </c>
      <c r="EZ26" s="1" t="s">
        <v>4</v>
      </c>
      <c r="FD26" s="1" t="s">
        <v>0</v>
      </c>
      <c r="FE26" s="1" t="s">
        <v>0</v>
      </c>
      <c r="FF26" s="1" t="s">
        <v>2</v>
      </c>
      <c r="FG26" s="1" t="s">
        <v>2</v>
      </c>
      <c r="FH26" s="1" t="s">
        <v>4</v>
      </c>
      <c r="FM26" s="1" t="s">
        <v>0</v>
      </c>
      <c r="FN26" s="1" t="s">
        <v>0</v>
      </c>
      <c r="FO26" s="1" t="s">
        <v>2</v>
      </c>
      <c r="FP26" s="1" t="s">
        <v>4</v>
      </c>
      <c r="FQ26" s="1" t="s">
        <v>4</v>
      </c>
      <c r="FV26" s="1" t="s">
        <v>0</v>
      </c>
      <c r="FW26" s="1" t="s">
        <v>2</v>
      </c>
      <c r="FX26" s="1" t="s">
        <v>2</v>
      </c>
      <c r="FY26" s="1" t="s">
        <v>4</v>
      </c>
      <c r="FZ26" s="1" t="s">
        <v>4</v>
      </c>
      <c r="GD26" s="1" t="s">
        <v>0</v>
      </c>
      <c r="GE26" s="1" t="s">
        <v>0</v>
      </c>
      <c r="GF26" s="1" t="s">
        <v>2</v>
      </c>
      <c r="GG26" s="1" t="s">
        <v>2</v>
      </c>
      <c r="GH26" s="1" t="s">
        <v>4</v>
      </c>
      <c r="GI26" s="1" t="s">
        <v>4</v>
      </c>
      <c r="GM26" s="1" t="s">
        <v>0</v>
      </c>
      <c r="GN26" s="1" t="s">
        <v>0</v>
      </c>
      <c r="GO26" s="1" t="s">
        <v>2</v>
      </c>
      <c r="GP26" s="1" t="s">
        <v>2</v>
      </c>
      <c r="GQ26" s="1" t="s">
        <v>4</v>
      </c>
      <c r="GV26" s="1" t="s">
        <v>0</v>
      </c>
      <c r="GW26" s="1" t="s">
        <v>0</v>
      </c>
      <c r="GX26" s="1" t="s">
        <v>2</v>
      </c>
      <c r="GY26" s="1" t="s">
        <v>4</v>
      </c>
      <c r="GZ26" s="1" t="s">
        <v>4</v>
      </c>
      <c r="HE26" s="1" t="s">
        <v>0</v>
      </c>
      <c r="HF26" s="1" t="s">
        <v>2</v>
      </c>
      <c r="HG26" s="1" t="s">
        <v>2</v>
      </c>
      <c r="HH26" s="1" t="s">
        <v>4</v>
      </c>
      <c r="HI26" s="1" t="s">
        <v>4</v>
      </c>
      <c r="HM26" s="1" t="s">
        <v>0</v>
      </c>
      <c r="HN26" s="1" t="s">
        <v>0</v>
      </c>
      <c r="HO26" s="1" t="s">
        <v>2</v>
      </c>
      <c r="HP26" s="1" t="s">
        <v>2</v>
      </c>
      <c r="HQ26" s="1" t="s">
        <v>4</v>
      </c>
      <c r="HR26" s="1" t="s">
        <v>4</v>
      </c>
      <c r="HV26" s="1" t="s">
        <v>0</v>
      </c>
      <c r="HW26" s="1" t="s">
        <v>0</v>
      </c>
      <c r="HX26" s="1" t="s">
        <v>2</v>
      </c>
      <c r="HY26" s="1" t="s">
        <v>2</v>
      </c>
      <c r="HZ26" s="1" t="s">
        <v>4</v>
      </c>
      <c r="IE26" s="1" t="s">
        <v>0</v>
      </c>
      <c r="IF26" s="1" t="s">
        <v>0</v>
      </c>
      <c r="IG26" s="1" t="s">
        <v>2</v>
      </c>
      <c r="IH26" s="1" t="s">
        <v>4</v>
      </c>
      <c r="II26" s="1" t="s">
        <v>4</v>
      </c>
      <c r="IN26" s="1" t="s">
        <v>0</v>
      </c>
      <c r="IO26" s="1" t="s">
        <v>2</v>
      </c>
      <c r="IP26" s="1" t="s">
        <v>2</v>
      </c>
      <c r="IQ26" s="1" t="s">
        <v>4</v>
      </c>
      <c r="IR26" s="1" t="s">
        <v>4</v>
      </c>
      <c r="IV26" s="1" t="s">
        <v>0</v>
      </c>
      <c r="IW26" s="1" t="s">
        <v>0</v>
      </c>
      <c r="IX26" s="1" t="s">
        <v>2</v>
      </c>
      <c r="IY26" s="1" t="s">
        <v>2</v>
      </c>
      <c r="IZ26" s="1" t="s">
        <v>4</v>
      </c>
      <c r="JA26" s="1" t="s">
        <v>4</v>
      </c>
      <c r="JE26" s="1" t="s">
        <v>0</v>
      </c>
      <c r="JF26" s="1" t="s">
        <v>0</v>
      </c>
      <c r="JG26" s="1" t="s">
        <v>2</v>
      </c>
      <c r="JH26" s="1" t="s">
        <v>2</v>
      </c>
      <c r="JI26" s="1" t="s">
        <v>4</v>
      </c>
      <c r="JN26" s="1" t="s">
        <v>0</v>
      </c>
      <c r="JO26" s="1" t="s">
        <v>0</v>
      </c>
      <c r="JP26" s="1" t="s">
        <v>2</v>
      </c>
      <c r="JQ26" s="1" t="s">
        <v>4</v>
      </c>
      <c r="JR26" s="1" t="s">
        <v>4</v>
      </c>
      <c r="JW26" s="1" t="s">
        <v>0</v>
      </c>
      <c r="JX26" s="1" t="s">
        <v>2</v>
      </c>
      <c r="JY26" s="1" t="s">
        <v>2</v>
      </c>
      <c r="JZ26" s="1" t="s">
        <v>4</v>
      </c>
      <c r="KA26" s="1" t="s">
        <v>4</v>
      </c>
      <c r="KE26" s="1" t="s">
        <v>0</v>
      </c>
      <c r="KF26" s="1" t="s">
        <v>0</v>
      </c>
      <c r="KG26" s="1" t="s">
        <v>2</v>
      </c>
      <c r="KH26" s="1" t="s">
        <v>2</v>
      </c>
      <c r="KI26" s="1" t="s">
        <v>4</v>
      </c>
      <c r="KJ26" s="1" t="s">
        <v>4</v>
      </c>
      <c r="KN26" s="1" t="s">
        <v>0</v>
      </c>
      <c r="KO26" s="1" t="s">
        <v>0</v>
      </c>
      <c r="KP26" s="1" t="s">
        <v>2</v>
      </c>
      <c r="KQ26" s="1" t="s">
        <v>2</v>
      </c>
      <c r="KR26" s="1" t="s">
        <v>4</v>
      </c>
      <c r="KW26" s="1" t="s">
        <v>0</v>
      </c>
      <c r="KX26" s="1" t="s">
        <v>0</v>
      </c>
      <c r="KY26" s="1" t="s">
        <v>2</v>
      </c>
      <c r="KZ26" s="1" t="s">
        <v>4</v>
      </c>
      <c r="LA26" s="1" t="s">
        <v>4</v>
      </c>
      <c r="LF26" s="1" t="s">
        <v>0</v>
      </c>
      <c r="LG26" s="1" t="s">
        <v>2</v>
      </c>
      <c r="LH26" s="1" t="s">
        <v>2</v>
      </c>
      <c r="LI26" s="1" t="s">
        <v>4</v>
      </c>
      <c r="LJ26" s="1" t="s">
        <v>4</v>
      </c>
      <c r="LN26" s="1" t="s">
        <v>0</v>
      </c>
      <c r="LO26" s="1" t="s">
        <v>0</v>
      </c>
      <c r="LP26" s="1" t="s">
        <v>2</v>
      </c>
      <c r="LQ26" s="1" t="s">
        <v>2</v>
      </c>
      <c r="LR26" s="1" t="s">
        <v>4</v>
      </c>
      <c r="LS26" s="1" t="s">
        <v>4</v>
      </c>
      <c r="LW26" s="1" t="s">
        <v>0</v>
      </c>
      <c r="LX26" s="1" t="s">
        <v>0</v>
      </c>
      <c r="LY26" s="1" t="s">
        <v>2</v>
      </c>
      <c r="LZ26" s="1" t="s">
        <v>2</v>
      </c>
      <c r="MA26" s="1" t="s">
        <v>4</v>
      </c>
      <c r="MF26" s="1" t="s">
        <v>0</v>
      </c>
      <c r="MG26" s="1" t="s">
        <v>0</v>
      </c>
      <c r="MH26" s="1" t="s">
        <v>2</v>
      </c>
      <c r="MI26" s="1" t="s">
        <v>4</v>
      </c>
      <c r="MJ26" s="1" t="s">
        <v>4</v>
      </c>
      <c r="MO26" s="1" t="s">
        <v>0</v>
      </c>
      <c r="MP26" s="1" t="s">
        <v>2</v>
      </c>
      <c r="MQ26" s="1" t="s">
        <v>2</v>
      </c>
      <c r="MR26" s="1" t="s">
        <v>4</v>
      </c>
      <c r="MS26" s="1" t="s">
        <v>4</v>
      </c>
      <c r="MW26" s="1" t="s">
        <v>0</v>
      </c>
      <c r="MX26" s="1" t="s">
        <v>0</v>
      </c>
      <c r="MY26" s="1" t="s">
        <v>2</v>
      </c>
      <c r="MZ26" s="1" t="s">
        <v>2</v>
      </c>
      <c r="NA26" s="1" t="s">
        <v>4</v>
      </c>
      <c r="NB26" s="1" t="s">
        <v>4</v>
      </c>
      <c r="NF26" s="1" t="s">
        <v>0</v>
      </c>
      <c r="NG26" s="1" t="s">
        <v>0</v>
      </c>
      <c r="NH26" s="1" t="s">
        <v>2</v>
      </c>
      <c r="NI26" s="1" t="s">
        <v>2</v>
      </c>
      <c r="NJ26" s="1" t="s">
        <v>4</v>
      </c>
      <c r="NO26" s="1" t="s">
        <v>0</v>
      </c>
      <c r="NP26" s="1" t="s">
        <v>0</v>
      </c>
      <c r="NQ26" s="1" t="s">
        <v>2</v>
      </c>
      <c r="NR26" s="1" t="s">
        <v>4</v>
      </c>
      <c r="NS26" s="1" t="s">
        <v>4</v>
      </c>
    </row>
    <row r="28" spans="1:390">
      <c r="A28" s="1" t="s">
        <v>203</v>
      </c>
      <c r="B28" s="1" t="s">
        <v>203</v>
      </c>
      <c r="C28" s="1" t="s">
        <v>0</v>
      </c>
      <c r="D28" s="1" t="s">
        <v>2</v>
      </c>
      <c r="E28" s="1" t="s">
        <v>2</v>
      </c>
      <c r="F28" s="1" t="s">
        <v>4</v>
      </c>
      <c r="G28" s="1" t="s">
        <v>4</v>
      </c>
      <c r="K28" s="1" t="s">
        <v>0</v>
      </c>
      <c r="L28" s="1" t="s">
        <v>0</v>
      </c>
      <c r="M28" s="1" t="s">
        <v>2</v>
      </c>
      <c r="N28" s="1" t="s">
        <v>2</v>
      </c>
      <c r="O28" s="1" t="s">
        <v>4</v>
      </c>
      <c r="P28" s="1" t="s">
        <v>4</v>
      </c>
      <c r="T28" s="1" t="s">
        <v>0</v>
      </c>
      <c r="U28" s="1" t="s">
        <v>0</v>
      </c>
      <c r="V28" s="1" t="s">
        <v>2</v>
      </c>
      <c r="W28" s="1" t="s">
        <v>2</v>
      </c>
      <c r="X28" s="1" t="s">
        <v>4</v>
      </c>
      <c r="AC28" s="1" t="s">
        <v>0</v>
      </c>
      <c r="AD28" s="1" t="s">
        <v>0</v>
      </c>
      <c r="AE28" s="1" t="s">
        <v>2</v>
      </c>
      <c r="AF28" s="1" t="s">
        <v>4</v>
      </c>
      <c r="AG28" s="1" t="s">
        <v>4</v>
      </c>
      <c r="AL28" s="1" t="s">
        <v>0</v>
      </c>
      <c r="AM28" s="1" t="s">
        <v>2</v>
      </c>
      <c r="AN28" s="1" t="s">
        <v>2</v>
      </c>
      <c r="AO28" s="1" t="s">
        <v>4</v>
      </c>
      <c r="AP28" s="1" t="s">
        <v>4</v>
      </c>
      <c r="AT28" s="1" t="s">
        <v>0</v>
      </c>
      <c r="AU28" s="1" t="s">
        <v>0</v>
      </c>
      <c r="AV28" s="1" t="s">
        <v>2</v>
      </c>
      <c r="AW28" s="1" t="s">
        <v>2</v>
      </c>
      <c r="AX28" s="1" t="s">
        <v>4</v>
      </c>
      <c r="AY28" s="1" t="s">
        <v>4</v>
      </c>
      <c r="BC28" s="1" t="s">
        <v>0</v>
      </c>
      <c r="BD28" s="1" t="s">
        <v>0</v>
      </c>
      <c r="BE28" s="1" t="s">
        <v>2</v>
      </c>
      <c r="BF28" s="1" t="s">
        <v>2</v>
      </c>
      <c r="BG28" s="1" t="s">
        <v>4</v>
      </c>
      <c r="BL28" s="1" t="s">
        <v>0</v>
      </c>
      <c r="BM28" s="1" t="s">
        <v>0</v>
      </c>
      <c r="BN28" s="1" t="s">
        <v>2</v>
      </c>
      <c r="BO28" s="1" t="s">
        <v>4</v>
      </c>
      <c r="BP28" s="1" t="s">
        <v>4</v>
      </c>
      <c r="BU28" s="1" t="s">
        <v>0</v>
      </c>
      <c r="BV28" s="1" t="s">
        <v>2</v>
      </c>
      <c r="BW28" s="1" t="s">
        <v>2</v>
      </c>
      <c r="BX28" s="1" t="s">
        <v>4</v>
      </c>
      <c r="BY28" s="1" t="s">
        <v>4</v>
      </c>
      <c r="CC28" s="1" t="s">
        <v>0</v>
      </c>
      <c r="CD28" s="1" t="s">
        <v>0</v>
      </c>
      <c r="CE28" s="1" t="s">
        <v>2</v>
      </c>
      <c r="CF28" s="1" t="s">
        <v>2</v>
      </c>
      <c r="CG28" s="1" t="s">
        <v>4</v>
      </c>
      <c r="CH28" s="1" t="s">
        <v>4</v>
      </c>
      <c r="CL28" s="1" t="s">
        <v>0</v>
      </c>
      <c r="CM28" s="1" t="s">
        <v>0</v>
      </c>
      <c r="CN28" s="1" t="s">
        <v>2</v>
      </c>
      <c r="CO28" s="1" t="s">
        <v>2</v>
      </c>
      <c r="CP28" s="1" t="s">
        <v>4</v>
      </c>
      <c r="CU28" s="1" t="s">
        <v>0</v>
      </c>
      <c r="CV28" s="1" t="s">
        <v>0</v>
      </c>
      <c r="CW28" s="1" t="s">
        <v>2</v>
      </c>
      <c r="CX28" s="1" t="s">
        <v>4</v>
      </c>
      <c r="CY28" s="1" t="s">
        <v>4</v>
      </c>
      <c r="DD28" s="1" t="s">
        <v>0</v>
      </c>
      <c r="DE28" s="1" t="s">
        <v>2</v>
      </c>
      <c r="DF28" s="1" t="s">
        <v>2</v>
      </c>
      <c r="DG28" s="1" t="s">
        <v>4</v>
      </c>
      <c r="DH28" s="1" t="s">
        <v>4</v>
      </c>
      <c r="DL28" s="1" t="s">
        <v>0</v>
      </c>
      <c r="DM28" s="1" t="s">
        <v>0</v>
      </c>
      <c r="DN28" s="1" t="s">
        <v>2</v>
      </c>
      <c r="DO28" s="1" t="s">
        <v>2</v>
      </c>
      <c r="DP28" s="1" t="s">
        <v>4</v>
      </c>
      <c r="DQ28" s="1" t="s">
        <v>4</v>
      </c>
      <c r="DU28" s="1" t="s">
        <v>0</v>
      </c>
      <c r="DV28" s="1" t="s">
        <v>0</v>
      </c>
      <c r="DW28" s="1" t="s">
        <v>2</v>
      </c>
      <c r="DX28" s="1" t="s">
        <v>2</v>
      </c>
      <c r="DY28" s="1" t="s">
        <v>4</v>
      </c>
      <c r="ED28" s="1" t="s">
        <v>0</v>
      </c>
      <c r="EE28" s="1" t="s">
        <v>0</v>
      </c>
      <c r="EF28" s="1" t="s">
        <v>2</v>
      </c>
      <c r="EG28" s="1" t="s">
        <v>4</v>
      </c>
      <c r="EH28" s="1" t="s">
        <v>4</v>
      </c>
      <c r="EM28" s="1" t="s">
        <v>0</v>
      </c>
      <c r="EN28" s="1" t="s">
        <v>2</v>
      </c>
      <c r="EO28" s="1" t="s">
        <v>2</v>
      </c>
      <c r="EP28" s="1" t="s">
        <v>4</v>
      </c>
      <c r="EQ28" s="1" t="s">
        <v>4</v>
      </c>
      <c r="EU28" s="1" t="s">
        <v>0</v>
      </c>
      <c r="EV28" s="1" t="s">
        <v>0</v>
      </c>
      <c r="EW28" s="1" t="s">
        <v>2</v>
      </c>
      <c r="EX28" s="1" t="s">
        <v>2</v>
      </c>
      <c r="EY28" s="1" t="s">
        <v>4</v>
      </c>
      <c r="EZ28" s="1" t="s">
        <v>4</v>
      </c>
      <c r="FD28" s="1" t="s">
        <v>0</v>
      </c>
      <c r="FE28" s="1" t="s">
        <v>0</v>
      </c>
      <c r="FF28" s="1" t="s">
        <v>2</v>
      </c>
      <c r="FG28" s="1" t="s">
        <v>2</v>
      </c>
      <c r="FH28" s="1" t="s">
        <v>4</v>
      </c>
      <c r="FM28" s="1" t="s">
        <v>0</v>
      </c>
      <c r="FN28" s="1" t="s">
        <v>0</v>
      </c>
      <c r="FO28" s="1" t="s">
        <v>2</v>
      </c>
      <c r="FP28" s="1" t="s">
        <v>4</v>
      </c>
      <c r="FQ28" s="1" t="s">
        <v>4</v>
      </c>
      <c r="FV28" s="1" t="s">
        <v>0</v>
      </c>
      <c r="FW28" s="1" t="s">
        <v>2</v>
      </c>
      <c r="FX28" s="1" t="s">
        <v>2</v>
      </c>
      <c r="FY28" s="1" t="s">
        <v>4</v>
      </c>
      <c r="FZ28" s="1" t="s">
        <v>4</v>
      </c>
      <c r="GD28" s="1" t="s">
        <v>0</v>
      </c>
      <c r="GE28" s="1" t="s">
        <v>0</v>
      </c>
      <c r="GF28" s="1" t="s">
        <v>2</v>
      </c>
      <c r="GG28" s="1" t="s">
        <v>2</v>
      </c>
      <c r="GH28" s="1" t="s">
        <v>4</v>
      </c>
      <c r="GI28" s="1" t="s">
        <v>4</v>
      </c>
      <c r="GM28" s="1" t="s">
        <v>0</v>
      </c>
      <c r="GN28" s="1" t="s">
        <v>0</v>
      </c>
      <c r="GO28" s="1" t="s">
        <v>2</v>
      </c>
      <c r="GP28" s="1" t="s">
        <v>2</v>
      </c>
      <c r="GQ28" s="1" t="s">
        <v>4</v>
      </c>
      <c r="GV28" s="1" t="s">
        <v>0</v>
      </c>
      <c r="GW28" s="1" t="s">
        <v>0</v>
      </c>
      <c r="GX28" s="1" t="s">
        <v>2</v>
      </c>
      <c r="GY28" s="1" t="s">
        <v>4</v>
      </c>
      <c r="GZ28" s="1" t="s">
        <v>4</v>
      </c>
      <c r="HE28" s="1" t="s">
        <v>0</v>
      </c>
      <c r="HF28" s="1" t="s">
        <v>2</v>
      </c>
      <c r="HG28" s="1" t="s">
        <v>2</v>
      </c>
      <c r="HH28" s="1" t="s">
        <v>4</v>
      </c>
      <c r="HI28" s="1" t="s">
        <v>4</v>
      </c>
      <c r="HM28" s="1" t="s">
        <v>0</v>
      </c>
      <c r="HN28" s="1" t="s">
        <v>0</v>
      </c>
      <c r="HO28" s="1" t="s">
        <v>2</v>
      </c>
      <c r="HP28" s="1" t="s">
        <v>2</v>
      </c>
      <c r="HQ28" s="1" t="s">
        <v>4</v>
      </c>
      <c r="HR28" s="1" t="s">
        <v>4</v>
      </c>
      <c r="HV28" s="1" t="s">
        <v>0</v>
      </c>
      <c r="HW28" s="1" t="s">
        <v>0</v>
      </c>
      <c r="HX28" s="1" t="s">
        <v>2</v>
      </c>
      <c r="HY28" s="1" t="s">
        <v>2</v>
      </c>
      <c r="HZ28" s="1" t="s">
        <v>4</v>
      </c>
      <c r="IE28" s="1" t="s">
        <v>0</v>
      </c>
      <c r="IF28" s="1" t="s">
        <v>0</v>
      </c>
      <c r="IG28" s="1" t="s">
        <v>2</v>
      </c>
      <c r="IH28" s="1" t="s">
        <v>4</v>
      </c>
      <c r="II28" s="1" t="s">
        <v>4</v>
      </c>
      <c r="IN28" s="1" t="s">
        <v>0</v>
      </c>
      <c r="IO28" s="1" t="s">
        <v>2</v>
      </c>
      <c r="IP28" s="1" t="s">
        <v>2</v>
      </c>
      <c r="IQ28" s="1" t="s">
        <v>4</v>
      </c>
      <c r="IR28" s="1" t="s">
        <v>4</v>
      </c>
      <c r="IV28" s="1" t="s">
        <v>0</v>
      </c>
      <c r="IW28" s="1" t="s">
        <v>0</v>
      </c>
      <c r="IX28" s="1" t="s">
        <v>2</v>
      </c>
      <c r="IY28" s="1" t="s">
        <v>2</v>
      </c>
      <c r="IZ28" s="1" t="s">
        <v>4</v>
      </c>
      <c r="JA28" s="1" t="s">
        <v>4</v>
      </c>
      <c r="JE28" s="1" t="s">
        <v>0</v>
      </c>
      <c r="JF28" s="1" t="s">
        <v>0</v>
      </c>
      <c r="JG28" s="1" t="s">
        <v>2</v>
      </c>
      <c r="JH28" s="1" t="s">
        <v>2</v>
      </c>
      <c r="JI28" s="1" t="s">
        <v>4</v>
      </c>
      <c r="JN28" s="1" t="s">
        <v>0</v>
      </c>
      <c r="JO28" s="1" t="s">
        <v>0</v>
      </c>
      <c r="JP28" s="1" t="s">
        <v>2</v>
      </c>
      <c r="JQ28" s="1" t="s">
        <v>4</v>
      </c>
      <c r="JR28" s="1" t="s">
        <v>4</v>
      </c>
      <c r="JW28" s="1" t="s">
        <v>0</v>
      </c>
      <c r="JX28" s="1" t="s">
        <v>2</v>
      </c>
      <c r="JY28" s="1" t="s">
        <v>2</v>
      </c>
      <c r="JZ28" s="1" t="s">
        <v>4</v>
      </c>
      <c r="KA28" s="1" t="s">
        <v>4</v>
      </c>
      <c r="KE28" s="1" t="s">
        <v>0</v>
      </c>
      <c r="KF28" s="1" t="s">
        <v>0</v>
      </c>
      <c r="KG28" s="1" t="s">
        <v>2</v>
      </c>
      <c r="KH28" s="1" t="s">
        <v>2</v>
      </c>
      <c r="KI28" s="1" t="s">
        <v>4</v>
      </c>
      <c r="KJ28" s="1" t="s">
        <v>4</v>
      </c>
      <c r="KN28" s="1" t="s">
        <v>0</v>
      </c>
      <c r="KO28" s="1" t="s">
        <v>0</v>
      </c>
      <c r="KP28" s="1" t="s">
        <v>2</v>
      </c>
      <c r="KQ28" s="1" t="s">
        <v>2</v>
      </c>
      <c r="KR28" s="1" t="s">
        <v>4</v>
      </c>
      <c r="KW28" s="1" t="s">
        <v>0</v>
      </c>
      <c r="KX28" s="1" t="s">
        <v>0</v>
      </c>
      <c r="KY28" s="1" t="s">
        <v>2</v>
      </c>
      <c r="KZ28" s="1" t="s">
        <v>4</v>
      </c>
      <c r="LA28" s="1" t="s">
        <v>4</v>
      </c>
      <c r="LF28" s="1" t="s">
        <v>0</v>
      </c>
      <c r="LG28" s="1" t="s">
        <v>2</v>
      </c>
      <c r="LH28" s="1" t="s">
        <v>2</v>
      </c>
      <c r="LI28" s="1" t="s">
        <v>4</v>
      </c>
      <c r="LJ28" s="1" t="s">
        <v>4</v>
      </c>
      <c r="LN28" s="1" t="s">
        <v>0</v>
      </c>
      <c r="LO28" s="1" t="s">
        <v>0</v>
      </c>
      <c r="LP28" s="1" t="s">
        <v>2</v>
      </c>
      <c r="LQ28" s="1" t="s">
        <v>2</v>
      </c>
      <c r="LR28" s="1" t="s">
        <v>4</v>
      </c>
      <c r="LS28" s="1" t="s">
        <v>4</v>
      </c>
      <c r="LW28" s="1" t="s">
        <v>0</v>
      </c>
      <c r="LX28" s="1" t="s">
        <v>0</v>
      </c>
      <c r="LY28" s="1" t="s">
        <v>2</v>
      </c>
      <c r="LZ28" s="1" t="s">
        <v>2</v>
      </c>
      <c r="MA28" s="1" t="s">
        <v>4</v>
      </c>
      <c r="MF28" s="1" t="s">
        <v>0</v>
      </c>
      <c r="MG28" s="1" t="s">
        <v>0</v>
      </c>
      <c r="MH28" s="1" t="s">
        <v>2</v>
      </c>
      <c r="MI28" s="1" t="s">
        <v>4</v>
      </c>
      <c r="MJ28" s="1" t="s">
        <v>4</v>
      </c>
      <c r="MO28" s="1" t="s">
        <v>0</v>
      </c>
      <c r="MP28" s="1" t="s">
        <v>2</v>
      </c>
      <c r="MQ28" s="1" t="s">
        <v>2</v>
      </c>
      <c r="MR28" s="1" t="s">
        <v>4</v>
      </c>
      <c r="MS28" s="1" t="s">
        <v>4</v>
      </c>
      <c r="MW28" s="1" t="s">
        <v>0</v>
      </c>
      <c r="MX28" s="1" t="s">
        <v>0</v>
      </c>
      <c r="MY28" s="1" t="s">
        <v>2</v>
      </c>
      <c r="MZ28" s="1" t="s">
        <v>2</v>
      </c>
      <c r="NA28" s="1" t="s">
        <v>4</v>
      </c>
      <c r="NB28" s="1" t="s">
        <v>4</v>
      </c>
      <c r="NF28" s="1" t="s">
        <v>0</v>
      </c>
      <c r="NG28" s="1" t="s">
        <v>0</v>
      </c>
      <c r="NH28" s="1" t="s">
        <v>2</v>
      </c>
      <c r="NI28" s="1" t="s">
        <v>2</v>
      </c>
      <c r="NJ28" s="1" t="s">
        <v>4</v>
      </c>
      <c r="NO28" s="1" t="s">
        <v>0</v>
      </c>
      <c r="NP28" s="1" t="s">
        <v>0</v>
      </c>
      <c r="NQ28" s="1" t="s">
        <v>2</v>
      </c>
      <c r="NR28" s="1" t="s">
        <v>4</v>
      </c>
      <c r="NS28" s="1" t="s">
        <v>4</v>
      </c>
    </row>
    <row r="30" spans="1:390" ht="13.5" customHeight="1">
      <c r="A30" s="1" t="s">
        <v>88</v>
      </c>
      <c r="B30" s="1" t="s">
        <v>88</v>
      </c>
      <c r="C30" s="1" t="s">
        <v>140</v>
      </c>
      <c r="F30" s="1" t="s">
        <v>8</v>
      </c>
      <c r="G30" s="1" t="s">
        <v>8</v>
      </c>
      <c r="H30" s="1" t="s">
        <v>8</v>
      </c>
      <c r="I30" s="1" t="s">
        <v>8</v>
      </c>
      <c r="J30" s="1" t="s">
        <v>8</v>
      </c>
      <c r="M30" s="1" t="s">
        <v>8</v>
      </c>
      <c r="N30" s="1" t="s">
        <v>8</v>
      </c>
      <c r="O30" s="1" t="s">
        <v>8</v>
      </c>
      <c r="P30" s="1" t="s">
        <v>8</v>
      </c>
      <c r="Q30" s="1" t="s">
        <v>8</v>
      </c>
      <c r="T30" s="1" t="s">
        <v>8</v>
      </c>
      <c r="U30" s="1" t="s">
        <v>8</v>
      </c>
      <c r="V30" s="1" t="s">
        <v>8</v>
      </c>
      <c r="W30" s="1" t="s">
        <v>8</v>
      </c>
      <c r="X30" s="1" t="s">
        <v>8</v>
      </c>
      <c r="AA30" s="1" t="s">
        <v>8</v>
      </c>
      <c r="AB30" s="1" t="s">
        <v>8</v>
      </c>
      <c r="AC30" s="1" t="s">
        <v>8</v>
      </c>
      <c r="AD30" s="1" t="s">
        <v>8</v>
      </c>
      <c r="AE30" s="1" t="s">
        <v>8</v>
      </c>
      <c r="AH30" s="1" t="s">
        <v>8</v>
      </c>
      <c r="AI30" s="1" t="s">
        <v>8</v>
      </c>
      <c r="AJ30" s="1" t="s">
        <v>8</v>
      </c>
      <c r="AK30" s="1" t="s">
        <v>8</v>
      </c>
      <c r="AL30" s="1" t="s">
        <v>8</v>
      </c>
      <c r="AO30" s="1" t="s">
        <v>8</v>
      </c>
      <c r="AP30" s="1" t="s">
        <v>8</v>
      </c>
      <c r="AQ30" s="1" t="s">
        <v>8</v>
      </c>
      <c r="AR30" s="1" t="s">
        <v>8</v>
      </c>
      <c r="AS30" s="1" t="s">
        <v>8</v>
      </c>
      <c r="AV30" s="1" t="s">
        <v>8</v>
      </c>
      <c r="AW30" s="1" t="s">
        <v>8</v>
      </c>
      <c r="AX30" s="1" t="s">
        <v>8</v>
      </c>
      <c r="AY30" s="1" t="s">
        <v>8</v>
      </c>
      <c r="AZ30" s="1" t="s">
        <v>8</v>
      </c>
      <c r="BC30" s="1" t="s">
        <v>8</v>
      </c>
      <c r="BD30" s="1" t="s">
        <v>8</v>
      </c>
      <c r="BE30" s="1" t="s">
        <v>8</v>
      </c>
      <c r="BF30" s="1" t="s">
        <v>8</v>
      </c>
      <c r="BG30" s="1" t="s">
        <v>8</v>
      </c>
      <c r="BJ30" s="1" t="s">
        <v>8</v>
      </c>
      <c r="BK30" s="1" t="s">
        <v>8</v>
      </c>
      <c r="BL30" s="1" t="s">
        <v>8</v>
      </c>
      <c r="BM30" s="1" t="s">
        <v>8</v>
      </c>
      <c r="BN30" s="1" t="s">
        <v>8</v>
      </c>
      <c r="BQ30" s="1" t="s">
        <v>8</v>
      </c>
      <c r="BR30" s="1" t="s">
        <v>8</v>
      </c>
      <c r="BS30" s="1" t="s">
        <v>8</v>
      </c>
      <c r="BT30" s="1" t="s">
        <v>8</v>
      </c>
      <c r="BU30" s="1" t="s">
        <v>8</v>
      </c>
      <c r="BX30" s="1" t="s">
        <v>8</v>
      </c>
      <c r="BY30" s="1" t="s">
        <v>8</v>
      </c>
      <c r="BZ30" s="1" t="s">
        <v>8</v>
      </c>
      <c r="CA30" s="1" t="s">
        <v>8</v>
      </c>
      <c r="CB30" s="1" t="s">
        <v>8</v>
      </c>
      <c r="CE30" s="1" t="s">
        <v>8</v>
      </c>
      <c r="CF30" s="1" t="s">
        <v>8</v>
      </c>
      <c r="CG30" s="1" t="s">
        <v>8</v>
      </c>
      <c r="CH30" s="1" t="s">
        <v>8</v>
      </c>
      <c r="CI30" s="1" t="s">
        <v>8</v>
      </c>
      <c r="CL30" s="1" t="s">
        <v>8</v>
      </c>
      <c r="CM30" s="1" t="s">
        <v>8</v>
      </c>
      <c r="CN30" s="1" t="s">
        <v>8</v>
      </c>
      <c r="CO30" s="1" t="s">
        <v>8</v>
      </c>
      <c r="CP30" s="1" t="s">
        <v>8</v>
      </c>
      <c r="CS30" s="1" t="s">
        <v>140</v>
      </c>
      <c r="CT30" s="1" t="s">
        <v>8</v>
      </c>
      <c r="CU30" s="1" t="s">
        <v>8</v>
      </c>
      <c r="CV30" s="1" t="s">
        <v>8</v>
      </c>
      <c r="CW30" s="1" t="s">
        <v>8</v>
      </c>
      <c r="CZ30" s="1" t="s">
        <v>8</v>
      </c>
      <c r="DA30" s="1" t="s">
        <v>8</v>
      </c>
      <c r="DB30" s="1" t="s">
        <v>8</v>
      </c>
      <c r="DC30" s="1" t="s">
        <v>8</v>
      </c>
      <c r="DD30" s="1" t="s">
        <v>8</v>
      </c>
      <c r="DG30" s="1" t="s">
        <v>8</v>
      </c>
      <c r="DH30" s="1" t="s">
        <v>8</v>
      </c>
      <c r="DI30" s="1" t="s">
        <v>8</v>
      </c>
      <c r="DJ30" s="1" t="s">
        <v>8</v>
      </c>
      <c r="DK30" s="1" t="s">
        <v>8</v>
      </c>
      <c r="DN30" s="1" t="s">
        <v>8</v>
      </c>
      <c r="DO30" s="1" t="s">
        <v>140</v>
      </c>
      <c r="DP30" s="1" t="s">
        <v>8</v>
      </c>
      <c r="DQ30" s="1" t="s">
        <v>8</v>
      </c>
      <c r="DR30" s="1" t="s">
        <v>8</v>
      </c>
      <c r="DU30" s="1" t="s">
        <v>8</v>
      </c>
      <c r="DV30" s="1" t="s">
        <v>8</v>
      </c>
      <c r="DW30" s="1" t="s">
        <v>8</v>
      </c>
      <c r="DX30" s="1" t="s">
        <v>8</v>
      </c>
      <c r="DY30" s="1" t="s">
        <v>8</v>
      </c>
      <c r="EB30" s="1" t="s">
        <v>8</v>
      </c>
      <c r="EC30" s="1" t="s">
        <v>8</v>
      </c>
      <c r="ED30" s="1" t="s">
        <v>8</v>
      </c>
      <c r="EE30" s="1" t="s">
        <v>140</v>
      </c>
      <c r="EF30" s="1" t="s">
        <v>8</v>
      </c>
      <c r="EI30" s="1" t="s">
        <v>8</v>
      </c>
      <c r="EJ30" s="1" t="s">
        <v>8</v>
      </c>
      <c r="EK30" s="1" t="s">
        <v>8</v>
      </c>
      <c r="EL30" s="1" t="s">
        <v>8</v>
      </c>
      <c r="EM30" s="1" t="s">
        <v>8</v>
      </c>
      <c r="EP30" s="1" t="s">
        <v>140</v>
      </c>
      <c r="EQ30" s="1" t="s">
        <v>8</v>
      </c>
      <c r="ER30" s="1" t="s">
        <v>8</v>
      </c>
      <c r="ES30" s="1" t="s">
        <v>8</v>
      </c>
      <c r="ET30" s="1" t="s">
        <v>8</v>
      </c>
      <c r="EW30" s="1" t="s">
        <v>8</v>
      </c>
      <c r="EX30" s="1" t="s">
        <v>8</v>
      </c>
      <c r="EY30" s="1" t="s">
        <v>8</v>
      </c>
      <c r="EZ30" s="1" t="s">
        <v>8</v>
      </c>
      <c r="FA30" s="1" t="s">
        <v>8</v>
      </c>
      <c r="FD30" s="1" t="s">
        <v>8</v>
      </c>
      <c r="FE30" s="1" t="s">
        <v>8</v>
      </c>
      <c r="FF30" s="1" t="s">
        <v>8</v>
      </c>
      <c r="FG30" s="1" t="s">
        <v>8</v>
      </c>
      <c r="FH30" s="1" t="s">
        <v>8</v>
      </c>
      <c r="FK30" s="1" t="s">
        <v>8</v>
      </c>
      <c r="FL30" s="1" t="s">
        <v>8</v>
      </c>
      <c r="FM30" s="1" t="s">
        <v>8</v>
      </c>
      <c r="FN30" s="1" t="s">
        <v>8</v>
      </c>
      <c r="FO30" s="1" t="s">
        <v>8</v>
      </c>
      <c r="FR30" s="1" t="s">
        <v>8</v>
      </c>
      <c r="FS30" s="1" t="s">
        <v>8</v>
      </c>
      <c r="FT30" s="1" t="s">
        <v>8</v>
      </c>
      <c r="FU30" s="1" t="s">
        <v>8</v>
      </c>
      <c r="FV30" s="1" t="s">
        <v>8</v>
      </c>
      <c r="FY30" s="1" t="s">
        <v>8</v>
      </c>
      <c r="FZ30" s="1" t="s">
        <v>8</v>
      </c>
      <c r="GA30" s="1" t="s">
        <v>8</v>
      </c>
      <c r="GB30" s="1" t="s">
        <v>8</v>
      </c>
      <c r="GC30" s="1" t="s">
        <v>8</v>
      </c>
      <c r="GF30" s="1" t="s">
        <v>8</v>
      </c>
      <c r="GG30" s="1" t="s">
        <v>8</v>
      </c>
      <c r="GH30" s="1" t="s">
        <v>8</v>
      </c>
      <c r="GI30" s="1" t="s">
        <v>8</v>
      </c>
      <c r="GJ30" s="1" t="s">
        <v>8</v>
      </c>
      <c r="GM30" s="1" t="s">
        <v>8</v>
      </c>
      <c r="GN30" s="1" t="s">
        <v>8</v>
      </c>
      <c r="GO30" s="1" t="s">
        <v>8</v>
      </c>
      <c r="GP30" s="1" t="s">
        <v>8</v>
      </c>
      <c r="GQ30" s="1" t="s">
        <v>8</v>
      </c>
      <c r="GT30" s="1" t="s">
        <v>8</v>
      </c>
      <c r="GU30" s="1" t="s">
        <v>8</v>
      </c>
      <c r="GV30" s="1" t="s">
        <v>8</v>
      </c>
      <c r="GW30" s="1" t="s">
        <v>8</v>
      </c>
      <c r="GX30" s="1" t="s">
        <v>8</v>
      </c>
      <c r="HA30" s="1" t="s">
        <v>8</v>
      </c>
      <c r="HB30" s="1" t="s">
        <v>8</v>
      </c>
      <c r="HC30" s="1" t="s">
        <v>8</v>
      </c>
      <c r="HD30" s="1" t="s">
        <v>8</v>
      </c>
      <c r="HE30" s="1" t="s">
        <v>8</v>
      </c>
      <c r="HH30" s="1" t="s">
        <v>8</v>
      </c>
      <c r="HI30" s="1" t="s">
        <v>8</v>
      </c>
      <c r="HJ30" s="1" t="s">
        <v>8</v>
      </c>
      <c r="HK30" s="1" t="s">
        <v>8</v>
      </c>
      <c r="HL30" s="1" t="s">
        <v>8</v>
      </c>
      <c r="HO30" s="1" t="s">
        <v>8</v>
      </c>
      <c r="HP30" s="1" t="s">
        <v>8</v>
      </c>
      <c r="HQ30" s="1" t="s">
        <v>8</v>
      </c>
      <c r="HR30" s="1" t="s">
        <v>8</v>
      </c>
      <c r="HS30" s="1" t="s">
        <v>8</v>
      </c>
      <c r="HV30" s="1" t="s">
        <v>8</v>
      </c>
      <c r="HW30" s="1" t="s">
        <v>8</v>
      </c>
      <c r="HX30" s="1" t="s">
        <v>8</v>
      </c>
      <c r="HY30" s="1" t="s">
        <v>8</v>
      </c>
      <c r="HZ30" s="1" t="s">
        <v>8</v>
      </c>
      <c r="IC30" s="1" t="s">
        <v>8</v>
      </c>
      <c r="ID30" s="1" t="s">
        <v>8</v>
      </c>
      <c r="IE30" s="1" t="s">
        <v>8</v>
      </c>
      <c r="IF30" s="1" t="s">
        <v>8</v>
      </c>
      <c r="IG30" s="1" t="s">
        <v>8</v>
      </c>
      <c r="IJ30" s="1" t="s">
        <v>8</v>
      </c>
      <c r="IK30" s="1" t="s">
        <v>8</v>
      </c>
      <c r="IL30" s="1" t="s">
        <v>8</v>
      </c>
      <c r="IM30" s="1" t="s">
        <v>8</v>
      </c>
      <c r="IN30" s="1" t="s">
        <v>8</v>
      </c>
      <c r="IQ30" s="1" t="s">
        <v>8</v>
      </c>
      <c r="IR30" s="1" t="s">
        <v>8</v>
      </c>
      <c r="IS30" s="1" t="s">
        <v>8</v>
      </c>
      <c r="IT30" s="1" t="s">
        <v>8</v>
      </c>
      <c r="IU30" s="1" t="s">
        <v>8</v>
      </c>
      <c r="IX30" s="1" t="s">
        <v>8</v>
      </c>
      <c r="IY30" s="1" t="s">
        <v>8</v>
      </c>
      <c r="IZ30" s="1" t="s">
        <v>8</v>
      </c>
      <c r="JA30" s="1" t="s">
        <v>8</v>
      </c>
      <c r="JB30" s="1" t="s">
        <v>8</v>
      </c>
      <c r="JE30" s="1" t="s">
        <v>8</v>
      </c>
      <c r="JF30" s="1" t="s">
        <v>8</v>
      </c>
      <c r="JG30" s="1" t="s">
        <v>8</v>
      </c>
      <c r="JH30" s="1" t="s">
        <v>8</v>
      </c>
      <c r="JI30" s="1" t="s">
        <v>8</v>
      </c>
      <c r="JL30" s="1" t="s">
        <v>8</v>
      </c>
      <c r="JM30" s="1" t="s">
        <v>8</v>
      </c>
      <c r="JN30" s="1" t="s">
        <v>8</v>
      </c>
      <c r="JO30" s="1" t="s">
        <v>8</v>
      </c>
      <c r="JP30" s="1" t="s">
        <v>8</v>
      </c>
      <c r="JS30" s="1" t="s">
        <v>8</v>
      </c>
      <c r="JT30" s="1" t="s">
        <v>8</v>
      </c>
      <c r="JU30" s="1" t="s">
        <v>8</v>
      </c>
      <c r="JV30" s="1" t="s">
        <v>8</v>
      </c>
      <c r="JW30" s="1" t="s">
        <v>8</v>
      </c>
      <c r="JZ30" s="1" t="s">
        <v>8</v>
      </c>
      <c r="KA30" s="1" t="s">
        <v>8</v>
      </c>
      <c r="KB30" s="1" t="s">
        <v>8</v>
      </c>
      <c r="KC30" s="1" t="s">
        <v>8</v>
      </c>
      <c r="KD30" s="1" t="s">
        <v>8</v>
      </c>
      <c r="KG30" s="1" t="s">
        <v>8</v>
      </c>
      <c r="KH30" s="1" t="s">
        <v>8</v>
      </c>
      <c r="KI30" s="1" t="s">
        <v>8</v>
      </c>
      <c r="KJ30" s="1" t="s">
        <v>8</v>
      </c>
      <c r="KK30" s="1" t="s">
        <v>8</v>
      </c>
      <c r="KN30" s="1" t="s">
        <v>8</v>
      </c>
      <c r="KO30" s="1" t="s">
        <v>8</v>
      </c>
      <c r="KP30" s="1" t="s">
        <v>8</v>
      </c>
      <c r="KQ30" s="1" t="s">
        <v>8</v>
      </c>
      <c r="KR30" s="1" t="s">
        <v>8</v>
      </c>
      <c r="KU30" s="1" t="s">
        <v>8</v>
      </c>
      <c r="KV30" s="1" t="s">
        <v>8</v>
      </c>
      <c r="KW30" s="1" t="s">
        <v>8</v>
      </c>
      <c r="KX30" s="1" t="s">
        <v>8</v>
      </c>
      <c r="KY30" s="1" t="s">
        <v>8</v>
      </c>
      <c r="LB30" s="1" t="s">
        <v>8</v>
      </c>
      <c r="LC30" s="1" t="s">
        <v>8</v>
      </c>
      <c r="LD30" s="1" t="s">
        <v>8</v>
      </c>
      <c r="LE30" s="1" t="s">
        <v>8</v>
      </c>
      <c r="LF30" s="1" t="s">
        <v>8</v>
      </c>
      <c r="LI30" s="1" t="s">
        <v>8</v>
      </c>
      <c r="LJ30" s="1" t="s">
        <v>8</v>
      </c>
      <c r="LK30" s="1" t="s">
        <v>8</v>
      </c>
      <c r="LL30" s="1" t="s">
        <v>8</v>
      </c>
      <c r="LM30" s="1" t="s">
        <v>8</v>
      </c>
      <c r="LP30" s="1" t="s">
        <v>8</v>
      </c>
      <c r="LQ30" s="1" t="s">
        <v>8</v>
      </c>
      <c r="LR30" s="1" t="s">
        <v>8</v>
      </c>
      <c r="LS30" s="1" t="s">
        <v>8</v>
      </c>
      <c r="LT30" s="1" t="s">
        <v>8</v>
      </c>
      <c r="LW30" s="1" t="s">
        <v>8</v>
      </c>
      <c r="LX30" s="1" t="s">
        <v>8</v>
      </c>
      <c r="LY30" s="1" t="s">
        <v>8</v>
      </c>
      <c r="LZ30" s="1" t="s">
        <v>8</v>
      </c>
      <c r="MA30" s="1" t="s">
        <v>8</v>
      </c>
      <c r="MD30" s="1" t="s">
        <v>8</v>
      </c>
      <c r="ME30" s="1" t="s">
        <v>8</v>
      </c>
      <c r="MF30" s="1" t="s">
        <v>8</v>
      </c>
      <c r="MG30" s="1" t="s">
        <v>8</v>
      </c>
      <c r="MH30" s="1" t="s">
        <v>8</v>
      </c>
      <c r="MK30" s="1" t="s">
        <v>8</v>
      </c>
      <c r="ML30" s="1" t="s">
        <v>8</v>
      </c>
      <c r="MM30" s="1" t="s">
        <v>8</v>
      </c>
      <c r="MN30" s="1" t="s">
        <v>8</v>
      </c>
      <c r="MO30" s="1" t="s">
        <v>8</v>
      </c>
      <c r="MR30" s="1" t="s">
        <v>8</v>
      </c>
      <c r="MS30" s="1" t="s">
        <v>8</v>
      </c>
      <c r="MT30" s="1" t="s">
        <v>8</v>
      </c>
      <c r="MU30" s="1" t="s">
        <v>8</v>
      </c>
      <c r="MV30" s="1" t="s">
        <v>8</v>
      </c>
      <c r="MY30" s="1" t="s">
        <v>8</v>
      </c>
      <c r="MZ30" s="1" t="s">
        <v>8</v>
      </c>
      <c r="NA30" s="1" t="s">
        <v>8</v>
      </c>
      <c r="NB30" s="1" t="s">
        <v>8</v>
      </c>
      <c r="NC30" s="1" t="s">
        <v>8</v>
      </c>
    </row>
    <row r="31" spans="1:390">
      <c r="Q31" s="51" t="s">
        <v>204</v>
      </c>
      <c r="T31" s="50" t="s">
        <v>204</v>
      </c>
      <c r="U31" s="50" t="s">
        <v>204</v>
      </c>
      <c r="V31" s="50" t="s">
        <v>204</v>
      </c>
    </row>
    <row r="32" spans="1:390" ht="12" customHeight="1">
      <c r="A32" s="1" t="s">
        <v>89</v>
      </c>
      <c r="B32" s="1" t="s">
        <v>89</v>
      </c>
      <c r="C32" s="1" t="s">
        <v>140</v>
      </c>
      <c r="F32" s="1" t="s">
        <v>8</v>
      </c>
      <c r="G32" s="1" t="s">
        <v>8</v>
      </c>
      <c r="H32" s="1" t="s">
        <v>8</v>
      </c>
      <c r="I32" s="1" t="s">
        <v>8</v>
      </c>
      <c r="M32" s="1" t="s">
        <v>8</v>
      </c>
      <c r="N32" s="1" t="s">
        <v>8</v>
      </c>
      <c r="O32" s="1" t="s">
        <v>8</v>
      </c>
      <c r="P32" s="1" t="s">
        <v>8</v>
      </c>
      <c r="T32" s="1" t="s">
        <v>8</v>
      </c>
      <c r="U32" s="1" t="s">
        <v>8</v>
      </c>
      <c r="V32" s="1" t="s">
        <v>8</v>
      </c>
      <c r="W32" s="1" t="s">
        <v>8</v>
      </c>
      <c r="AA32" s="1" t="s">
        <v>8</v>
      </c>
      <c r="AB32" s="1" t="s">
        <v>8</v>
      </c>
      <c r="AC32" s="1" t="s">
        <v>8</v>
      </c>
      <c r="AD32" s="1" t="s">
        <v>8</v>
      </c>
      <c r="AH32" s="1" t="s">
        <v>8</v>
      </c>
      <c r="AI32" s="1" t="s">
        <v>8</v>
      </c>
      <c r="AJ32" s="1" t="s">
        <v>8</v>
      </c>
      <c r="AK32" s="1" t="s">
        <v>8</v>
      </c>
      <c r="AO32" s="1" t="s">
        <v>8</v>
      </c>
      <c r="AP32" s="1" t="s">
        <v>8</v>
      </c>
      <c r="AQ32" s="1" t="s">
        <v>8</v>
      </c>
      <c r="AR32" s="1" t="s">
        <v>8</v>
      </c>
      <c r="AV32" s="1" t="s">
        <v>8</v>
      </c>
      <c r="AW32" s="1" t="s">
        <v>8</v>
      </c>
      <c r="AX32" s="1" t="s">
        <v>8</v>
      </c>
      <c r="AY32" s="1" t="s">
        <v>8</v>
      </c>
      <c r="BC32" s="1" t="s">
        <v>8</v>
      </c>
      <c r="BD32" s="1" t="s">
        <v>8</v>
      </c>
      <c r="BE32" s="1" t="s">
        <v>8</v>
      </c>
      <c r="BF32" s="1" t="s">
        <v>8</v>
      </c>
      <c r="BJ32" s="1" t="s">
        <v>8</v>
      </c>
      <c r="BK32" s="1" t="s">
        <v>8</v>
      </c>
      <c r="BL32" s="1" t="s">
        <v>8</v>
      </c>
      <c r="BM32" s="1" t="s">
        <v>8</v>
      </c>
      <c r="BQ32" s="1" t="s">
        <v>8</v>
      </c>
      <c r="BR32" s="1" t="s">
        <v>8</v>
      </c>
      <c r="BS32" s="1" t="s">
        <v>8</v>
      </c>
      <c r="BT32" s="1" t="s">
        <v>8</v>
      </c>
      <c r="BX32" s="1" t="s">
        <v>8</v>
      </c>
      <c r="BY32" s="1" t="s">
        <v>8</v>
      </c>
      <c r="BZ32" s="1" t="s">
        <v>8</v>
      </c>
      <c r="CA32" s="1" t="s">
        <v>8</v>
      </c>
      <c r="CE32" s="1" t="s">
        <v>8</v>
      </c>
      <c r="CF32" s="1" t="s">
        <v>8</v>
      </c>
      <c r="CG32" s="1" t="s">
        <v>8</v>
      </c>
      <c r="CH32" s="1" t="s">
        <v>8</v>
      </c>
      <c r="CL32" s="1" t="s">
        <v>8</v>
      </c>
      <c r="CM32" s="1" t="s">
        <v>8</v>
      </c>
      <c r="CN32" s="1" t="s">
        <v>8</v>
      </c>
      <c r="CO32" s="1" t="s">
        <v>8</v>
      </c>
      <c r="CS32" s="1" t="s">
        <v>140</v>
      </c>
      <c r="CT32" s="1" t="s">
        <v>8</v>
      </c>
      <c r="CU32" s="1" t="s">
        <v>8</v>
      </c>
      <c r="CV32" s="1" t="s">
        <v>8</v>
      </c>
      <c r="CZ32" s="1" t="s">
        <v>8</v>
      </c>
      <c r="DA32" s="1" t="s">
        <v>8</v>
      </c>
      <c r="DB32" s="1" t="s">
        <v>8</v>
      </c>
      <c r="DC32" s="1" t="s">
        <v>8</v>
      </c>
      <c r="DG32" s="1" t="s">
        <v>8</v>
      </c>
      <c r="DH32" s="1" t="s">
        <v>8</v>
      </c>
      <c r="DI32" s="1" t="s">
        <v>8</v>
      </c>
      <c r="DJ32" s="1" t="s">
        <v>8</v>
      </c>
      <c r="DN32" s="1" t="s">
        <v>8</v>
      </c>
      <c r="DO32" s="1" t="s">
        <v>140</v>
      </c>
      <c r="DP32" s="1" t="s">
        <v>8</v>
      </c>
      <c r="DQ32" s="1" t="s">
        <v>8</v>
      </c>
      <c r="DU32" s="1" t="s">
        <v>8</v>
      </c>
      <c r="DV32" s="1" t="s">
        <v>8</v>
      </c>
      <c r="DW32" s="1" t="s">
        <v>8</v>
      </c>
      <c r="DX32" s="1" t="s">
        <v>8</v>
      </c>
      <c r="EB32" s="1" t="s">
        <v>8</v>
      </c>
      <c r="EC32" s="1" t="s">
        <v>8</v>
      </c>
      <c r="ED32" s="1" t="s">
        <v>8</v>
      </c>
      <c r="EE32" s="1" t="s">
        <v>140</v>
      </c>
      <c r="EI32" s="1" t="s">
        <v>8</v>
      </c>
      <c r="EJ32" s="1" t="s">
        <v>8</v>
      </c>
      <c r="EK32" s="1" t="s">
        <v>8</v>
      </c>
      <c r="EL32" s="1" t="s">
        <v>8</v>
      </c>
      <c r="EP32" s="1" t="s">
        <v>140</v>
      </c>
      <c r="EQ32" s="1" t="s">
        <v>8</v>
      </c>
      <c r="ER32" s="1" t="s">
        <v>8</v>
      </c>
      <c r="ES32" s="1" t="s">
        <v>8</v>
      </c>
      <c r="EW32" s="1" t="s">
        <v>8</v>
      </c>
      <c r="EX32" s="1" t="s">
        <v>8</v>
      </c>
      <c r="EY32" s="1" t="s">
        <v>8</v>
      </c>
      <c r="EZ32" s="1" t="s">
        <v>8</v>
      </c>
      <c r="FD32" s="1" t="s">
        <v>8</v>
      </c>
      <c r="FE32" s="1" t="s">
        <v>8</v>
      </c>
      <c r="FF32" s="1" t="s">
        <v>8</v>
      </c>
      <c r="FG32" s="1" t="s">
        <v>8</v>
      </c>
      <c r="FK32" s="1" t="s">
        <v>8</v>
      </c>
      <c r="FL32" s="1" t="s">
        <v>8</v>
      </c>
      <c r="FM32" s="1" t="s">
        <v>8</v>
      </c>
      <c r="FN32" s="1" t="s">
        <v>8</v>
      </c>
      <c r="FR32" s="1" t="s">
        <v>8</v>
      </c>
      <c r="FS32" s="1" t="s">
        <v>8</v>
      </c>
      <c r="FT32" s="1" t="s">
        <v>8</v>
      </c>
      <c r="FU32" s="1" t="s">
        <v>8</v>
      </c>
      <c r="FY32" s="1" t="s">
        <v>8</v>
      </c>
      <c r="FZ32" s="1" t="s">
        <v>8</v>
      </c>
      <c r="GA32" s="1" t="s">
        <v>8</v>
      </c>
      <c r="GB32" s="1" t="s">
        <v>8</v>
      </c>
      <c r="GF32" s="1" t="s">
        <v>8</v>
      </c>
      <c r="GG32" s="1" t="s">
        <v>8</v>
      </c>
      <c r="GH32" s="1" t="s">
        <v>8</v>
      </c>
      <c r="GI32" s="1" t="s">
        <v>8</v>
      </c>
      <c r="GM32" s="1" t="s">
        <v>8</v>
      </c>
      <c r="GN32" s="1" t="s">
        <v>8</v>
      </c>
      <c r="GO32" s="1" t="s">
        <v>8</v>
      </c>
      <c r="GP32" s="1" t="s">
        <v>8</v>
      </c>
      <c r="GT32" s="1" t="s">
        <v>8</v>
      </c>
      <c r="GU32" s="1" t="s">
        <v>8</v>
      </c>
      <c r="GV32" s="1" t="s">
        <v>8</v>
      </c>
      <c r="GW32" s="1" t="s">
        <v>8</v>
      </c>
      <c r="HA32" s="1" t="s">
        <v>8</v>
      </c>
      <c r="HB32" s="1" t="s">
        <v>8</v>
      </c>
      <c r="HC32" s="1" t="s">
        <v>8</v>
      </c>
      <c r="HD32" s="1" t="s">
        <v>8</v>
      </c>
      <c r="HH32" s="1" t="s">
        <v>8</v>
      </c>
      <c r="HI32" s="1" t="s">
        <v>8</v>
      </c>
      <c r="HJ32" s="1" t="s">
        <v>8</v>
      </c>
      <c r="HK32" s="1" t="s">
        <v>8</v>
      </c>
      <c r="HO32" s="1" t="s">
        <v>8</v>
      </c>
      <c r="HP32" s="1" t="s">
        <v>8</v>
      </c>
      <c r="HQ32" s="1" t="s">
        <v>8</v>
      </c>
      <c r="HR32" s="1" t="s">
        <v>8</v>
      </c>
      <c r="HV32" s="1" t="s">
        <v>8</v>
      </c>
      <c r="HW32" s="1" t="s">
        <v>8</v>
      </c>
      <c r="HX32" s="1" t="s">
        <v>8</v>
      </c>
      <c r="HY32" s="1" t="s">
        <v>8</v>
      </c>
      <c r="IC32" s="1" t="s">
        <v>8</v>
      </c>
      <c r="ID32" s="1" t="s">
        <v>8</v>
      </c>
      <c r="IE32" s="1" t="s">
        <v>8</v>
      </c>
      <c r="IF32" s="1" t="s">
        <v>8</v>
      </c>
      <c r="IJ32" s="1" t="s">
        <v>8</v>
      </c>
      <c r="IK32" s="1" t="s">
        <v>8</v>
      </c>
      <c r="IL32" s="1" t="s">
        <v>8</v>
      </c>
      <c r="IM32" s="1" t="s">
        <v>8</v>
      </c>
      <c r="IQ32" s="1" t="s">
        <v>8</v>
      </c>
      <c r="IR32" s="1" t="s">
        <v>8</v>
      </c>
      <c r="IS32" s="1" t="s">
        <v>8</v>
      </c>
      <c r="IT32" s="1" t="s">
        <v>8</v>
      </c>
      <c r="IX32" s="1" t="s">
        <v>8</v>
      </c>
      <c r="IY32" s="1" t="s">
        <v>8</v>
      </c>
      <c r="IZ32" s="1" t="s">
        <v>8</v>
      </c>
      <c r="JA32" s="1" t="s">
        <v>8</v>
      </c>
      <c r="JE32" s="1" t="s">
        <v>8</v>
      </c>
      <c r="JF32" s="1" t="s">
        <v>8</v>
      </c>
      <c r="JG32" s="1" t="s">
        <v>8</v>
      </c>
      <c r="JH32" s="1" t="s">
        <v>8</v>
      </c>
      <c r="JL32" s="1" t="s">
        <v>8</v>
      </c>
      <c r="JM32" s="1" t="s">
        <v>8</v>
      </c>
      <c r="JN32" s="1" t="s">
        <v>8</v>
      </c>
      <c r="JO32" s="1" t="s">
        <v>8</v>
      </c>
      <c r="JS32" s="1" t="s">
        <v>8</v>
      </c>
      <c r="JT32" s="1" t="s">
        <v>8</v>
      </c>
      <c r="JU32" s="1" t="s">
        <v>8</v>
      </c>
      <c r="JV32" s="1" t="s">
        <v>8</v>
      </c>
      <c r="JZ32" s="1" t="s">
        <v>8</v>
      </c>
      <c r="KA32" s="1" t="s">
        <v>8</v>
      </c>
      <c r="KB32" s="1" t="s">
        <v>8</v>
      </c>
      <c r="KC32" s="1" t="s">
        <v>8</v>
      </c>
      <c r="KG32" s="1" t="s">
        <v>8</v>
      </c>
      <c r="KH32" s="1" t="s">
        <v>8</v>
      </c>
      <c r="KI32" s="1" t="s">
        <v>8</v>
      </c>
      <c r="KJ32" s="1" t="s">
        <v>8</v>
      </c>
      <c r="KN32" s="1" t="s">
        <v>8</v>
      </c>
      <c r="KO32" s="1" t="s">
        <v>8</v>
      </c>
      <c r="KP32" s="1" t="s">
        <v>8</v>
      </c>
      <c r="KQ32" s="1" t="s">
        <v>8</v>
      </c>
      <c r="KU32" s="1" t="s">
        <v>8</v>
      </c>
      <c r="KV32" s="1" t="s">
        <v>8</v>
      </c>
      <c r="KW32" s="1" t="s">
        <v>8</v>
      </c>
      <c r="KX32" s="1" t="s">
        <v>8</v>
      </c>
      <c r="LB32" s="1" t="s">
        <v>8</v>
      </c>
      <c r="LC32" s="1" t="s">
        <v>8</v>
      </c>
      <c r="LD32" s="1" t="s">
        <v>8</v>
      </c>
      <c r="LE32" s="1" t="s">
        <v>8</v>
      </c>
      <c r="LI32" s="1" t="s">
        <v>8</v>
      </c>
      <c r="LJ32" s="1" t="s">
        <v>8</v>
      </c>
      <c r="LK32" s="1" t="s">
        <v>8</v>
      </c>
      <c r="LL32" s="1" t="s">
        <v>8</v>
      </c>
      <c r="LP32" s="1" t="s">
        <v>8</v>
      </c>
      <c r="LQ32" s="1" t="s">
        <v>8</v>
      </c>
      <c r="LR32" s="1" t="s">
        <v>8</v>
      </c>
      <c r="LS32" s="1" t="s">
        <v>8</v>
      </c>
      <c r="LW32" s="1" t="s">
        <v>8</v>
      </c>
      <c r="LX32" s="1" t="s">
        <v>8</v>
      </c>
      <c r="LY32" s="1" t="s">
        <v>8</v>
      </c>
      <c r="LZ32" s="1" t="s">
        <v>8</v>
      </c>
      <c r="MD32" s="1" t="s">
        <v>8</v>
      </c>
      <c r="ME32" s="1" t="s">
        <v>8</v>
      </c>
      <c r="MF32" s="1" t="s">
        <v>8</v>
      </c>
      <c r="MG32" s="1" t="s">
        <v>8</v>
      </c>
      <c r="MK32" s="1" t="s">
        <v>8</v>
      </c>
      <c r="ML32" s="1" t="s">
        <v>8</v>
      </c>
      <c r="MM32" s="1" t="s">
        <v>8</v>
      </c>
      <c r="MN32" s="1" t="s">
        <v>8</v>
      </c>
      <c r="MR32" s="1" t="s">
        <v>8</v>
      </c>
      <c r="MS32" s="1" t="s">
        <v>8</v>
      </c>
      <c r="MT32" s="1" t="s">
        <v>8</v>
      </c>
      <c r="MU32" s="1" t="s">
        <v>8</v>
      </c>
      <c r="MY32" s="1" t="s">
        <v>8</v>
      </c>
      <c r="MZ32" s="1" t="s">
        <v>8</v>
      </c>
      <c r="NA32" s="1" t="s">
        <v>8</v>
      </c>
      <c r="NB32" s="1" t="s">
        <v>8</v>
      </c>
    </row>
    <row r="34" spans="1:367" ht="12.75" customHeight="1">
      <c r="A34" s="1" t="s">
        <v>90</v>
      </c>
      <c r="B34" s="1" t="s">
        <v>90</v>
      </c>
      <c r="C34" s="1" t="s">
        <v>140</v>
      </c>
      <c r="F34" s="1" t="s">
        <v>8</v>
      </c>
      <c r="H34" s="1" t="s">
        <v>8</v>
      </c>
      <c r="I34" s="1" t="s">
        <v>8</v>
      </c>
      <c r="J34" s="1" t="s">
        <v>8</v>
      </c>
      <c r="M34" s="1" t="s">
        <v>8</v>
      </c>
      <c r="O34" s="1" t="s">
        <v>8</v>
      </c>
      <c r="P34" s="1" t="s">
        <v>8</v>
      </c>
      <c r="Q34" s="1" t="s">
        <v>8</v>
      </c>
      <c r="T34" s="1" t="s">
        <v>8</v>
      </c>
      <c r="V34" s="1" t="s">
        <v>8</v>
      </c>
      <c r="W34" s="1" t="s">
        <v>8</v>
      </c>
      <c r="X34" s="1" t="s">
        <v>8</v>
      </c>
      <c r="AA34" s="1" t="s">
        <v>8</v>
      </c>
      <c r="AC34" s="1" t="s">
        <v>8</v>
      </c>
      <c r="AD34" s="1" t="s">
        <v>8</v>
      </c>
      <c r="AE34" s="1" t="s">
        <v>8</v>
      </c>
      <c r="AH34" s="1" t="s">
        <v>8</v>
      </c>
      <c r="AJ34" s="1" t="s">
        <v>8</v>
      </c>
      <c r="AK34" s="1" t="s">
        <v>8</v>
      </c>
      <c r="AL34" s="1" t="s">
        <v>8</v>
      </c>
      <c r="AO34" s="1" t="s">
        <v>8</v>
      </c>
      <c r="AQ34" s="1" t="s">
        <v>8</v>
      </c>
      <c r="AR34" s="1" t="s">
        <v>8</v>
      </c>
      <c r="AS34" s="1" t="s">
        <v>8</v>
      </c>
      <c r="AV34" s="1" t="s">
        <v>8</v>
      </c>
      <c r="AX34" s="1" t="s">
        <v>8</v>
      </c>
      <c r="AY34" s="1" t="s">
        <v>8</v>
      </c>
      <c r="AZ34" s="1" t="s">
        <v>8</v>
      </c>
      <c r="BC34" s="1" t="s">
        <v>8</v>
      </c>
      <c r="BE34" s="1" t="s">
        <v>8</v>
      </c>
      <c r="BF34" s="1" t="s">
        <v>8</v>
      </c>
      <c r="BG34" s="1" t="s">
        <v>8</v>
      </c>
      <c r="BJ34" s="1" t="s">
        <v>8</v>
      </c>
      <c r="BL34" s="1" t="s">
        <v>8</v>
      </c>
      <c r="BM34" s="1" t="s">
        <v>8</v>
      </c>
      <c r="BN34" s="1" t="s">
        <v>8</v>
      </c>
      <c r="BQ34" s="1" t="s">
        <v>8</v>
      </c>
      <c r="BS34" s="1" t="s">
        <v>8</v>
      </c>
      <c r="BT34" s="1" t="s">
        <v>8</v>
      </c>
      <c r="BU34" s="1" t="s">
        <v>8</v>
      </c>
      <c r="BX34" s="1" t="s">
        <v>8</v>
      </c>
      <c r="BZ34" s="1" t="s">
        <v>8</v>
      </c>
      <c r="CA34" s="1" t="s">
        <v>8</v>
      </c>
      <c r="CB34" s="1" t="s">
        <v>8</v>
      </c>
      <c r="CE34" s="1" t="s">
        <v>8</v>
      </c>
      <c r="CG34" s="1" t="s">
        <v>8</v>
      </c>
      <c r="CH34" s="1" t="s">
        <v>8</v>
      </c>
      <c r="CI34" s="1" t="s">
        <v>8</v>
      </c>
      <c r="CL34" s="1" t="s">
        <v>8</v>
      </c>
      <c r="CN34" s="1" t="s">
        <v>8</v>
      </c>
      <c r="CO34" s="1" t="s">
        <v>8</v>
      </c>
      <c r="CP34" s="1" t="s">
        <v>8</v>
      </c>
      <c r="CS34" s="1" t="s">
        <v>140</v>
      </c>
      <c r="CU34" s="1" t="s">
        <v>8</v>
      </c>
      <c r="CV34" s="1" t="s">
        <v>8</v>
      </c>
      <c r="CW34" s="1" t="s">
        <v>8</v>
      </c>
      <c r="CZ34" s="1" t="s">
        <v>8</v>
      </c>
      <c r="DB34" s="1" t="s">
        <v>8</v>
      </c>
      <c r="DC34" s="1" t="s">
        <v>8</v>
      </c>
      <c r="DD34" s="1" t="s">
        <v>8</v>
      </c>
      <c r="DG34" s="1" t="s">
        <v>8</v>
      </c>
      <c r="DI34" s="1" t="s">
        <v>8</v>
      </c>
      <c r="DJ34" s="1" t="s">
        <v>8</v>
      </c>
      <c r="DK34" s="1" t="s">
        <v>8</v>
      </c>
      <c r="DN34" s="1" t="s">
        <v>8</v>
      </c>
      <c r="DP34" s="1" t="s">
        <v>8</v>
      </c>
      <c r="DQ34" s="1" t="s">
        <v>8</v>
      </c>
      <c r="DR34" s="1" t="s">
        <v>8</v>
      </c>
      <c r="DU34" s="1" t="s">
        <v>8</v>
      </c>
      <c r="DW34" s="1" t="s">
        <v>8</v>
      </c>
      <c r="DX34" s="1" t="s">
        <v>8</v>
      </c>
      <c r="DY34" s="1" t="s">
        <v>8</v>
      </c>
      <c r="EB34" s="1" t="s">
        <v>8</v>
      </c>
      <c r="ED34" s="1" t="s">
        <v>8</v>
      </c>
      <c r="EE34" s="1" t="s">
        <v>140</v>
      </c>
      <c r="EF34" s="1" t="s">
        <v>8</v>
      </c>
      <c r="EI34" s="1" t="s">
        <v>8</v>
      </c>
      <c r="EK34" s="1" t="s">
        <v>8</v>
      </c>
      <c r="EL34" s="1" t="s">
        <v>8</v>
      </c>
      <c r="EM34" s="1" t="s">
        <v>8</v>
      </c>
      <c r="EP34" s="1" t="s">
        <v>140</v>
      </c>
      <c r="ER34" s="1" t="s">
        <v>8</v>
      </c>
      <c r="ES34" s="1" t="s">
        <v>8</v>
      </c>
      <c r="ET34" s="1" t="s">
        <v>8</v>
      </c>
      <c r="EW34" s="1" t="s">
        <v>8</v>
      </c>
      <c r="EY34" s="1" t="s">
        <v>8</v>
      </c>
      <c r="EZ34" s="1" t="s">
        <v>8</v>
      </c>
      <c r="FA34" s="1" t="s">
        <v>8</v>
      </c>
      <c r="FD34" s="1" t="s">
        <v>8</v>
      </c>
      <c r="FF34" s="1" t="s">
        <v>8</v>
      </c>
      <c r="FG34" s="1" t="s">
        <v>8</v>
      </c>
      <c r="FH34" s="1" t="s">
        <v>8</v>
      </c>
      <c r="FK34" s="1" t="s">
        <v>8</v>
      </c>
      <c r="FM34" s="1" t="s">
        <v>8</v>
      </c>
      <c r="FN34" s="1" t="s">
        <v>8</v>
      </c>
      <c r="FO34" s="1" t="s">
        <v>8</v>
      </c>
      <c r="FR34" s="1" t="s">
        <v>8</v>
      </c>
      <c r="FT34" s="1" t="s">
        <v>8</v>
      </c>
      <c r="FU34" s="1" t="s">
        <v>8</v>
      </c>
      <c r="FV34" s="1" t="s">
        <v>8</v>
      </c>
      <c r="FY34" s="1" t="s">
        <v>8</v>
      </c>
      <c r="GA34" s="1" t="s">
        <v>8</v>
      </c>
      <c r="GB34" s="1" t="s">
        <v>8</v>
      </c>
      <c r="GC34" s="1" t="s">
        <v>8</v>
      </c>
      <c r="GF34" s="1" t="s">
        <v>8</v>
      </c>
      <c r="GH34" s="1" t="s">
        <v>8</v>
      </c>
      <c r="GI34" s="1" t="s">
        <v>8</v>
      </c>
      <c r="GJ34" s="1" t="s">
        <v>8</v>
      </c>
      <c r="GM34" s="1" t="s">
        <v>8</v>
      </c>
      <c r="GO34" s="1" t="s">
        <v>8</v>
      </c>
      <c r="GP34" s="1" t="s">
        <v>8</v>
      </c>
      <c r="GQ34" s="1" t="s">
        <v>8</v>
      </c>
      <c r="GT34" s="1" t="s">
        <v>8</v>
      </c>
      <c r="GV34" s="1" t="s">
        <v>8</v>
      </c>
      <c r="GW34" s="1" t="s">
        <v>8</v>
      </c>
      <c r="GX34" s="1" t="s">
        <v>8</v>
      </c>
      <c r="HA34" s="1" t="s">
        <v>8</v>
      </c>
      <c r="HC34" s="1" t="s">
        <v>8</v>
      </c>
      <c r="HD34" s="1" t="s">
        <v>8</v>
      </c>
      <c r="HE34" s="1" t="s">
        <v>8</v>
      </c>
      <c r="HH34" s="1" t="s">
        <v>8</v>
      </c>
      <c r="HJ34" s="1" t="s">
        <v>8</v>
      </c>
      <c r="HK34" s="1" t="s">
        <v>8</v>
      </c>
      <c r="HL34" s="1" t="s">
        <v>8</v>
      </c>
      <c r="HO34" s="1" t="s">
        <v>8</v>
      </c>
      <c r="HQ34" s="1" t="s">
        <v>8</v>
      </c>
      <c r="HR34" s="1" t="s">
        <v>8</v>
      </c>
      <c r="HS34" s="1" t="s">
        <v>8</v>
      </c>
      <c r="HV34" s="1" t="s">
        <v>8</v>
      </c>
      <c r="HX34" s="1" t="s">
        <v>8</v>
      </c>
      <c r="HY34" s="1" t="s">
        <v>8</v>
      </c>
      <c r="HZ34" s="1" t="s">
        <v>8</v>
      </c>
      <c r="IC34" s="1" t="s">
        <v>8</v>
      </c>
      <c r="IE34" s="1" t="s">
        <v>8</v>
      </c>
      <c r="IF34" s="1" t="s">
        <v>8</v>
      </c>
      <c r="IG34" s="1" t="s">
        <v>8</v>
      </c>
      <c r="IJ34" s="1" t="s">
        <v>8</v>
      </c>
      <c r="IL34" s="1" t="s">
        <v>8</v>
      </c>
      <c r="IM34" s="1" t="s">
        <v>8</v>
      </c>
      <c r="IN34" s="1" t="s">
        <v>8</v>
      </c>
      <c r="IQ34" s="1" t="s">
        <v>8</v>
      </c>
      <c r="IS34" s="1" t="s">
        <v>8</v>
      </c>
      <c r="IT34" s="1" t="s">
        <v>8</v>
      </c>
      <c r="IU34" s="1" t="s">
        <v>8</v>
      </c>
      <c r="IX34" s="1" t="s">
        <v>8</v>
      </c>
      <c r="IZ34" s="1" t="s">
        <v>8</v>
      </c>
      <c r="JA34" s="1" t="s">
        <v>8</v>
      </c>
      <c r="JB34" s="1" t="s">
        <v>8</v>
      </c>
      <c r="JE34" s="1" t="s">
        <v>8</v>
      </c>
      <c r="JG34" s="1" t="s">
        <v>8</v>
      </c>
      <c r="JH34" s="1" t="s">
        <v>8</v>
      </c>
      <c r="JI34" s="1" t="s">
        <v>8</v>
      </c>
      <c r="JL34" s="1" t="s">
        <v>8</v>
      </c>
      <c r="JN34" s="1" t="s">
        <v>8</v>
      </c>
      <c r="JO34" s="1" t="s">
        <v>8</v>
      </c>
      <c r="JP34" s="1" t="s">
        <v>8</v>
      </c>
      <c r="JS34" s="1" t="s">
        <v>8</v>
      </c>
      <c r="JU34" s="1" t="s">
        <v>8</v>
      </c>
      <c r="JV34" s="1" t="s">
        <v>8</v>
      </c>
      <c r="JW34" s="1" t="s">
        <v>8</v>
      </c>
      <c r="JZ34" s="1" t="s">
        <v>8</v>
      </c>
      <c r="KB34" s="1" t="s">
        <v>8</v>
      </c>
      <c r="KC34" s="1" t="s">
        <v>8</v>
      </c>
      <c r="KD34" s="1" t="s">
        <v>8</v>
      </c>
      <c r="KG34" s="1" t="s">
        <v>8</v>
      </c>
      <c r="KI34" s="1" t="s">
        <v>8</v>
      </c>
      <c r="KJ34" s="1" t="s">
        <v>8</v>
      </c>
      <c r="KK34" s="1" t="s">
        <v>8</v>
      </c>
      <c r="KN34" s="1" t="s">
        <v>8</v>
      </c>
      <c r="KP34" s="1" t="s">
        <v>8</v>
      </c>
      <c r="KQ34" s="1" t="s">
        <v>8</v>
      </c>
      <c r="KR34" s="1" t="s">
        <v>8</v>
      </c>
      <c r="KU34" s="1" t="s">
        <v>8</v>
      </c>
      <c r="KW34" s="1" t="s">
        <v>8</v>
      </c>
      <c r="KX34" s="1" t="s">
        <v>8</v>
      </c>
      <c r="KY34" s="1" t="s">
        <v>8</v>
      </c>
      <c r="LB34" s="1" t="s">
        <v>8</v>
      </c>
      <c r="LD34" s="1" t="s">
        <v>8</v>
      </c>
      <c r="LE34" s="1" t="s">
        <v>8</v>
      </c>
      <c r="LF34" s="1" t="s">
        <v>8</v>
      </c>
      <c r="LI34" s="1" t="s">
        <v>8</v>
      </c>
      <c r="LK34" s="1" t="s">
        <v>8</v>
      </c>
      <c r="LL34" s="1" t="s">
        <v>8</v>
      </c>
      <c r="LM34" s="1" t="s">
        <v>8</v>
      </c>
      <c r="LP34" s="1" t="s">
        <v>8</v>
      </c>
      <c r="LR34" s="1" t="s">
        <v>8</v>
      </c>
      <c r="LS34" s="1" t="s">
        <v>8</v>
      </c>
      <c r="LT34" s="1" t="s">
        <v>8</v>
      </c>
      <c r="LW34" s="1" t="s">
        <v>8</v>
      </c>
      <c r="LY34" s="1" t="s">
        <v>8</v>
      </c>
      <c r="LZ34" s="1" t="s">
        <v>8</v>
      </c>
      <c r="MA34" s="1" t="s">
        <v>8</v>
      </c>
      <c r="MD34" s="1" t="s">
        <v>8</v>
      </c>
      <c r="MF34" s="1" t="s">
        <v>8</v>
      </c>
      <c r="MG34" s="1" t="s">
        <v>8</v>
      </c>
      <c r="MH34" s="1" t="s">
        <v>8</v>
      </c>
      <c r="MK34" s="1" t="s">
        <v>8</v>
      </c>
      <c r="MM34" s="1" t="s">
        <v>8</v>
      </c>
      <c r="MN34" s="1" t="s">
        <v>8</v>
      </c>
      <c r="MO34" s="1" t="s">
        <v>8</v>
      </c>
      <c r="MR34" s="1" t="s">
        <v>8</v>
      </c>
      <c r="MT34" s="1" t="s">
        <v>8</v>
      </c>
      <c r="MU34" s="1" t="s">
        <v>8</v>
      </c>
      <c r="MV34" s="1" t="s">
        <v>8</v>
      </c>
      <c r="MY34" s="1" t="s">
        <v>8</v>
      </c>
      <c r="NA34" s="1" t="s">
        <v>8</v>
      </c>
      <c r="NB34" s="1" t="s">
        <v>8</v>
      </c>
      <c r="NC34" s="1" t="s">
        <v>8</v>
      </c>
    </row>
    <row r="35" spans="1:367">
      <c r="BA35" s="64"/>
    </row>
    <row r="36" spans="1:367">
      <c r="A36" s="1" t="s">
        <v>91</v>
      </c>
      <c r="B36" s="1" t="s">
        <v>91</v>
      </c>
      <c r="C36" s="1" t="s">
        <v>140</v>
      </c>
      <c r="F36" s="1" t="s">
        <v>8</v>
      </c>
      <c r="G36" s="1" t="s">
        <v>8</v>
      </c>
      <c r="H36" s="1" t="s">
        <v>8</v>
      </c>
      <c r="I36" s="1" t="s">
        <v>8</v>
      </c>
      <c r="J36" s="1" t="s">
        <v>8</v>
      </c>
      <c r="M36" s="1" t="s">
        <v>8</v>
      </c>
      <c r="N36" s="1" t="s">
        <v>8</v>
      </c>
      <c r="O36" s="1" t="s">
        <v>8</v>
      </c>
      <c r="P36" s="1" t="s">
        <v>8</v>
      </c>
      <c r="Q36" s="1" t="s">
        <v>8</v>
      </c>
      <c r="T36" s="1" t="s">
        <v>8</v>
      </c>
      <c r="U36" s="1" t="s">
        <v>8</v>
      </c>
      <c r="V36" s="1" t="s">
        <v>8</v>
      </c>
      <c r="W36" s="1" t="s">
        <v>8</v>
      </c>
      <c r="X36" s="1" t="s">
        <v>8</v>
      </c>
      <c r="AA36" s="1" t="s">
        <v>8</v>
      </c>
      <c r="AB36" s="1" t="s">
        <v>8</v>
      </c>
      <c r="AC36" s="1" t="s">
        <v>8</v>
      </c>
      <c r="AD36" s="1" t="s">
        <v>8</v>
      </c>
      <c r="AE36" s="1" t="s">
        <v>8</v>
      </c>
      <c r="AH36" s="1" t="s">
        <v>8</v>
      </c>
      <c r="AI36" s="1" t="s">
        <v>8</v>
      </c>
      <c r="AJ36" s="1" t="s">
        <v>8</v>
      </c>
      <c r="AK36" s="1" t="s">
        <v>8</v>
      </c>
      <c r="AL36" s="1" t="s">
        <v>8</v>
      </c>
      <c r="AO36" s="1" t="s">
        <v>8</v>
      </c>
      <c r="AP36" s="1" t="s">
        <v>8</v>
      </c>
      <c r="AQ36" s="1" t="s">
        <v>8</v>
      </c>
      <c r="AR36" s="1" t="s">
        <v>8</v>
      </c>
      <c r="AS36" s="1" t="s">
        <v>8</v>
      </c>
      <c r="AV36" s="1" t="s">
        <v>8</v>
      </c>
      <c r="AW36" s="1" t="s">
        <v>8</v>
      </c>
      <c r="AX36" s="1" t="s">
        <v>8</v>
      </c>
      <c r="AY36" s="1" t="s">
        <v>8</v>
      </c>
      <c r="AZ36" s="1" t="s">
        <v>8</v>
      </c>
      <c r="BC36" s="1" t="s">
        <v>8</v>
      </c>
      <c r="BD36" s="1" t="s">
        <v>8</v>
      </c>
      <c r="BE36" s="1" t="s">
        <v>8</v>
      </c>
      <c r="BF36" s="1" t="s">
        <v>8</v>
      </c>
      <c r="BG36" s="1" t="s">
        <v>8</v>
      </c>
      <c r="BJ36" s="1" t="s">
        <v>8</v>
      </c>
      <c r="BK36" s="1" t="s">
        <v>8</v>
      </c>
      <c r="BL36" s="1" t="s">
        <v>8</v>
      </c>
      <c r="BM36" s="1" t="s">
        <v>8</v>
      </c>
      <c r="BN36" s="1" t="s">
        <v>8</v>
      </c>
      <c r="BQ36" s="1" t="s">
        <v>8</v>
      </c>
      <c r="BR36" s="1" t="s">
        <v>8</v>
      </c>
      <c r="BS36" s="1" t="s">
        <v>8</v>
      </c>
      <c r="BT36" s="1" t="s">
        <v>8</v>
      </c>
      <c r="BU36" s="1" t="s">
        <v>8</v>
      </c>
      <c r="BX36" s="1" t="s">
        <v>8</v>
      </c>
      <c r="BY36" s="1" t="s">
        <v>8</v>
      </c>
      <c r="BZ36" s="1" t="s">
        <v>8</v>
      </c>
      <c r="CA36" s="1" t="s">
        <v>8</v>
      </c>
      <c r="CB36" s="1" t="s">
        <v>8</v>
      </c>
      <c r="CE36" s="1" t="s">
        <v>8</v>
      </c>
      <c r="CF36" s="1" t="s">
        <v>8</v>
      </c>
      <c r="CG36" s="1" t="s">
        <v>8</v>
      </c>
      <c r="CH36" s="1" t="s">
        <v>8</v>
      </c>
      <c r="CI36" s="1" t="s">
        <v>8</v>
      </c>
      <c r="CL36" s="1" t="s">
        <v>8</v>
      </c>
      <c r="CM36" s="1" t="s">
        <v>8</v>
      </c>
      <c r="CN36" s="1" t="s">
        <v>8</v>
      </c>
      <c r="CO36" s="1" t="s">
        <v>8</v>
      </c>
      <c r="CP36" s="1" t="s">
        <v>8</v>
      </c>
      <c r="CS36" s="1" t="s">
        <v>140</v>
      </c>
      <c r="CT36" s="1" t="s">
        <v>8</v>
      </c>
      <c r="CU36" s="1" t="s">
        <v>8</v>
      </c>
      <c r="CV36" s="1" t="s">
        <v>8</v>
      </c>
      <c r="CW36" s="1" t="s">
        <v>8</v>
      </c>
      <c r="CZ36" s="1" t="s">
        <v>8</v>
      </c>
      <c r="DA36" s="1" t="s">
        <v>8</v>
      </c>
      <c r="DB36" s="1" t="s">
        <v>8</v>
      </c>
      <c r="DC36" s="1" t="s">
        <v>8</v>
      </c>
      <c r="DD36" s="1" t="s">
        <v>8</v>
      </c>
      <c r="DG36" s="1" t="s">
        <v>8</v>
      </c>
      <c r="DH36" s="1" t="s">
        <v>8</v>
      </c>
      <c r="DI36" s="1" t="s">
        <v>8</v>
      </c>
      <c r="DJ36" s="1" t="s">
        <v>8</v>
      </c>
      <c r="DK36" s="1" t="s">
        <v>8</v>
      </c>
      <c r="DN36" s="1" t="s">
        <v>8</v>
      </c>
      <c r="DO36" s="1" t="s">
        <v>140</v>
      </c>
      <c r="DP36" s="1" t="s">
        <v>8</v>
      </c>
      <c r="DQ36" s="1" t="s">
        <v>8</v>
      </c>
      <c r="DR36" s="1" t="s">
        <v>8</v>
      </c>
      <c r="DU36" s="1" t="s">
        <v>8</v>
      </c>
      <c r="DV36" s="1" t="s">
        <v>8</v>
      </c>
      <c r="DW36" s="1" t="s">
        <v>8</v>
      </c>
      <c r="DX36" s="1" t="s">
        <v>8</v>
      </c>
      <c r="DY36" s="1" t="s">
        <v>8</v>
      </c>
      <c r="EB36" s="1" t="s">
        <v>8</v>
      </c>
      <c r="EC36" s="1" t="s">
        <v>8</v>
      </c>
      <c r="ED36" s="1" t="s">
        <v>8</v>
      </c>
      <c r="EE36" s="1" t="s">
        <v>140</v>
      </c>
      <c r="EF36" s="1" t="s">
        <v>8</v>
      </c>
      <c r="EI36" s="1" t="s">
        <v>8</v>
      </c>
      <c r="EJ36" s="1" t="s">
        <v>8</v>
      </c>
      <c r="EK36" s="1" t="s">
        <v>8</v>
      </c>
      <c r="EL36" s="1" t="s">
        <v>8</v>
      </c>
      <c r="EM36" s="1" t="s">
        <v>8</v>
      </c>
      <c r="EP36" s="1" t="s">
        <v>140</v>
      </c>
      <c r="EQ36" s="1" t="s">
        <v>8</v>
      </c>
      <c r="ER36" s="1" t="s">
        <v>8</v>
      </c>
      <c r="ES36" s="1" t="s">
        <v>8</v>
      </c>
      <c r="ET36" s="1" t="s">
        <v>8</v>
      </c>
      <c r="EW36" s="1" t="s">
        <v>8</v>
      </c>
      <c r="EX36" s="1" t="s">
        <v>8</v>
      </c>
      <c r="EY36" s="1" t="s">
        <v>8</v>
      </c>
      <c r="EZ36" s="1" t="s">
        <v>8</v>
      </c>
      <c r="FA36" s="1" t="s">
        <v>8</v>
      </c>
      <c r="FD36" s="1" t="s">
        <v>8</v>
      </c>
      <c r="FE36" s="1" t="s">
        <v>8</v>
      </c>
      <c r="FF36" s="1" t="s">
        <v>8</v>
      </c>
      <c r="FG36" s="1" t="s">
        <v>8</v>
      </c>
      <c r="FH36" s="1" t="s">
        <v>8</v>
      </c>
      <c r="FK36" s="1" t="s">
        <v>8</v>
      </c>
      <c r="FL36" s="1" t="s">
        <v>8</v>
      </c>
      <c r="FM36" s="1" t="s">
        <v>8</v>
      </c>
      <c r="FN36" s="1" t="s">
        <v>8</v>
      </c>
      <c r="FO36" s="1" t="s">
        <v>8</v>
      </c>
      <c r="FR36" s="1" t="s">
        <v>8</v>
      </c>
      <c r="FS36" s="1" t="s">
        <v>8</v>
      </c>
      <c r="FT36" s="1" t="s">
        <v>8</v>
      </c>
      <c r="FU36" s="1" t="s">
        <v>8</v>
      </c>
      <c r="FV36" s="1" t="s">
        <v>8</v>
      </c>
      <c r="FY36" s="1" t="s">
        <v>8</v>
      </c>
      <c r="FZ36" s="1" t="s">
        <v>8</v>
      </c>
      <c r="GA36" s="1" t="s">
        <v>8</v>
      </c>
      <c r="GB36" s="1" t="s">
        <v>8</v>
      </c>
      <c r="GC36" s="1" t="s">
        <v>8</v>
      </c>
      <c r="GF36" s="1" t="s">
        <v>8</v>
      </c>
      <c r="GG36" s="1" t="s">
        <v>8</v>
      </c>
      <c r="GH36" s="1" t="s">
        <v>8</v>
      </c>
      <c r="GI36" s="1" t="s">
        <v>8</v>
      </c>
      <c r="GJ36" s="1" t="s">
        <v>8</v>
      </c>
      <c r="GM36" s="1" t="s">
        <v>8</v>
      </c>
      <c r="GN36" s="1" t="s">
        <v>8</v>
      </c>
      <c r="GO36" s="1" t="s">
        <v>8</v>
      </c>
      <c r="GP36" s="1" t="s">
        <v>8</v>
      </c>
      <c r="GQ36" s="1" t="s">
        <v>8</v>
      </c>
      <c r="GT36" s="1" t="s">
        <v>8</v>
      </c>
      <c r="GU36" s="1" t="s">
        <v>8</v>
      </c>
      <c r="GV36" s="1" t="s">
        <v>8</v>
      </c>
      <c r="GW36" s="1" t="s">
        <v>8</v>
      </c>
      <c r="GX36" s="1" t="s">
        <v>8</v>
      </c>
      <c r="HA36" s="1" t="s">
        <v>8</v>
      </c>
      <c r="HB36" s="1" t="s">
        <v>8</v>
      </c>
      <c r="HC36" s="1" t="s">
        <v>8</v>
      </c>
      <c r="HD36" s="1" t="s">
        <v>8</v>
      </c>
      <c r="HE36" s="1" t="s">
        <v>8</v>
      </c>
      <c r="HH36" s="1" t="s">
        <v>8</v>
      </c>
      <c r="HI36" s="1" t="s">
        <v>8</v>
      </c>
      <c r="HJ36" s="1" t="s">
        <v>8</v>
      </c>
      <c r="HK36" s="1" t="s">
        <v>8</v>
      </c>
      <c r="HL36" s="1" t="s">
        <v>8</v>
      </c>
      <c r="HO36" s="1" t="s">
        <v>8</v>
      </c>
      <c r="HP36" s="1" t="s">
        <v>8</v>
      </c>
      <c r="HQ36" s="1" t="s">
        <v>8</v>
      </c>
      <c r="HR36" s="1" t="s">
        <v>8</v>
      </c>
      <c r="HS36" s="1" t="s">
        <v>8</v>
      </c>
      <c r="HV36" s="1" t="s">
        <v>8</v>
      </c>
      <c r="HW36" s="1" t="s">
        <v>8</v>
      </c>
      <c r="HX36" s="1" t="s">
        <v>8</v>
      </c>
      <c r="HY36" s="1" t="s">
        <v>8</v>
      </c>
      <c r="HZ36" s="1" t="s">
        <v>8</v>
      </c>
      <c r="IC36" s="1" t="s">
        <v>8</v>
      </c>
      <c r="ID36" s="1" t="s">
        <v>8</v>
      </c>
      <c r="IE36" s="1" t="s">
        <v>8</v>
      </c>
      <c r="IF36" s="1" t="s">
        <v>8</v>
      </c>
      <c r="IG36" s="1" t="s">
        <v>8</v>
      </c>
      <c r="IJ36" s="1" t="s">
        <v>8</v>
      </c>
      <c r="IK36" s="1" t="s">
        <v>8</v>
      </c>
      <c r="IL36" s="1" t="s">
        <v>8</v>
      </c>
      <c r="IM36" s="1" t="s">
        <v>8</v>
      </c>
      <c r="IN36" s="1" t="s">
        <v>8</v>
      </c>
      <c r="IQ36" s="1" t="s">
        <v>8</v>
      </c>
      <c r="IR36" s="1" t="s">
        <v>8</v>
      </c>
      <c r="IS36" s="1" t="s">
        <v>8</v>
      </c>
      <c r="IT36" s="1" t="s">
        <v>8</v>
      </c>
      <c r="IU36" s="1" t="s">
        <v>8</v>
      </c>
      <c r="IX36" s="1" t="s">
        <v>8</v>
      </c>
      <c r="IY36" s="1" t="s">
        <v>8</v>
      </c>
      <c r="IZ36" s="1" t="s">
        <v>8</v>
      </c>
      <c r="JA36" s="1" t="s">
        <v>8</v>
      </c>
      <c r="JB36" s="1" t="s">
        <v>8</v>
      </c>
      <c r="JE36" s="1" t="s">
        <v>8</v>
      </c>
      <c r="JF36" s="1" t="s">
        <v>8</v>
      </c>
      <c r="JG36" s="1" t="s">
        <v>8</v>
      </c>
      <c r="JH36" s="1" t="s">
        <v>8</v>
      </c>
      <c r="JI36" s="1" t="s">
        <v>8</v>
      </c>
      <c r="JL36" s="1" t="s">
        <v>8</v>
      </c>
      <c r="JM36" s="1" t="s">
        <v>8</v>
      </c>
      <c r="JN36" s="1" t="s">
        <v>8</v>
      </c>
      <c r="JO36" s="1" t="s">
        <v>8</v>
      </c>
      <c r="JP36" s="1" t="s">
        <v>8</v>
      </c>
      <c r="JS36" s="1" t="s">
        <v>8</v>
      </c>
      <c r="JT36" s="1" t="s">
        <v>8</v>
      </c>
      <c r="JU36" s="1" t="s">
        <v>8</v>
      </c>
      <c r="JV36" s="1" t="s">
        <v>8</v>
      </c>
      <c r="JW36" s="1" t="s">
        <v>8</v>
      </c>
      <c r="JZ36" s="1" t="s">
        <v>8</v>
      </c>
      <c r="KA36" s="1" t="s">
        <v>8</v>
      </c>
      <c r="KB36" s="1" t="s">
        <v>8</v>
      </c>
      <c r="KC36" s="1" t="s">
        <v>8</v>
      </c>
      <c r="KD36" s="1" t="s">
        <v>8</v>
      </c>
      <c r="KG36" s="1" t="s">
        <v>8</v>
      </c>
      <c r="KH36" s="1" t="s">
        <v>8</v>
      </c>
      <c r="KI36" s="1" t="s">
        <v>8</v>
      </c>
      <c r="KJ36" s="1" t="s">
        <v>8</v>
      </c>
      <c r="KK36" s="1" t="s">
        <v>8</v>
      </c>
      <c r="KN36" s="1" t="s">
        <v>8</v>
      </c>
      <c r="KO36" s="1" t="s">
        <v>8</v>
      </c>
      <c r="KP36" s="1" t="s">
        <v>8</v>
      </c>
      <c r="KQ36" s="1" t="s">
        <v>8</v>
      </c>
      <c r="KR36" s="1" t="s">
        <v>8</v>
      </c>
      <c r="KU36" s="1" t="s">
        <v>8</v>
      </c>
      <c r="KV36" s="1" t="s">
        <v>8</v>
      </c>
      <c r="KW36" s="1" t="s">
        <v>8</v>
      </c>
      <c r="KX36" s="1" t="s">
        <v>8</v>
      </c>
      <c r="KY36" s="1" t="s">
        <v>8</v>
      </c>
      <c r="LB36" s="1" t="s">
        <v>8</v>
      </c>
      <c r="LC36" s="1" t="s">
        <v>8</v>
      </c>
      <c r="LD36" s="1" t="s">
        <v>8</v>
      </c>
      <c r="LE36" s="1" t="s">
        <v>8</v>
      </c>
      <c r="LF36" s="1" t="s">
        <v>8</v>
      </c>
      <c r="LI36" s="1" t="s">
        <v>8</v>
      </c>
      <c r="LJ36" s="1" t="s">
        <v>8</v>
      </c>
      <c r="LK36" s="1" t="s">
        <v>8</v>
      </c>
      <c r="LL36" s="1" t="s">
        <v>8</v>
      </c>
      <c r="LM36" s="1" t="s">
        <v>8</v>
      </c>
      <c r="LP36" s="1" t="s">
        <v>8</v>
      </c>
      <c r="LQ36" s="1" t="s">
        <v>8</v>
      </c>
      <c r="LR36" s="1" t="s">
        <v>8</v>
      </c>
      <c r="LS36" s="1" t="s">
        <v>8</v>
      </c>
      <c r="LT36" s="1" t="s">
        <v>8</v>
      </c>
      <c r="LW36" s="1" t="s">
        <v>8</v>
      </c>
      <c r="LX36" s="1" t="s">
        <v>8</v>
      </c>
      <c r="LY36" s="1" t="s">
        <v>8</v>
      </c>
      <c r="LZ36" s="1" t="s">
        <v>8</v>
      </c>
      <c r="MA36" s="1" t="s">
        <v>8</v>
      </c>
      <c r="MD36" s="1" t="s">
        <v>8</v>
      </c>
      <c r="ME36" s="1" t="s">
        <v>8</v>
      </c>
      <c r="MF36" s="1" t="s">
        <v>8</v>
      </c>
      <c r="MG36" s="1" t="s">
        <v>8</v>
      </c>
      <c r="MH36" s="1" t="s">
        <v>8</v>
      </c>
      <c r="MK36" s="1" t="s">
        <v>8</v>
      </c>
      <c r="ML36" s="1" t="s">
        <v>8</v>
      </c>
      <c r="MM36" s="1" t="s">
        <v>8</v>
      </c>
      <c r="MN36" s="1" t="s">
        <v>8</v>
      </c>
      <c r="MO36" s="1" t="s">
        <v>8</v>
      </c>
      <c r="MR36" s="1" t="s">
        <v>8</v>
      </c>
      <c r="MS36" s="1" t="s">
        <v>8</v>
      </c>
      <c r="MT36" s="1" t="s">
        <v>8</v>
      </c>
      <c r="MU36" s="1" t="s">
        <v>8</v>
      </c>
      <c r="MV36" s="1" t="s">
        <v>8</v>
      </c>
      <c r="MY36" s="1" t="s">
        <v>8</v>
      </c>
      <c r="MZ36" s="1" t="s">
        <v>8</v>
      </c>
      <c r="NA36" s="1" t="s">
        <v>8</v>
      </c>
      <c r="NB36" s="1" t="s">
        <v>8</v>
      </c>
      <c r="NC36" s="1" t="s">
        <v>8</v>
      </c>
    </row>
    <row r="37" spans="1:367">
      <c r="BW37" s="8"/>
      <c r="CH37" s="28"/>
      <c r="CI37" s="28"/>
      <c r="CT37" s="29"/>
      <c r="CU37" s="29"/>
      <c r="MB37" s="17"/>
      <c r="ME37" s="44"/>
    </row>
  </sheetData>
  <conditionalFormatting sqref="A5">
    <cfRule type="cellIs" dxfId="1023" priority="179" operator="equal">
      <formula>"f"</formula>
    </cfRule>
    <cfRule type="containsText" dxfId="1022" priority="180" operator="containsText" text="Feestdag">
      <formula>NOT(ISERROR(SEARCH("Feestdag",A5)))</formula>
    </cfRule>
  </conditionalFormatting>
  <conditionalFormatting sqref="A26:B30 BA30:BB34 BB35 BA36:BB36">
    <cfRule type="cellIs" dxfId="1021" priority="1707" operator="equal">
      <formula>"r"</formula>
    </cfRule>
    <cfRule type="cellIs" dxfId="1020" priority="1708" operator="equal">
      <formula>"z"</formula>
    </cfRule>
    <cfRule type="cellIs" dxfId="1019" priority="1709" operator="equal">
      <formula>"x"</formula>
    </cfRule>
    <cfRule type="cellIs" dxfId="1018" priority="1710" operator="equal">
      <formula>"v"</formula>
    </cfRule>
    <cfRule type="cellIs" dxfId="1017" priority="1711" operator="equal">
      <formula>"n"</formula>
    </cfRule>
    <cfRule type="cellIs" dxfId="1016" priority="1712" operator="equal">
      <formula>"m"</formula>
    </cfRule>
    <cfRule type="cellIs" dxfId="1015" priority="1713" operator="equal">
      <formula>"o"</formula>
    </cfRule>
  </conditionalFormatting>
  <conditionalFormatting sqref="A31:Q36">
    <cfRule type="cellIs" dxfId="1014" priority="1" operator="equal">
      <formula>"r"</formula>
    </cfRule>
    <cfRule type="cellIs" dxfId="1013" priority="2" operator="equal">
      <formula>"z"</formula>
    </cfRule>
    <cfRule type="cellIs" dxfId="1012" priority="3" operator="equal">
      <formula>"x"</formula>
    </cfRule>
    <cfRule type="cellIs" dxfId="1011" priority="4" operator="equal">
      <formula>"v"</formula>
    </cfRule>
    <cfRule type="cellIs" dxfId="1010" priority="5" operator="equal">
      <formula>"n"</formula>
    </cfRule>
    <cfRule type="cellIs" dxfId="1009" priority="6" operator="equal">
      <formula>"m"</formula>
    </cfRule>
    <cfRule type="cellIs" dxfId="1008" priority="7" operator="equal">
      <formula>"o"</formula>
    </cfRule>
  </conditionalFormatting>
  <conditionalFormatting sqref="A1:XFD25">
    <cfRule type="cellIs" dxfId="1007" priority="1168" operator="equal">
      <formula>"r"</formula>
    </cfRule>
    <cfRule type="cellIs" dxfId="1006" priority="1169" operator="equal">
      <formula>"z"</formula>
    </cfRule>
    <cfRule type="cellIs" dxfId="1005" priority="1170" operator="equal">
      <formula>"x"</formula>
    </cfRule>
    <cfRule type="cellIs" dxfId="1004" priority="1171" operator="equal">
      <formula>"v"</formula>
    </cfRule>
    <cfRule type="cellIs" dxfId="1003" priority="1172" operator="equal">
      <formula>"n"</formula>
    </cfRule>
    <cfRule type="cellIs" dxfId="1002" priority="1173" operator="equal">
      <formula>"m"</formula>
    </cfRule>
    <cfRule type="cellIs" dxfId="1001" priority="1174" operator="equal">
      <formula>"o"</formula>
    </cfRule>
  </conditionalFormatting>
  <conditionalFormatting sqref="A37:XFD1048576">
    <cfRule type="cellIs" dxfId="1000" priority="1623" operator="equal">
      <formula>"r"</formula>
    </cfRule>
    <cfRule type="cellIs" dxfId="999" priority="1624" operator="equal">
      <formula>"z"</formula>
    </cfRule>
    <cfRule type="cellIs" dxfId="998" priority="1625" operator="equal">
      <formula>"x"</formula>
    </cfRule>
    <cfRule type="cellIs" dxfId="997" priority="1626" operator="equal">
      <formula>"v"</formula>
    </cfRule>
    <cfRule type="cellIs" dxfId="996" priority="1627" operator="equal">
      <formula>"n"</formula>
    </cfRule>
    <cfRule type="cellIs" dxfId="995" priority="1628" operator="equal">
      <formula>"m"</formula>
    </cfRule>
    <cfRule type="cellIs" dxfId="994" priority="1629" operator="equal">
      <formula>"o"</formula>
    </cfRule>
  </conditionalFormatting>
  <conditionalFormatting sqref="C30">
    <cfRule type="cellIs" dxfId="993" priority="35" operator="equal">
      <formula>"f"</formula>
    </cfRule>
    <cfRule type="containsText" dxfId="992" priority="36" operator="containsText" text="Feestdag">
      <formula>NOT(ISERROR(SEARCH("Feestdag",C30)))</formula>
    </cfRule>
  </conditionalFormatting>
  <conditionalFormatting sqref="C32">
    <cfRule type="cellIs" dxfId="991" priority="26" operator="equal">
      <formula>"f"</formula>
    </cfRule>
    <cfRule type="containsText" dxfId="990" priority="27" operator="containsText" text="Feestdag">
      <formula>NOT(ISERROR(SEARCH("Feestdag",C32)))</formula>
    </cfRule>
  </conditionalFormatting>
  <conditionalFormatting sqref="C34">
    <cfRule type="cellIs" dxfId="989" priority="17" operator="equal">
      <formula>"f"</formula>
    </cfRule>
    <cfRule type="containsText" dxfId="988" priority="18" operator="containsText" text="Feestdag">
      <formula>NOT(ISERROR(SEARCH("Feestdag",C34)))</formula>
    </cfRule>
  </conditionalFormatting>
  <conditionalFormatting sqref="C36">
    <cfRule type="cellIs" dxfId="987" priority="8" operator="equal">
      <formula>"f"</formula>
    </cfRule>
    <cfRule type="containsText" dxfId="986" priority="9" operator="containsText" text="Feestdag">
      <formula>NOT(ISERROR(SEARCH("Feestdag",C36)))</formula>
    </cfRule>
  </conditionalFormatting>
  <conditionalFormatting sqref="C30:Q30">
    <cfRule type="cellIs" dxfId="985" priority="37" operator="equal">
      <formula>"r"</formula>
    </cfRule>
    <cfRule type="cellIs" dxfId="984" priority="38" operator="equal">
      <formula>"z"</formula>
    </cfRule>
    <cfRule type="cellIs" dxfId="983" priority="39" operator="equal">
      <formula>"x"</formula>
    </cfRule>
    <cfRule type="cellIs" dxfId="982" priority="40" operator="equal">
      <formula>"v"</formula>
    </cfRule>
    <cfRule type="cellIs" dxfId="981" priority="41" operator="equal">
      <formula>"n"</formula>
    </cfRule>
    <cfRule type="cellIs" dxfId="980" priority="42" operator="equal">
      <formula>"m"</formula>
    </cfRule>
    <cfRule type="cellIs" dxfId="979" priority="43" operator="equal">
      <formula>"o"</formula>
    </cfRule>
  </conditionalFormatting>
  <conditionalFormatting sqref="C26:XFD29">
    <cfRule type="cellIs" dxfId="978" priority="860" operator="equal">
      <formula>"r"</formula>
    </cfRule>
    <cfRule type="cellIs" dxfId="977" priority="861" operator="equal">
      <formula>"z"</formula>
    </cfRule>
    <cfRule type="cellIs" dxfId="976" priority="862" operator="equal">
      <formula>"x"</formula>
    </cfRule>
    <cfRule type="cellIs" dxfId="975" priority="863" operator="equal">
      <formula>"v"</formula>
    </cfRule>
    <cfRule type="cellIs" dxfId="974" priority="864" operator="equal">
      <formula>"n"</formula>
    </cfRule>
    <cfRule type="cellIs" dxfId="973" priority="865" operator="equal">
      <formula>"m"</formula>
    </cfRule>
    <cfRule type="cellIs" dxfId="972" priority="866" operator="equal">
      <formula>"o"</formula>
    </cfRule>
  </conditionalFormatting>
  <conditionalFormatting sqref="R30:AZ36">
    <cfRule type="cellIs" dxfId="971" priority="818" operator="equal">
      <formula>"r"</formula>
    </cfRule>
    <cfRule type="cellIs" dxfId="970" priority="819" operator="equal">
      <formula>"z"</formula>
    </cfRule>
    <cfRule type="cellIs" dxfId="969" priority="820" operator="equal">
      <formula>"x"</formula>
    </cfRule>
    <cfRule type="cellIs" dxfId="968" priority="821" operator="equal">
      <formula>"v"</formula>
    </cfRule>
    <cfRule type="cellIs" dxfId="967" priority="822" operator="equal">
      <formula>"n"</formula>
    </cfRule>
    <cfRule type="cellIs" dxfId="966" priority="823" operator="equal">
      <formula>"m"</formula>
    </cfRule>
    <cfRule type="cellIs" dxfId="965" priority="824" operator="equal">
      <formula>"o"</formula>
    </cfRule>
  </conditionalFormatting>
  <conditionalFormatting sqref="BC30:XFD36">
    <cfRule type="cellIs" dxfId="964" priority="46" operator="equal">
      <formula>"r"</formula>
    </cfRule>
    <cfRule type="cellIs" dxfId="963" priority="47" operator="equal">
      <formula>"z"</formula>
    </cfRule>
    <cfRule type="cellIs" dxfId="962" priority="48" operator="equal">
      <formula>"x"</formula>
    </cfRule>
    <cfRule type="cellIs" dxfId="961" priority="49" operator="equal">
      <formula>"v"</formula>
    </cfRule>
    <cfRule type="cellIs" dxfId="960" priority="50" operator="equal">
      <formula>"n"</formula>
    </cfRule>
    <cfRule type="cellIs" dxfId="959" priority="51" operator="equal">
      <formula>"m"</formula>
    </cfRule>
    <cfRule type="cellIs" dxfId="958" priority="52" operator="equal">
      <formula>"o"</formula>
    </cfRule>
  </conditionalFormatting>
  <conditionalFormatting sqref="CS30">
    <cfRule type="cellIs" dxfId="957" priority="170" operator="equal">
      <formula>"f"</formula>
    </cfRule>
    <cfRule type="containsText" dxfId="956" priority="171" operator="containsText" text="Feestdag">
      <formula>NOT(ISERROR(SEARCH("Feestdag",CS30)))</formula>
    </cfRule>
  </conditionalFormatting>
  <conditionalFormatting sqref="CS32">
    <cfRule type="cellIs" dxfId="955" priority="161" operator="equal">
      <formula>"f"</formula>
    </cfRule>
    <cfRule type="containsText" dxfId="954" priority="162" operator="containsText" text="Feestdag">
      <formula>NOT(ISERROR(SEARCH("Feestdag",CS32)))</formula>
    </cfRule>
  </conditionalFormatting>
  <conditionalFormatting sqref="CS34">
    <cfRule type="cellIs" dxfId="953" priority="152" operator="equal">
      <formula>"f"</formula>
    </cfRule>
    <cfRule type="containsText" dxfId="952" priority="153" operator="containsText" text="Feestdag">
      <formula>NOT(ISERROR(SEARCH("Feestdag",CS34)))</formula>
    </cfRule>
  </conditionalFormatting>
  <conditionalFormatting sqref="CS36">
    <cfRule type="cellIs" dxfId="951" priority="143" operator="equal">
      <formula>"f"</formula>
    </cfRule>
    <cfRule type="containsText" dxfId="950" priority="144" operator="containsText" text="Feestdag">
      <formula>NOT(ISERROR(SEARCH("Feestdag",CS36)))</formula>
    </cfRule>
  </conditionalFormatting>
  <conditionalFormatting sqref="DO30">
    <cfRule type="cellIs" dxfId="949" priority="134" operator="equal">
      <formula>"f"</formula>
    </cfRule>
    <cfRule type="containsText" dxfId="948" priority="135" operator="containsText" text="Feestdag">
      <formula>NOT(ISERROR(SEARCH("Feestdag",DO30)))</formula>
    </cfRule>
  </conditionalFormatting>
  <conditionalFormatting sqref="DO32">
    <cfRule type="cellIs" dxfId="947" priority="125" operator="equal">
      <formula>"f"</formula>
    </cfRule>
    <cfRule type="containsText" dxfId="946" priority="126" operator="containsText" text="Feestdag">
      <formula>NOT(ISERROR(SEARCH("Feestdag",DO32)))</formula>
    </cfRule>
  </conditionalFormatting>
  <conditionalFormatting sqref="DO36">
    <cfRule type="cellIs" dxfId="945" priority="116" operator="equal">
      <formula>"f"</formula>
    </cfRule>
    <cfRule type="containsText" dxfId="944" priority="117" operator="containsText" text="Feestdag">
      <formula>NOT(ISERROR(SEARCH("Feestdag",DO36)))</formula>
    </cfRule>
  </conditionalFormatting>
  <conditionalFormatting sqref="EE30">
    <cfRule type="cellIs" dxfId="943" priority="107" operator="equal">
      <formula>"f"</formula>
    </cfRule>
    <cfRule type="containsText" dxfId="942" priority="108" operator="containsText" text="Feestdag">
      <formula>NOT(ISERROR(SEARCH("Feestdag",EE30)))</formula>
    </cfRule>
  </conditionalFormatting>
  <conditionalFormatting sqref="EE32">
    <cfRule type="cellIs" dxfId="941" priority="98" operator="equal">
      <formula>"f"</formula>
    </cfRule>
    <cfRule type="containsText" dxfId="940" priority="99" operator="containsText" text="Feestdag">
      <formula>NOT(ISERROR(SEARCH("Feestdag",EE32)))</formula>
    </cfRule>
  </conditionalFormatting>
  <conditionalFormatting sqref="EE34">
    <cfRule type="cellIs" dxfId="939" priority="89" operator="equal">
      <formula>"f"</formula>
    </cfRule>
    <cfRule type="containsText" dxfId="938" priority="90" operator="containsText" text="Feestdag">
      <formula>NOT(ISERROR(SEARCH("Feestdag",EE34)))</formula>
    </cfRule>
  </conditionalFormatting>
  <conditionalFormatting sqref="EE36">
    <cfRule type="cellIs" dxfId="937" priority="80" operator="equal">
      <formula>"f"</formula>
    </cfRule>
    <cfRule type="containsText" dxfId="936" priority="81" operator="containsText" text="Feestdag">
      <formula>NOT(ISERROR(SEARCH("Feestdag",EE36)))</formula>
    </cfRule>
  </conditionalFormatting>
  <conditionalFormatting sqref="EP30">
    <cfRule type="cellIs" dxfId="935" priority="71" operator="equal">
      <formula>"f"</formula>
    </cfRule>
    <cfRule type="containsText" dxfId="934" priority="72" operator="containsText" text="Feestdag">
      <formula>NOT(ISERROR(SEARCH("Feestdag",EP30)))</formula>
    </cfRule>
  </conditionalFormatting>
  <conditionalFormatting sqref="EP32">
    <cfRule type="cellIs" dxfId="933" priority="62" operator="equal">
      <formula>"f"</formula>
    </cfRule>
    <cfRule type="containsText" dxfId="932" priority="63" operator="containsText" text="Feestdag">
      <formula>NOT(ISERROR(SEARCH("Feestdag",EP32)))</formula>
    </cfRule>
  </conditionalFormatting>
  <conditionalFormatting sqref="EP34">
    <cfRule type="cellIs" dxfId="931" priority="53" operator="equal">
      <formula>"f"</formula>
    </cfRule>
    <cfRule type="containsText" dxfId="930" priority="54" operator="containsText" text="Feestdag">
      <formula>NOT(ISERROR(SEARCH("Feestdag",EP34)))</formula>
    </cfRule>
  </conditionalFormatting>
  <conditionalFormatting sqref="EP36">
    <cfRule type="cellIs" dxfId="929" priority="44" operator="equal">
      <formula>"f"</formula>
    </cfRule>
    <cfRule type="containsText" dxfId="928" priority="45" operator="containsText" text="Feestdag">
      <formula>NOT(ISERROR(SEARCH("Feestdag",EP36)))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EFE86-37C0-4921-A065-4532E7CD090F}">
  <dimension ref="A1:NZ42"/>
  <sheetViews>
    <sheetView topLeftCell="A12" workbookViewId="0">
      <pane xSplit="1" topLeftCell="HL1" activePane="topRight" state="frozen"/>
      <selection pane="topRight" activeCell="A12" sqref="A12"/>
      <selection activeCell="A12" sqref="A12"/>
    </sheetView>
  </sheetViews>
  <sheetFormatPr defaultColWidth="9.140625" defaultRowHeight="13.15"/>
  <cols>
    <col min="1" max="1" width="8.5703125" style="1" customWidth="1"/>
    <col min="2" max="2" width="20.42578125" style="1" bestFit="1" customWidth="1"/>
    <col min="3" max="26" width="6.42578125" style="1" customWidth="1"/>
    <col min="27" max="61" width="6.42578125" style="1" bestFit="1" customWidth="1"/>
    <col min="62" max="88" width="6.5703125" style="1" bestFit="1" customWidth="1"/>
    <col min="89" max="90" width="6.5703125" style="1" customWidth="1"/>
    <col min="91" max="95" width="6.5703125" style="1" bestFit="1" customWidth="1"/>
    <col min="96" max="97" width="9.140625" style="1" bestFit="1"/>
    <col min="98" max="118" width="6.5703125" style="1" bestFit="1" customWidth="1"/>
    <col min="119" max="119" width="9.140625" style="1" bestFit="1"/>
    <col min="120" max="122" width="6.5703125" style="1" bestFit="1" customWidth="1"/>
    <col min="123" max="134" width="7" style="1" bestFit="1" customWidth="1"/>
    <col min="135" max="135" width="8.5703125" style="1" bestFit="1" customWidth="1"/>
    <col min="136" max="144" width="7" style="1" bestFit="1" customWidth="1"/>
    <col min="145" max="146" width="11.140625" style="1" bestFit="1" customWidth="1"/>
    <col min="147" max="149" width="7" style="1" bestFit="1" customWidth="1"/>
    <col min="150" max="154" width="9" style="1" bestFit="1" customWidth="1"/>
    <col min="155" max="157" width="6.42578125" style="1" bestFit="1" customWidth="1"/>
    <col min="158" max="161" width="9" style="1" bestFit="1" customWidth="1"/>
    <col min="162" max="162" width="11.5703125" style="1" customWidth="1"/>
    <col min="163" max="163" width="9.5703125" style="1" customWidth="1"/>
    <col min="164" max="165" width="6.42578125" style="1" bestFit="1" customWidth="1"/>
    <col min="166" max="166" width="6.5703125" style="1" bestFit="1" customWidth="1"/>
    <col min="167" max="167" width="7.85546875" style="1" customWidth="1"/>
    <col min="168" max="168" width="9.140625" style="1" customWidth="1"/>
    <col min="169" max="183" width="6.42578125" style="1" bestFit="1" customWidth="1"/>
    <col min="184" max="214" width="5.85546875" style="1" bestFit="1" customWidth="1"/>
    <col min="215" max="245" width="7" style="1" bestFit="1" customWidth="1"/>
    <col min="246" max="275" width="6.5703125" style="1" bestFit="1" customWidth="1"/>
    <col min="276" max="306" width="6.42578125" style="1" bestFit="1" customWidth="1"/>
    <col min="307" max="367" width="6.85546875" style="1" bestFit="1" customWidth="1"/>
    <col min="368" max="390" width="6.42578125" style="1" bestFit="1" customWidth="1"/>
    <col min="391" max="16384" width="9.140625" style="1"/>
  </cols>
  <sheetData>
    <row r="1" spans="1:390">
      <c r="A1" s="1" t="s">
        <v>0</v>
      </c>
      <c r="B1" s="1" t="s">
        <v>1</v>
      </c>
    </row>
    <row r="2" spans="1:390">
      <c r="A2" s="1" t="s">
        <v>2</v>
      </c>
      <c r="B2" s="1" t="s">
        <v>3</v>
      </c>
    </row>
    <row r="3" spans="1:390">
      <c r="A3" s="1" t="s">
        <v>4</v>
      </c>
      <c r="B3" s="1" t="s">
        <v>5</v>
      </c>
    </row>
    <row r="4" spans="1:390">
      <c r="A4" s="1" t="s">
        <v>6</v>
      </c>
      <c r="B4" s="1" t="s">
        <v>97</v>
      </c>
    </row>
    <row r="5" spans="1:390">
      <c r="A5" s="1" t="s">
        <v>140</v>
      </c>
      <c r="B5" s="1" t="s">
        <v>141</v>
      </c>
    </row>
    <row r="6" spans="1:390">
      <c r="A6" s="1" t="s">
        <v>8</v>
      </c>
      <c r="B6" s="1" t="s">
        <v>9</v>
      </c>
    </row>
    <row r="7" spans="1:390">
      <c r="A7" s="1" t="s">
        <v>12</v>
      </c>
      <c r="B7" s="1" t="s">
        <v>13</v>
      </c>
    </row>
    <row r="8" spans="1:390">
      <c r="A8" s="46"/>
      <c r="B8" s="1" t="s">
        <v>142</v>
      </c>
      <c r="DO8" s="2"/>
    </row>
    <row r="9" spans="1:390">
      <c r="A9" s="43"/>
      <c r="B9" s="1" t="s">
        <v>143</v>
      </c>
      <c r="DO9" s="2"/>
    </row>
    <row r="10" spans="1:390">
      <c r="A10" s="58" t="s">
        <v>10</v>
      </c>
      <c r="B10" s="1" t="s">
        <v>205</v>
      </c>
      <c r="DO10" s="2"/>
    </row>
    <row r="11" spans="1:390">
      <c r="DO11" s="2"/>
    </row>
    <row r="12" spans="1:390" s="4" customFormat="1">
      <c r="B12" s="1"/>
      <c r="C12" s="4" t="s">
        <v>144</v>
      </c>
      <c r="F12" s="4" t="s">
        <v>14</v>
      </c>
      <c r="M12" s="4" t="s">
        <v>145</v>
      </c>
      <c r="T12" s="4" t="s">
        <v>146</v>
      </c>
      <c r="AA12" s="4" t="s">
        <v>147</v>
      </c>
      <c r="AH12" s="4" t="s">
        <v>148</v>
      </c>
      <c r="AO12" s="4" t="s">
        <v>149</v>
      </c>
      <c r="AV12" s="4" t="s">
        <v>150</v>
      </c>
      <c r="BC12" s="4" t="s">
        <v>151</v>
      </c>
      <c r="BJ12" s="4" t="s">
        <v>152</v>
      </c>
      <c r="BQ12" s="4" t="s">
        <v>153</v>
      </c>
      <c r="BX12" s="4" t="s">
        <v>154</v>
      </c>
      <c r="CE12" s="4" t="s">
        <v>155</v>
      </c>
      <c r="CL12" s="4" t="s">
        <v>156</v>
      </c>
      <c r="CS12" s="4" t="s">
        <v>157</v>
      </c>
      <c r="CZ12" s="4" t="s">
        <v>158</v>
      </c>
      <c r="DG12" s="4" t="s">
        <v>159</v>
      </c>
      <c r="DN12" s="4" t="s">
        <v>160</v>
      </c>
      <c r="DU12" s="4" t="s">
        <v>161</v>
      </c>
      <c r="EB12" s="4" t="s">
        <v>162</v>
      </c>
      <c r="EI12" s="4" t="s">
        <v>163</v>
      </c>
      <c r="EP12" s="4" t="s">
        <v>164</v>
      </c>
      <c r="EW12" s="4" t="s">
        <v>165</v>
      </c>
      <c r="FD12" s="4" t="s">
        <v>166</v>
      </c>
      <c r="FK12" s="4" t="s">
        <v>167</v>
      </c>
      <c r="FR12" s="4" t="s">
        <v>168</v>
      </c>
      <c r="FY12" s="4" t="s">
        <v>169</v>
      </c>
      <c r="GF12" s="4" t="s">
        <v>170</v>
      </c>
      <c r="GM12" s="4" t="s">
        <v>171</v>
      </c>
      <c r="GT12" s="4" t="s">
        <v>172</v>
      </c>
      <c r="HA12" s="4" t="s">
        <v>173</v>
      </c>
      <c r="HH12" s="4" t="s">
        <v>174</v>
      </c>
      <c r="HO12" s="4" t="s">
        <v>175</v>
      </c>
      <c r="HV12" s="4" t="s">
        <v>46</v>
      </c>
      <c r="IC12" s="4" t="s">
        <v>176</v>
      </c>
      <c r="IJ12" s="4" t="s">
        <v>177</v>
      </c>
      <c r="IQ12" s="4" t="s">
        <v>178</v>
      </c>
      <c r="IX12" s="4" t="s">
        <v>179</v>
      </c>
      <c r="JE12" s="4" t="s">
        <v>180</v>
      </c>
      <c r="JL12" s="4" t="s">
        <v>181</v>
      </c>
      <c r="JS12" s="4" t="s">
        <v>182</v>
      </c>
      <c r="JZ12" s="4" t="s">
        <v>183</v>
      </c>
      <c r="KG12" s="4" t="s">
        <v>184</v>
      </c>
      <c r="KN12" s="4" t="s">
        <v>185</v>
      </c>
      <c r="KU12" s="4" t="s">
        <v>186</v>
      </c>
      <c r="LB12" s="4" t="s">
        <v>187</v>
      </c>
      <c r="LI12" s="4" t="s">
        <v>188</v>
      </c>
      <c r="LP12" s="4" t="s">
        <v>189</v>
      </c>
      <c r="LW12" s="4" t="s">
        <v>190</v>
      </c>
      <c r="MD12" s="4" t="s">
        <v>191</v>
      </c>
      <c r="MK12" s="4" t="s">
        <v>192</v>
      </c>
      <c r="MR12" s="4" t="s">
        <v>193</v>
      </c>
      <c r="MY12" s="4" t="s">
        <v>194</v>
      </c>
    </row>
    <row r="13" spans="1:390" s="2" customFormat="1">
      <c r="C13" s="2" t="s">
        <v>68</v>
      </c>
      <c r="D13" s="2" t="s">
        <v>69</v>
      </c>
      <c r="E13" s="2" t="s">
        <v>70</v>
      </c>
      <c r="F13" s="2" t="s">
        <v>71</v>
      </c>
      <c r="G13" s="2" t="s">
        <v>72</v>
      </c>
      <c r="H13" s="2" t="s">
        <v>66</v>
      </c>
      <c r="I13" s="2" t="s">
        <v>73</v>
      </c>
      <c r="J13" s="2" t="s">
        <v>68</v>
      </c>
      <c r="K13" s="2" t="s">
        <v>69</v>
      </c>
      <c r="L13" s="2" t="s">
        <v>70</v>
      </c>
      <c r="M13" s="2" t="s">
        <v>71</v>
      </c>
      <c r="N13" s="2" t="s">
        <v>72</v>
      </c>
      <c r="O13" s="2" t="s">
        <v>66</v>
      </c>
      <c r="P13" s="2" t="s">
        <v>73</v>
      </c>
      <c r="Q13" s="2" t="s">
        <v>68</v>
      </c>
      <c r="R13" s="2" t="s">
        <v>69</v>
      </c>
      <c r="S13" s="2" t="s">
        <v>70</v>
      </c>
      <c r="T13" s="2" t="s">
        <v>71</v>
      </c>
      <c r="U13" s="2" t="s">
        <v>72</v>
      </c>
      <c r="V13" s="2" t="s">
        <v>66</v>
      </c>
      <c r="W13" s="2" t="s">
        <v>73</v>
      </c>
      <c r="X13" s="2" t="s">
        <v>68</v>
      </c>
      <c r="Y13" s="2" t="s">
        <v>69</v>
      </c>
      <c r="Z13" s="2" t="s">
        <v>70</v>
      </c>
      <c r="AA13" s="2" t="s">
        <v>71</v>
      </c>
      <c r="AB13" s="2" t="s">
        <v>72</v>
      </c>
      <c r="AC13" s="2" t="s">
        <v>66</v>
      </c>
      <c r="AD13" s="2" t="s">
        <v>73</v>
      </c>
      <c r="AE13" s="2" t="s">
        <v>68</v>
      </c>
      <c r="AF13" s="2" t="s">
        <v>69</v>
      </c>
      <c r="AG13" s="2" t="s">
        <v>70</v>
      </c>
      <c r="AH13" s="2" t="s">
        <v>71</v>
      </c>
      <c r="AI13" s="2" t="s">
        <v>72</v>
      </c>
      <c r="AJ13" s="2" t="s">
        <v>66</v>
      </c>
      <c r="AK13" s="2" t="s">
        <v>73</v>
      </c>
      <c r="AL13" s="2" t="s">
        <v>68</v>
      </c>
      <c r="AM13" s="2" t="s">
        <v>69</v>
      </c>
      <c r="AN13" s="2" t="s">
        <v>70</v>
      </c>
      <c r="AO13" s="2" t="s">
        <v>71</v>
      </c>
      <c r="AP13" s="2" t="s">
        <v>72</v>
      </c>
      <c r="AQ13" s="2" t="s">
        <v>66</v>
      </c>
      <c r="AR13" s="2" t="s">
        <v>73</v>
      </c>
      <c r="AS13" s="2" t="s">
        <v>68</v>
      </c>
      <c r="AT13" s="2" t="s">
        <v>69</v>
      </c>
      <c r="AU13" s="2" t="s">
        <v>70</v>
      </c>
      <c r="AV13" s="2" t="s">
        <v>71</v>
      </c>
      <c r="AW13" s="2" t="s">
        <v>72</v>
      </c>
      <c r="AX13" s="2" t="s">
        <v>66</v>
      </c>
      <c r="AY13" s="2" t="s">
        <v>73</v>
      </c>
      <c r="AZ13" s="2" t="s">
        <v>68</v>
      </c>
      <c r="BA13" s="2" t="s">
        <v>69</v>
      </c>
      <c r="BB13" s="2" t="s">
        <v>70</v>
      </c>
      <c r="BC13" s="2" t="s">
        <v>71</v>
      </c>
      <c r="BD13" s="2" t="s">
        <v>72</v>
      </c>
      <c r="BE13" s="2" t="s">
        <v>66</v>
      </c>
      <c r="BF13" s="2" t="s">
        <v>73</v>
      </c>
      <c r="BG13" s="2" t="s">
        <v>68</v>
      </c>
      <c r="BH13" s="2" t="s">
        <v>69</v>
      </c>
      <c r="BI13" s="2" t="s">
        <v>70</v>
      </c>
      <c r="BJ13" s="2" t="s">
        <v>71</v>
      </c>
      <c r="BK13" s="2" t="s">
        <v>72</v>
      </c>
      <c r="BL13" s="2" t="s">
        <v>66</v>
      </c>
      <c r="BM13" s="2" t="s">
        <v>73</v>
      </c>
      <c r="BN13" s="2" t="s">
        <v>68</v>
      </c>
      <c r="BO13" s="2" t="s">
        <v>69</v>
      </c>
      <c r="BP13" s="2" t="s">
        <v>70</v>
      </c>
      <c r="BQ13" s="2" t="s">
        <v>71</v>
      </c>
      <c r="BR13" s="2" t="s">
        <v>72</v>
      </c>
      <c r="BS13" s="2" t="s">
        <v>66</v>
      </c>
      <c r="BT13" s="2" t="s">
        <v>73</v>
      </c>
      <c r="BU13" s="2" t="s">
        <v>68</v>
      </c>
      <c r="BV13" s="2" t="s">
        <v>69</v>
      </c>
      <c r="BW13" s="2" t="s">
        <v>70</v>
      </c>
      <c r="BX13" s="2" t="s">
        <v>71</v>
      </c>
      <c r="BY13" s="2" t="s">
        <v>72</v>
      </c>
      <c r="BZ13" s="2" t="s">
        <v>66</v>
      </c>
      <c r="CA13" s="2" t="s">
        <v>73</v>
      </c>
      <c r="CB13" s="2" t="s">
        <v>68</v>
      </c>
      <c r="CC13" s="2" t="s">
        <v>69</v>
      </c>
      <c r="CD13" s="2" t="s">
        <v>70</v>
      </c>
      <c r="CE13" s="2" t="s">
        <v>71</v>
      </c>
      <c r="CF13" s="2" t="s">
        <v>72</v>
      </c>
      <c r="CG13" s="2" t="s">
        <v>66</v>
      </c>
      <c r="CH13" s="2" t="s">
        <v>73</v>
      </c>
      <c r="CI13" s="2" t="s">
        <v>68</v>
      </c>
      <c r="CJ13" s="2" t="s">
        <v>69</v>
      </c>
      <c r="CK13" s="2" t="s">
        <v>70</v>
      </c>
      <c r="CL13" s="2" t="s">
        <v>71</v>
      </c>
      <c r="CM13" s="2" t="s">
        <v>72</v>
      </c>
      <c r="CN13" s="2" t="s">
        <v>66</v>
      </c>
      <c r="CO13" s="2" t="s">
        <v>73</v>
      </c>
      <c r="CP13" s="2" t="s">
        <v>68</v>
      </c>
      <c r="CQ13" s="2" t="s">
        <v>69</v>
      </c>
      <c r="CR13" s="2" t="s">
        <v>70</v>
      </c>
      <c r="CS13" s="2" t="s">
        <v>71</v>
      </c>
      <c r="CT13" s="2" t="s">
        <v>72</v>
      </c>
      <c r="CU13" s="2" t="s">
        <v>66</v>
      </c>
      <c r="CV13" s="2" t="s">
        <v>73</v>
      </c>
      <c r="CW13" s="2" t="s">
        <v>68</v>
      </c>
      <c r="CX13" s="2" t="s">
        <v>69</v>
      </c>
      <c r="CY13" s="2" t="s">
        <v>70</v>
      </c>
      <c r="CZ13" s="2" t="s">
        <v>71</v>
      </c>
      <c r="DA13" s="2" t="s">
        <v>72</v>
      </c>
      <c r="DB13" s="2" t="s">
        <v>66</v>
      </c>
      <c r="DC13" s="2" t="s">
        <v>73</v>
      </c>
      <c r="DD13" s="2" t="s">
        <v>68</v>
      </c>
      <c r="DE13" s="2" t="s">
        <v>69</v>
      </c>
      <c r="DF13" s="2" t="s">
        <v>70</v>
      </c>
      <c r="DG13" s="2" t="s">
        <v>71</v>
      </c>
      <c r="DH13" s="2" t="s">
        <v>72</v>
      </c>
      <c r="DI13" s="2" t="s">
        <v>66</v>
      </c>
      <c r="DJ13" s="2" t="s">
        <v>73</v>
      </c>
      <c r="DK13" s="2" t="s">
        <v>68</v>
      </c>
      <c r="DL13" s="2" t="s">
        <v>69</v>
      </c>
      <c r="DM13" s="2" t="s">
        <v>70</v>
      </c>
      <c r="DN13" s="2" t="s">
        <v>71</v>
      </c>
      <c r="DO13" s="2" t="s">
        <v>72</v>
      </c>
      <c r="DP13" s="2" t="s">
        <v>66</v>
      </c>
      <c r="DQ13" s="2" t="s">
        <v>73</v>
      </c>
      <c r="DR13" s="2" t="s">
        <v>68</v>
      </c>
      <c r="DS13" s="2" t="s">
        <v>69</v>
      </c>
      <c r="DT13" s="2" t="s">
        <v>70</v>
      </c>
      <c r="DU13" s="2" t="s">
        <v>71</v>
      </c>
      <c r="DV13" s="2" t="s">
        <v>72</v>
      </c>
      <c r="DW13" s="2" t="s">
        <v>66</v>
      </c>
      <c r="DX13" s="2" t="s">
        <v>73</v>
      </c>
      <c r="DY13" s="2" t="s">
        <v>68</v>
      </c>
      <c r="DZ13" s="2" t="s">
        <v>69</v>
      </c>
      <c r="EA13" s="2" t="s">
        <v>70</v>
      </c>
      <c r="EB13" s="2" t="s">
        <v>71</v>
      </c>
      <c r="EC13" s="2" t="s">
        <v>72</v>
      </c>
      <c r="ED13" s="2" t="s">
        <v>66</v>
      </c>
      <c r="EE13" s="2" t="s">
        <v>73</v>
      </c>
      <c r="EF13" s="2" t="s">
        <v>68</v>
      </c>
      <c r="EG13" s="2" t="s">
        <v>69</v>
      </c>
      <c r="EH13" s="2" t="s">
        <v>70</v>
      </c>
      <c r="EI13" s="2" t="s">
        <v>71</v>
      </c>
      <c r="EJ13" s="2" t="s">
        <v>72</v>
      </c>
      <c r="EK13" s="2" t="s">
        <v>66</v>
      </c>
      <c r="EL13" s="2" t="s">
        <v>73</v>
      </c>
      <c r="EM13" s="2" t="s">
        <v>68</v>
      </c>
      <c r="EN13" s="2" t="s">
        <v>69</v>
      </c>
      <c r="EO13" s="2" t="s">
        <v>70</v>
      </c>
      <c r="EP13" s="2" t="s">
        <v>71</v>
      </c>
      <c r="EQ13" s="2" t="s">
        <v>72</v>
      </c>
      <c r="ER13" s="2" t="s">
        <v>66</v>
      </c>
      <c r="ES13" s="2" t="s">
        <v>73</v>
      </c>
      <c r="ET13" s="2" t="s">
        <v>68</v>
      </c>
      <c r="EU13" s="2" t="s">
        <v>69</v>
      </c>
      <c r="EV13" s="2" t="s">
        <v>70</v>
      </c>
      <c r="EW13" s="2" t="s">
        <v>71</v>
      </c>
      <c r="EX13" s="2" t="s">
        <v>72</v>
      </c>
      <c r="EY13" s="2" t="s">
        <v>66</v>
      </c>
      <c r="EZ13" s="2" t="s">
        <v>73</v>
      </c>
      <c r="FA13" s="2" t="s">
        <v>68</v>
      </c>
      <c r="FB13" s="2" t="s">
        <v>69</v>
      </c>
      <c r="FC13" s="2" t="s">
        <v>70</v>
      </c>
      <c r="FD13" s="2" t="s">
        <v>71</v>
      </c>
      <c r="FE13" s="2" t="s">
        <v>72</v>
      </c>
      <c r="FF13" s="2" t="s">
        <v>66</v>
      </c>
      <c r="FG13" s="2" t="s">
        <v>73</v>
      </c>
      <c r="FH13" s="2" t="s">
        <v>68</v>
      </c>
      <c r="FI13" s="2" t="s">
        <v>69</v>
      </c>
      <c r="FJ13" s="2" t="s">
        <v>70</v>
      </c>
      <c r="FK13" s="2" t="s">
        <v>71</v>
      </c>
      <c r="FL13" s="2" t="s">
        <v>72</v>
      </c>
      <c r="FM13" s="2" t="s">
        <v>66</v>
      </c>
      <c r="FN13" s="2" t="s">
        <v>73</v>
      </c>
      <c r="FO13" s="2" t="s">
        <v>68</v>
      </c>
      <c r="FP13" s="2" t="s">
        <v>69</v>
      </c>
      <c r="FQ13" s="2" t="s">
        <v>70</v>
      </c>
      <c r="FR13" s="2" t="s">
        <v>71</v>
      </c>
      <c r="FS13" s="2" t="s">
        <v>72</v>
      </c>
      <c r="FT13" s="2" t="s">
        <v>66</v>
      </c>
      <c r="FU13" s="2" t="s">
        <v>73</v>
      </c>
      <c r="FV13" s="2" t="s">
        <v>68</v>
      </c>
      <c r="FW13" s="2" t="s">
        <v>69</v>
      </c>
      <c r="FX13" s="2" t="s">
        <v>70</v>
      </c>
      <c r="FY13" s="2" t="s">
        <v>71</v>
      </c>
      <c r="FZ13" s="2" t="s">
        <v>72</v>
      </c>
      <c r="GA13" s="2" t="s">
        <v>66</v>
      </c>
      <c r="GB13" s="2" t="s">
        <v>73</v>
      </c>
      <c r="GC13" s="2" t="s">
        <v>68</v>
      </c>
      <c r="GD13" s="2" t="s">
        <v>69</v>
      </c>
      <c r="GE13" s="2" t="s">
        <v>70</v>
      </c>
      <c r="GF13" s="2" t="s">
        <v>71</v>
      </c>
      <c r="GG13" s="2" t="s">
        <v>72</v>
      </c>
      <c r="GH13" s="2" t="s">
        <v>66</v>
      </c>
      <c r="GI13" s="2" t="s">
        <v>73</v>
      </c>
      <c r="GJ13" s="2" t="s">
        <v>68</v>
      </c>
      <c r="GK13" s="2" t="s">
        <v>69</v>
      </c>
      <c r="GL13" s="2" t="s">
        <v>70</v>
      </c>
      <c r="GM13" s="2" t="s">
        <v>71</v>
      </c>
      <c r="GN13" s="2" t="s">
        <v>72</v>
      </c>
      <c r="GO13" s="2" t="s">
        <v>66</v>
      </c>
      <c r="GP13" s="2" t="s">
        <v>73</v>
      </c>
      <c r="GQ13" s="2" t="s">
        <v>68</v>
      </c>
      <c r="GR13" s="2" t="s">
        <v>69</v>
      </c>
      <c r="GS13" s="2" t="s">
        <v>70</v>
      </c>
      <c r="GT13" s="2" t="s">
        <v>71</v>
      </c>
      <c r="GU13" s="2" t="s">
        <v>72</v>
      </c>
      <c r="GV13" s="2" t="s">
        <v>66</v>
      </c>
      <c r="GW13" s="2" t="s">
        <v>73</v>
      </c>
      <c r="GX13" s="2" t="s">
        <v>68</v>
      </c>
      <c r="GY13" s="2" t="s">
        <v>69</v>
      </c>
      <c r="GZ13" s="2" t="s">
        <v>70</v>
      </c>
      <c r="HA13" s="2" t="s">
        <v>71</v>
      </c>
      <c r="HB13" s="2" t="s">
        <v>72</v>
      </c>
      <c r="HC13" s="2" t="s">
        <v>66</v>
      </c>
      <c r="HD13" s="2" t="s">
        <v>73</v>
      </c>
      <c r="HE13" s="2" t="s">
        <v>68</v>
      </c>
      <c r="HF13" s="2" t="s">
        <v>69</v>
      </c>
      <c r="HG13" s="2" t="s">
        <v>70</v>
      </c>
      <c r="HH13" s="2" t="s">
        <v>71</v>
      </c>
      <c r="HI13" s="2" t="s">
        <v>72</v>
      </c>
      <c r="HJ13" s="2" t="s">
        <v>66</v>
      </c>
      <c r="HK13" s="2" t="s">
        <v>73</v>
      </c>
      <c r="HL13" s="2" t="s">
        <v>68</v>
      </c>
      <c r="HM13" s="2" t="s">
        <v>69</v>
      </c>
      <c r="HN13" s="2" t="s">
        <v>70</v>
      </c>
      <c r="HO13" s="2" t="s">
        <v>71</v>
      </c>
      <c r="HP13" s="2" t="s">
        <v>72</v>
      </c>
      <c r="HQ13" s="2" t="s">
        <v>66</v>
      </c>
      <c r="HR13" s="2" t="s">
        <v>73</v>
      </c>
      <c r="HS13" s="2" t="s">
        <v>68</v>
      </c>
      <c r="HT13" s="2" t="s">
        <v>69</v>
      </c>
      <c r="HU13" s="2" t="s">
        <v>70</v>
      </c>
      <c r="HV13" s="2" t="s">
        <v>71</v>
      </c>
      <c r="HW13" s="2" t="s">
        <v>72</v>
      </c>
      <c r="HX13" s="2" t="s">
        <v>66</v>
      </c>
      <c r="HY13" s="2" t="s">
        <v>73</v>
      </c>
      <c r="HZ13" s="2" t="s">
        <v>68</v>
      </c>
      <c r="IA13" s="2" t="s">
        <v>69</v>
      </c>
      <c r="IB13" s="2" t="s">
        <v>70</v>
      </c>
      <c r="IC13" s="2" t="s">
        <v>71</v>
      </c>
      <c r="ID13" s="2" t="s">
        <v>72</v>
      </c>
      <c r="IE13" s="2" t="s">
        <v>66</v>
      </c>
      <c r="IF13" s="2" t="s">
        <v>73</v>
      </c>
      <c r="IG13" s="2" t="s">
        <v>68</v>
      </c>
      <c r="IH13" s="2" t="s">
        <v>69</v>
      </c>
      <c r="II13" s="2" t="s">
        <v>70</v>
      </c>
      <c r="IJ13" s="2" t="s">
        <v>71</v>
      </c>
      <c r="IK13" s="2" t="s">
        <v>72</v>
      </c>
      <c r="IL13" s="2" t="s">
        <v>66</v>
      </c>
      <c r="IM13" s="2" t="s">
        <v>73</v>
      </c>
      <c r="IN13" s="2" t="s">
        <v>68</v>
      </c>
      <c r="IO13" s="2" t="s">
        <v>69</v>
      </c>
      <c r="IP13" s="2" t="s">
        <v>70</v>
      </c>
      <c r="IQ13" s="2" t="s">
        <v>71</v>
      </c>
      <c r="IR13" s="2" t="s">
        <v>72</v>
      </c>
      <c r="IS13" s="2" t="s">
        <v>66</v>
      </c>
      <c r="IT13" s="2" t="s">
        <v>73</v>
      </c>
      <c r="IU13" s="2" t="s">
        <v>68</v>
      </c>
      <c r="IV13" s="2" t="s">
        <v>69</v>
      </c>
      <c r="IW13" s="2" t="s">
        <v>70</v>
      </c>
      <c r="IX13" s="2" t="s">
        <v>71</v>
      </c>
      <c r="IY13" s="2" t="s">
        <v>72</v>
      </c>
      <c r="IZ13" s="2" t="s">
        <v>66</v>
      </c>
      <c r="JA13" s="2" t="s">
        <v>73</v>
      </c>
      <c r="JB13" s="2" t="s">
        <v>68</v>
      </c>
      <c r="JC13" s="2" t="s">
        <v>69</v>
      </c>
      <c r="JD13" s="2" t="s">
        <v>70</v>
      </c>
      <c r="JE13" s="2" t="s">
        <v>71</v>
      </c>
      <c r="JF13" s="2" t="s">
        <v>72</v>
      </c>
      <c r="JG13" s="2" t="s">
        <v>66</v>
      </c>
      <c r="JH13" s="2" t="s">
        <v>73</v>
      </c>
      <c r="JI13" s="2" t="s">
        <v>68</v>
      </c>
      <c r="JJ13" s="2" t="s">
        <v>69</v>
      </c>
      <c r="JK13" s="2" t="s">
        <v>70</v>
      </c>
      <c r="JL13" s="2" t="s">
        <v>71</v>
      </c>
      <c r="JM13" s="2" t="s">
        <v>72</v>
      </c>
      <c r="JN13" s="2" t="s">
        <v>66</v>
      </c>
      <c r="JO13" s="2" t="s">
        <v>73</v>
      </c>
      <c r="JP13" s="2" t="s">
        <v>68</v>
      </c>
      <c r="JQ13" s="2" t="s">
        <v>69</v>
      </c>
      <c r="JR13" s="2" t="s">
        <v>70</v>
      </c>
      <c r="JS13" s="2" t="s">
        <v>71</v>
      </c>
      <c r="JT13" s="2" t="s">
        <v>72</v>
      </c>
      <c r="JU13" s="2" t="s">
        <v>66</v>
      </c>
      <c r="JV13" s="2" t="s">
        <v>73</v>
      </c>
      <c r="JW13" s="2" t="s">
        <v>68</v>
      </c>
      <c r="JX13" s="2" t="s">
        <v>69</v>
      </c>
      <c r="JY13" s="2" t="s">
        <v>70</v>
      </c>
      <c r="JZ13" s="2" t="s">
        <v>71</v>
      </c>
      <c r="KA13" s="2" t="s">
        <v>72</v>
      </c>
      <c r="KB13" s="2" t="s">
        <v>66</v>
      </c>
      <c r="KC13" s="2" t="s">
        <v>73</v>
      </c>
      <c r="KD13" s="2" t="s">
        <v>68</v>
      </c>
      <c r="KE13" s="2" t="s">
        <v>69</v>
      </c>
      <c r="KF13" s="2" t="s">
        <v>70</v>
      </c>
      <c r="KG13" s="2" t="s">
        <v>71</v>
      </c>
      <c r="KH13" s="2" t="s">
        <v>72</v>
      </c>
      <c r="KI13" s="2" t="s">
        <v>66</v>
      </c>
      <c r="KJ13" s="2" t="s">
        <v>73</v>
      </c>
      <c r="KK13" s="2" t="s">
        <v>68</v>
      </c>
      <c r="KL13" s="2" t="s">
        <v>69</v>
      </c>
      <c r="KM13" s="2" t="s">
        <v>70</v>
      </c>
      <c r="KN13" s="2" t="s">
        <v>71</v>
      </c>
      <c r="KO13" s="2" t="s">
        <v>72</v>
      </c>
      <c r="KP13" s="2" t="s">
        <v>66</v>
      </c>
      <c r="KQ13" s="2" t="s">
        <v>73</v>
      </c>
      <c r="KR13" s="2" t="s">
        <v>68</v>
      </c>
      <c r="KS13" s="2" t="s">
        <v>69</v>
      </c>
      <c r="KT13" s="2" t="s">
        <v>70</v>
      </c>
      <c r="KU13" s="2" t="s">
        <v>71</v>
      </c>
      <c r="KV13" s="2" t="s">
        <v>72</v>
      </c>
      <c r="KW13" s="2" t="s">
        <v>66</v>
      </c>
      <c r="KX13" s="2" t="s">
        <v>73</v>
      </c>
      <c r="KY13" s="2" t="s">
        <v>68</v>
      </c>
      <c r="KZ13" s="2" t="s">
        <v>69</v>
      </c>
      <c r="LA13" s="2" t="s">
        <v>70</v>
      </c>
      <c r="LB13" s="2" t="s">
        <v>71</v>
      </c>
      <c r="LC13" s="2" t="s">
        <v>72</v>
      </c>
      <c r="LD13" s="2" t="s">
        <v>66</v>
      </c>
      <c r="LE13" s="2" t="s">
        <v>73</v>
      </c>
      <c r="LF13" s="2" t="s">
        <v>68</v>
      </c>
      <c r="LG13" s="2" t="s">
        <v>69</v>
      </c>
      <c r="LH13" s="2" t="s">
        <v>70</v>
      </c>
      <c r="LI13" s="2" t="s">
        <v>71</v>
      </c>
      <c r="LJ13" s="2" t="s">
        <v>72</v>
      </c>
      <c r="LK13" s="2" t="s">
        <v>66</v>
      </c>
      <c r="LL13" s="2" t="s">
        <v>73</v>
      </c>
      <c r="LM13" s="2" t="s">
        <v>68</v>
      </c>
      <c r="LN13" s="2" t="s">
        <v>69</v>
      </c>
      <c r="LO13" s="2" t="s">
        <v>70</v>
      </c>
      <c r="LP13" s="2" t="s">
        <v>71</v>
      </c>
      <c r="LQ13" s="2" t="s">
        <v>72</v>
      </c>
      <c r="LR13" s="2" t="s">
        <v>66</v>
      </c>
      <c r="LS13" s="2" t="s">
        <v>73</v>
      </c>
      <c r="LT13" s="2" t="s">
        <v>68</v>
      </c>
      <c r="LU13" s="2" t="s">
        <v>69</v>
      </c>
      <c r="LV13" s="2" t="s">
        <v>70</v>
      </c>
      <c r="LW13" s="2" t="s">
        <v>71</v>
      </c>
      <c r="LX13" s="2" t="s">
        <v>72</v>
      </c>
      <c r="LY13" s="2" t="s">
        <v>66</v>
      </c>
      <c r="LZ13" s="2" t="s">
        <v>73</v>
      </c>
      <c r="MA13" s="2" t="s">
        <v>68</v>
      </c>
      <c r="MB13" s="2" t="s">
        <v>69</v>
      </c>
      <c r="MC13" s="2" t="s">
        <v>70</v>
      </c>
      <c r="MD13" s="2" t="s">
        <v>71</v>
      </c>
      <c r="ME13" s="2" t="s">
        <v>72</v>
      </c>
      <c r="MF13" s="2" t="s">
        <v>66</v>
      </c>
      <c r="MG13" s="2" t="s">
        <v>73</v>
      </c>
      <c r="MH13" s="2" t="s">
        <v>68</v>
      </c>
      <c r="MI13" s="2" t="s">
        <v>69</v>
      </c>
      <c r="MJ13" s="2" t="s">
        <v>70</v>
      </c>
      <c r="MK13" s="2" t="s">
        <v>71</v>
      </c>
      <c r="ML13" s="2" t="s">
        <v>72</v>
      </c>
      <c r="MM13" s="2" t="s">
        <v>66</v>
      </c>
      <c r="MN13" s="2" t="s">
        <v>73</v>
      </c>
      <c r="MO13" s="2" t="s">
        <v>68</v>
      </c>
      <c r="MP13" s="2" t="s">
        <v>69</v>
      </c>
      <c r="MQ13" s="2" t="s">
        <v>70</v>
      </c>
      <c r="MR13" s="2" t="s">
        <v>71</v>
      </c>
      <c r="MS13" s="2" t="s">
        <v>72</v>
      </c>
      <c r="MT13" s="2" t="s">
        <v>66</v>
      </c>
      <c r="MU13" s="2" t="s">
        <v>73</v>
      </c>
      <c r="MV13" s="2" t="s">
        <v>68</v>
      </c>
      <c r="MW13" s="2" t="s">
        <v>69</v>
      </c>
      <c r="MX13" s="2" t="s">
        <v>70</v>
      </c>
      <c r="MY13" s="2" t="s">
        <v>71</v>
      </c>
      <c r="MZ13" s="2" t="s">
        <v>72</v>
      </c>
      <c r="NA13" s="2" t="s">
        <v>66</v>
      </c>
      <c r="NB13" s="2" t="s">
        <v>73</v>
      </c>
      <c r="NC13" s="2" t="s">
        <v>68</v>
      </c>
      <c r="ND13" s="2" t="s">
        <v>69</v>
      </c>
      <c r="NE13" s="2" t="s">
        <v>70</v>
      </c>
      <c r="NF13" s="2" t="s">
        <v>71</v>
      </c>
      <c r="NG13" s="2" t="s">
        <v>72</v>
      </c>
      <c r="NH13" s="2" t="s">
        <v>66</v>
      </c>
      <c r="NI13" s="2" t="s">
        <v>73</v>
      </c>
      <c r="NJ13" s="2" t="s">
        <v>68</v>
      </c>
      <c r="NK13" s="2" t="s">
        <v>69</v>
      </c>
      <c r="NL13" s="2" t="s">
        <v>70</v>
      </c>
      <c r="NM13" s="2" t="s">
        <v>71</v>
      </c>
      <c r="NN13" s="2" t="s">
        <v>72</v>
      </c>
      <c r="NO13" s="2" t="s">
        <v>66</v>
      </c>
      <c r="NP13" s="2" t="s">
        <v>73</v>
      </c>
      <c r="NQ13" s="2" t="s">
        <v>68</v>
      </c>
      <c r="NR13" s="2" t="s">
        <v>69</v>
      </c>
      <c r="NS13" s="2" t="s">
        <v>70</v>
      </c>
      <c r="NT13" s="2" t="s">
        <v>71</v>
      </c>
      <c r="NU13" s="2" t="s">
        <v>72</v>
      </c>
      <c r="NV13" s="2" t="s">
        <v>66</v>
      </c>
      <c r="NW13" s="2" t="s">
        <v>73</v>
      </c>
      <c r="NX13" s="2" t="s">
        <v>68</v>
      </c>
      <c r="NY13" s="2" t="s">
        <v>69</v>
      </c>
      <c r="NZ13" s="2" t="s">
        <v>70</v>
      </c>
    </row>
    <row r="14" spans="1:390" s="3" customFormat="1">
      <c r="C14" s="45">
        <v>43466</v>
      </c>
      <c r="D14" s="45">
        <v>43467</v>
      </c>
      <c r="E14" s="45">
        <v>43468</v>
      </c>
      <c r="F14" s="45">
        <v>43469</v>
      </c>
      <c r="G14" s="45">
        <v>43470</v>
      </c>
      <c r="H14" s="45">
        <v>43471</v>
      </c>
      <c r="I14" s="45">
        <v>43472</v>
      </c>
      <c r="J14" s="45">
        <v>43473</v>
      </c>
      <c r="K14" s="45">
        <v>43474</v>
      </c>
      <c r="L14" s="45">
        <v>43475</v>
      </c>
      <c r="M14" s="45">
        <v>43476</v>
      </c>
      <c r="N14" s="45">
        <v>43477</v>
      </c>
      <c r="O14" s="45">
        <v>43478</v>
      </c>
      <c r="P14" s="45">
        <v>43479</v>
      </c>
      <c r="Q14" s="45">
        <v>43480</v>
      </c>
      <c r="R14" s="45">
        <v>43481</v>
      </c>
      <c r="S14" s="45">
        <v>43482</v>
      </c>
      <c r="T14" s="45">
        <v>43483</v>
      </c>
      <c r="U14" s="45">
        <v>43484</v>
      </c>
      <c r="V14" s="45">
        <v>43485</v>
      </c>
      <c r="W14" s="45">
        <v>43486</v>
      </c>
      <c r="X14" s="45">
        <v>43487</v>
      </c>
      <c r="Y14" s="45">
        <v>43488</v>
      </c>
      <c r="Z14" s="45">
        <v>43489</v>
      </c>
      <c r="AA14" s="45">
        <v>43490</v>
      </c>
      <c r="AB14" s="45">
        <v>43491</v>
      </c>
      <c r="AC14" s="45">
        <v>43492</v>
      </c>
      <c r="AD14" s="45">
        <v>43493</v>
      </c>
      <c r="AE14" s="45">
        <v>43494</v>
      </c>
      <c r="AF14" s="45">
        <v>43495</v>
      </c>
      <c r="AG14" s="45">
        <v>43496</v>
      </c>
      <c r="AH14" s="45">
        <v>43497</v>
      </c>
      <c r="AI14" s="45">
        <v>43498</v>
      </c>
      <c r="AJ14" s="45">
        <v>43499</v>
      </c>
      <c r="AK14" s="45">
        <v>43500</v>
      </c>
      <c r="AL14" s="45">
        <v>43501</v>
      </c>
      <c r="AM14" s="45">
        <v>43502</v>
      </c>
      <c r="AN14" s="45">
        <v>43503</v>
      </c>
      <c r="AO14" s="45">
        <v>43504</v>
      </c>
      <c r="AP14" s="45">
        <v>43505</v>
      </c>
      <c r="AQ14" s="45">
        <v>43506</v>
      </c>
      <c r="AR14" s="45">
        <v>43507</v>
      </c>
      <c r="AS14" s="45">
        <v>43508</v>
      </c>
      <c r="AT14" s="45">
        <v>43509</v>
      </c>
      <c r="AU14" s="45">
        <v>43510</v>
      </c>
      <c r="AV14" s="45">
        <v>43511</v>
      </c>
      <c r="AW14" s="45">
        <v>43512</v>
      </c>
      <c r="AX14" s="45">
        <v>43513</v>
      </c>
      <c r="AY14" s="45">
        <v>43514</v>
      </c>
      <c r="AZ14" s="45">
        <v>43515</v>
      </c>
      <c r="BA14" s="45">
        <v>43516</v>
      </c>
      <c r="BB14" s="45">
        <v>43517</v>
      </c>
      <c r="BC14" s="45">
        <v>43518</v>
      </c>
      <c r="BD14" s="45">
        <v>43519</v>
      </c>
      <c r="BE14" s="45">
        <v>43520</v>
      </c>
      <c r="BF14" s="45">
        <v>43521</v>
      </c>
      <c r="BG14" s="45">
        <v>43522</v>
      </c>
      <c r="BH14" s="45">
        <v>43523</v>
      </c>
      <c r="BI14" s="45">
        <v>43524</v>
      </c>
      <c r="BJ14" s="45">
        <v>43525</v>
      </c>
      <c r="BK14" s="45">
        <v>43526</v>
      </c>
      <c r="BL14" s="45">
        <v>43527</v>
      </c>
      <c r="BM14" s="45">
        <v>43528</v>
      </c>
      <c r="BN14" s="45">
        <v>43529</v>
      </c>
      <c r="BO14" s="45">
        <v>43530</v>
      </c>
      <c r="BP14" s="45">
        <v>43531</v>
      </c>
      <c r="BQ14" s="45">
        <v>43532</v>
      </c>
      <c r="BR14" s="45">
        <v>43533</v>
      </c>
      <c r="BS14" s="45">
        <v>43534</v>
      </c>
      <c r="BT14" s="45">
        <v>43535</v>
      </c>
      <c r="BU14" s="45">
        <v>43536</v>
      </c>
      <c r="BV14" s="45">
        <v>43537</v>
      </c>
      <c r="BW14" s="45">
        <v>43538</v>
      </c>
      <c r="BX14" s="45">
        <v>43539</v>
      </c>
      <c r="BY14" s="45">
        <v>43540</v>
      </c>
      <c r="BZ14" s="45">
        <v>43541</v>
      </c>
      <c r="CA14" s="45">
        <v>43542</v>
      </c>
      <c r="CB14" s="45">
        <v>43543</v>
      </c>
      <c r="CC14" s="45">
        <v>43544</v>
      </c>
      <c r="CD14" s="45">
        <v>43545</v>
      </c>
      <c r="CE14" s="45">
        <v>43546</v>
      </c>
      <c r="CF14" s="45">
        <v>43547</v>
      </c>
      <c r="CG14" s="45">
        <v>43548</v>
      </c>
      <c r="CH14" s="45">
        <v>43549</v>
      </c>
      <c r="CI14" s="45">
        <v>43550</v>
      </c>
      <c r="CJ14" s="45">
        <v>43551</v>
      </c>
      <c r="CK14" s="45">
        <v>43552</v>
      </c>
      <c r="CL14" s="45">
        <v>43553</v>
      </c>
      <c r="CM14" s="45">
        <v>43554</v>
      </c>
      <c r="CN14" s="45">
        <v>43555</v>
      </c>
      <c r="CO14" s="45">
        <v>43556</v>
      </c>
      <c r="CP14" s="45">
        <v>43557</v>
      </c>
      <c r="CQ14" s="45">
        <v>43558</v>
      </c>
      <c r="CR14" s="45">
        <v>43559</v>
      </c>
      <c r="CS14" s="45">
        <v>43560</v>
      </c>
      <c r="CT14" s="45">
        <v>43561</v>
      </c>
      <c r="CU14" s="45">
        <v>43562</v>
      </c>
      <c r="CV14" s="45">
        <v>43563</v>
      </c>
      <c r="CW14" s="45">
        <v>43564</v>
      </c>
      <c r="CX14" s="45">
        <v>43565</v>
      </c>
      <c r="CY14" s="45">
        <v>43566</v>
      </c>
      <c r="CZ14" s="45">
        <v>43567</v>
      </c>
      <c r="DA14" s="45">
        <v>43568</v>
      </c>
      <c r="DB14" s="45">
        <v>43569</v>
      </c>
      <c r="DC14" s="45">
        <v>43570</v>
      </c>
      <c r="DD14" s="45">
        <v>43571</v>
      </c>
      <c r="DE14" s="45">
        <v>43572</v>
      </c>
      <c r="DF14" s="45">
        <v>43573</v>
      </c>
      <c r="DG14" s="45">
        <v>43574</v>
      </c>
      <c r="DH14" s="45">
        <v>43575</v>
      </c>
      <c r="DI14" s="45">
        <v>43576</v>
      </c>
      <c r="DJ14" s="45">
        <v>43577</v>
      </c>
      <c r="DK14" s="45">
        <v>43578</v>
      </c>
      <c r="DL14" s="45">
        <v>43579</v>
      </c>
      <c r="DM14" s="45">
        <v>43580</v>
      </c>
      <c r="DN14" s="45">
        <v>43581</v>
      </c>
      <c r="DO14" s="45">
        <v>43582</v>
      </c>
      <c r="DP14" s="45">
        <v>43583</v>
      </c>
      <c r="DQ14" s="45">
        <v>43584</v>
      </c>
      <c r="DR14" s="45">
        <v>43585</v>
      </c>
      <c r="DS14" s="45">
        <v>43586</v>
      </c>
      <c r="DT14" s="45">
        <v>43587</v>
      </c>
      <c r="DU14" s="45">
        <v>43588</v>
      </c>
      <c r="DV14" s="45">
        <v>43589</v>
      </c>
      <c r="DW14" s="45">
        <v>43590</v>
      </c>
      <c r="DX14" s="45">
        <v>43591</v>
      </c>
      <c r="DY14" s="45">
        <v>43592</v>
      </c>
      <c r="DZ14" s="45">
        <v>43593</v>
      </c>
      <c r="EA14" s="45">
        <v>43594</v>
      </c>
      <c r="EB14" s="45">
        <v>43595</v>
      </c>
      <c r="EC14" s="45">
        <v>43596</v>
      </c>
      <c r="ED14" s="45">
        <v>43597</v>
      </c>
      <c r="EE14" s="45">
        <v>43598</v>
      </c>
      <c r="EF14" s="45">
        <v>43599</v>
      </c>
      <c r="EG14" s="45">
        <v>43600</v>
      </c>
      <c r="EH14" s="45">
        <v>43601</v>
      </c>
      <c r="EI14" s="45">
        <v>43602</v>
      </c>
      <c r="EJ14" s="45">
        <v>43603</v>
      </c>
      <c r="EK14" s="45">
        <v>43604</v>
      </c>
      <c r="EL14" s="45">
        <v>43605</v>
      </c>
      <c r="EM14" s="45">
        <v>43606</v>
      </c>
      <c r="EN14" s="45">
        <v>43607</v>
      </c>
      <c r="EO14" s="45">
        <v>43608</v>
      </c>
      <c r="EP14" s="45">
        <v>43609</v>
      </c>
      <c r="EQ14" s="45">
        <v>43610</v>
      </c>
      <c r="ER14" s="45">
        <v>43611</v>
      </c>
      <c r="ES14" s="45">
        <v>43612</v>
      </c>
      <c r="ET14" s="45">
        <v>43613</v>
      </c>
      <c r="EU14" s="45">
        <v>43614</v>
      </c>
      <c r="EV14" s="45">
        <v>43615</v>
      </c>
      <c r="EW14" s="45">
        <v>43616</v>
      </c>
      <c r="EX14" s="45">
        <v>43617</v>
      </c>
      <c r="EY14" s="45">
        <v>43618</v>
      </c>
      <c r="EZ14" s="45">
        <v>43619</v>
      </c>
      <c r="FA14" s="45">
        <v>43620</v>
      </c>
      <c r="FB14" s="45">
        <v>43621</v>
      </c>
      <c r="FC14" s="45">
        <v>43622</v>
      </c>
      <c r="FD14" s="45">
        <v>43623</v>
      </c>
      <c r="FE14" s="45">
        <v>43624</v>
      </c>
      <c r="FF14" s="45">
        <v>43625</v>
      </c>
      <c r="FG14" s="45">
        <v>43626</v>
      </c>
      <c r="FH14" s="45">
        <v>43627</v>
      </c>
      <c r="FI14" s="45">
        <v>43628</v>
      </c>
      <c r="FJ14" s="45">
        <v>43995</v>
      </c>
      <c r="FK14" s="45">
        <v>44361</v>
      </c>
      <c r="FL14" s="45">
        <v>43631</v>
      </c>
      <c r="FM14" s="45">
        <v>43632</v>
      </c>
      <c r="FN14" s="45">
        <v>43633</v>
      </c>
      <c r="FO14" s="45">
        <v>43634</v>
      </c>
      <c r="FP14" s="45">
        <v>43635</v>
      </c>
      <c r="FQ14" s="45">
        <v>43636</v>
      </c>
      <c r="FR14" s="45">
        <v>43637</v>
      </c>
      <c r="FS14" s="45">
        <v>43638</v>
      </c>
      <c r="FT14" s="45">
        <v>43639</v>
      </c>
      <c r="FU14" s="45">
        <v>43640</v>
      </c>
      <c r="FV14" s="45">
        <v>43641</v>
      </c>
      <c r="FW14" s="45">
        <v>43642</v>
      </c>
      <c r="FX14" s="45">
        <v>43643</v>
      </c>
      <c r="FY14" s="45">
        <v>43644</v>
      </c>
      <c r="FZ14" s="45">
        <v>43645</v>
      </c>
      <c r="GA14" s="45">
        <v>43646</v>
      </c>
      <c r="GB14" s="45">
        <v>43647</v>
      </c>
      <c r="GC14" s="45">
        <v>43648</v>
      </c>
      <c r="GD14" s="45">
        <v>43649</v>
      </c>
      <c r="GE14" s="45">
        <v>43650</v>
      </c>
      <c r="GF14" s="45">
        <v>43651</v>
      </c>
      <c r="GG14" s="45">
        <v>43652</v>
      </c>
      <c r="GH14" s="45">
        <v>43653</v>
      </c>
      <c r="GI14" s="45">
        <v>43654</v>
      </c>
      <c r="GJ14" s="45">
        <v>43655</v>
      </c>
      <c r="GK14" s="45">
        <v>43656</v>
      </c>
      <c r="GL14" s="45">
        <v>43657</v>
      </c>
      <c r="GM14" s="45">
        <v>43658</v>
      </c>
      <c r="GN14" s="45">
        <v>43659</v>
      </c>
      <c r="GO14" s="45">
        <v>43660</v>
      </c>
      <c r="GP14" s="45">
        <v>43661</v>
      </c>
      <c r="GQ14" s="45">
        <v>43662</v>
      </c>
      <c r="GR14" s="45">
        <v>43663</v>
      </c>
      <c r="GS14" s="45">
        <v>43664</v>
      </c>
      <c r="GT14" s="45">
        <v>43665</v>
      </c>
      <c r="GU14" s="45">
        <v>43666</v>
      </c>
      <c r="GV14" s="45">
        <v>43667</v>
      </c>
      <c r="GW14" s="45">
        <v>43668</v>
      </c>
      <c r="GX14" s="45">
        <v>43669</v>
      </c>
      <c r="GY14" s="45">
        <v>43670</v>
      </c>
      <c r="GZ14" s="45">
        <v>43671</v>
      </c>
      <c r="HA14" s="45">
        <v>43672</v>
      </c>
      <c r="HB14" s="45">
        <v>43673</v>
      </c>
      <c r="HC14" s="45">
        <v>43674</v>
      </c>
      <c r="HD14" s="45">
        <v>43675</v>
      </c>
      <c r="HE14" s="45">
        <v>43676</v>
      </c>
      <c r="HF14" s="45">
        <v>43677</v>
      </c>
      <c r="HG14" s="45">
        <v>43678</v>
      </c>
      <c r="HH14" s="45">
        <v>43679</v>
      </c>
      <c r="HI14" s="45">
        <v>43680</v>
      </c>
      <c r="HJ14" s="45">
        <v>43681</v>
      </c>
      <c r="HK14" s="45">
        <v>43682</v>
      </c>
      <c r="HL14" s="45">
        <v>43683</v>
      </c>
      <c r="HM14" s="45">
        <v>43684</v>
      </c>
      <c r="HN14" s="45">
        <v>43685</v>
      </c>
      <c r="HO14" s="45">
        <v>43686</v>
      </c>
      <c r="HP14" s="45">
        <v>43687</v>
      </c>
      <c r="HQ14" s="45">
        <v>43688</v>
      </c>
      <c r="HR14" s="45">
        <v>43689</v>
      </c>
      <c r="HS14" s="45">
        <v>43690</v>
      </c>
      <c r="HT14" s="45">
        <v>43691</v>
      </c>
      <c r="HU14" s="45">
        <v>43692</v>
      </c>
      <c r="HV14" s="45">
        <v>43693</v>
      </c>
      <c r="HW14" s="45">
        <v>43694</v>
      </c>
      <c r="HX14" s="45">
        <v>43695</v>
      </c>
      <c r="HY14" s="45">
        <v>43696</v>
      </c>
      <c r="HZ14" s="45">
        <v>43697</v>
      </c>
      <c r="IA14" s="45">
        <v>43698</v>
      </c>
      <c r="IB14" s="45">
        <v>43699</v>
      </c>
      <c r="IC14" s="45">
        <v>43700</v>
      </c>
      <c r="ID14" s="45">
        <v>43701</v>
      </c>
      <c r="IE14" s="45">
        <v>43702</v>
      </c>
      <c r="IF14" s="45">
        <v>43703</v>
      </c>
      <c r="IG14" s="45">
        <v>43704</v>
      </c>
      <c r="IH14" s="45">
        <v>43705</v>
      </c>
      <c r="II14" s="45">
        <v>43706</v>
      </c>
      <c r="IJ14" s="45">
        <v>43707</v>
      </c>
      <c r="IK14" s="45">
        <v>43708</v>
      </c>
      <c r="IL14" s="45">
        <v>43709</v>
      </c>
      <c r="IM14" s="45">
        <v>43710</v>
      </c>
      <c r="IN14" s="45">
        <v>43711</v>
      </c>
      <c r="IO14" s="45">
        <v>43712</v>
      </c>
      <c r="IP14" s="45">
        <v>43713</v>
      </c>
      <c r="IQ14" s="45">
        <v>43714</v>
      </c>
      <c r="IR14" s="45">
        <v>43715</v>
      </c>
      <c r="IS14" s="45">
        <v>43716</v>
      </c>
      <c r="IT14" s="45">
        <v>43717</v>
      </c>
      <c r="IU14" s="45">
        <v>43718</v>
      </c>
      <c r="IV14" s="45">
        <v>43719</v>
      </c>
      <c r="IW14" s="45">
        <v>43720</v>
      </c>
      <c r="IX14" s="45">
        <v>43721</v>
      </c>
      <c r="IY14" s="45">
        <v>43722</v>
      </c>
      <c r="IZ14" s="45">
        <v>43723</v>
      </c>
      <c r="JA14" s="45">
        <v>43724</v>
      </c>
      <c r="JB14" s="45">
        <v>43725</v>
      </c>
      <c r="JC14" s="45">
        <v>43726</v>
      </c>
      <c r="JD14" s="45">
        <v>43727</v>
      </c>
      <c r="JE14" s="45">
        <v>43728</v>
      </c>
      <c r="JF14" s="45">
        <v>43729</v>
      </c>
      <c r="JG14" s="45">
        <v>43730</v>
      </c>
      <c r="JH14" s="45">
        <v>43731</v>
      </c>
      <c r="JI14" s="45">
        <v>43732</v>
      </c>
      <c r="JJ14" s="45">
        <v>43733</v>
      </c>
      <c r="JK14" s="45">
        <v>43734</v>
      </c>
      <c r="JL14" s="45">
        <v>43735</v>
      </c>
      <c r="JM14" s="45">
        <v>43736</v>
      </c>
      <c r="JN14" s="45">
        <v>43737</v>
      </c>
      <c r="JO14" s="45">
        <v>43738</v>
      </c>
      <c r="JP14" s="45">
        <v>43739</v>
      </c>
      <c r="JQ14" s="45">
        <v>43740</v>
      </c>
      <c r="JR14" s="45">
        <v>43741</v>
      </c>
      <c r="JS14" s="45">
        <v>43742</v>
      </c>
      <c r="JT14" s="45">
        <v>43743</v>
      </c>
      <c r="JU14" s="45">
        <v>43744</v>
      </c>
      <c r="JV14" s="45">
        <v>43745</v>
      </c>
      <c r="JW14" s="45">
        <v>43746</v>
      </c>
      <c r="JX14" s="45">
        <v>43747</v>
      </c>
      <c r="JY14" s="45">
        <v>43748</v>
      </c>
      <c r="JZ14" s="45">
        <v>43749</v>
      </c>
      <c r="KA14" s="45">
        <v>43750</v>
      </c>
      <c r="KB14" s="45">
        <v>43751</v>
      </c>
      <c r="KC14" s="45">
        <v>43752</v>
      </c>
      <c r="KD14" s="45">
        <v>43753</v>
      </c>
      <c r="KE14" s="45">
        <v>43754</v>
      </c>
      <c r="KF14" s="45">
        <v>43755</v>
      </c>
      <c r="KG14" s="45">
        <v>43756</v>
      </c>
      <c r="KH14" s="45">
        <v>43757</v>
      </c>
      <c r="KI14" s="45">
        <v>43758</v>
      </c>
      <c r="KJ14" s="45">
        <v>43759</v>
      </c>
      <c r="KK14" s="45">
        <v>43760</v>
      </c>
      <c r="KL14" s="45">
        <v>43761</v>
      </c>
      <c r="KM14" s="45">
        <v>43762</v>
      </c>
      <c r="KN14" s="45">
        <v>43763</v>
      </c>
      <c r="KO14" s="45">
        <v>43764</v>
      </c>
      <c r="KP14" s="45">
        <v>43765</v>
      </c>
      <c r="KQ14" s="45">
        <v>43766</v>
      </c>
      <c r="KR14" s="45">
        <v>43767</v>
      </c>
      <c r="KS14" s="45">
        <v>43768</v>
      </c>
      <c r="KT14" s="45">
        <v>43769</v>
      </c>
      <c r="KU14" s="45">
        <v>43770</v>
      </c>
      <c r="KV14" s="45">
        <v>43771</v>
      </c>
      <c r="KW14" s="45">
        <v>43772</v>
      </c>
      <c r="KX14" s="45">
        <v>43773</v>
      </c>
      <c r="KY14" s="45">
        <v>43774</v>
      </c>
      <c r="KZ14" s="45">
        <v>43775</v>
      </c>
      <c r="LA14" s="45">
        <v>43776</v>
      </c>
      <c r="LB14" s="45">
        <v>43777</v>
      </c>
      <c r="LC14" s="45">
        <v>43778</v>
      </c>
      <c r="LD14" s="45">
        <v>43779</v>
      </c>
      <c r="LE14" s="45">
        <v>43780</v>
      </c>
      <c r="LF14" s="45">
        <v>43781</v>
      </c>
      <c r="LG14" s="45">
        <v>43782</v>
      </c>
      <c r="LH14" s="45">
        <v>43783</v>
      </c>
      <c r="LI14" s="45">
        <v>43784</v>
      </c>
      <c r="LJ14" s="45">
        <v>43785</v>
      </c>
      <c r="LK14" s="45">
        <v>43786</v>
      </c>
      <c r="LL14" s="45">
        <v>43787</v>
      </c>
      <c r="LM14" s="45">
        <v>43788</v>
      </c>
      <c r="LN14" s="45">
        <v>43789</v>
      </c>
      <c r="LO14" s="45">
        <v>43790</v>
      </c>
      <c r="LP14" s="45">
        <v>43791</v>
      </c>
      <c r="LQ14" s="45">
        <v>43792</v>
      </c>
      <c r="LR14" s="45">
        <v>43793</v>
      </c>
      <c r="LS14" s="45">
        <v>43794</v>
      </c>
      <c r="LT14" s="45">
        <v>43795</v>
      </c>
      <c r="LU14" s="45">
        <v>43796</v>
      </c>
      <c r="LV14" s="45">
        <v>43797</v>
      </c>
      <c r="LW14" s="45">
        <v>43798</v>
      </c>
      <c r="LX14" s="45">
        <v>43799</v>
      </c>
      <c r="LY14" s="45">
        <v>43800</v>
      </c>
      <c r="LZ14" s="45">
        <v>43801</v>
      </c>
      <c r="MA14" s="45">
        <v>43802</v>
      </c>
      <c r="MB14" s="45">
        <v>43803</v>
      </c>
      <c r="MC14" s="45">
        <v>43804</v>
      </c>
      <c r="MD14" s="45">
        <v>43805</v>
      </c>
      <c r="ME14" s="45">
        <v>43806</v>
      </c>
      <c r="MF14" s="45">
        <v>43807</v>
      </c>
      <c r="MG14" s="45">
        <v>43808</v>
      </c>
      <c r="MH14" s="45">
        <v>43809</v>
      </c>
      <c r="MI14" s="45">
        <v>43810</v>
      </c>
      <c r="MJ14" s="45">
        <v>43811</v>
      </c>
      <c r="MK14" s="45">
        <v>43812</v>
      </c>
      <c r="ML14" s="45">
        <v>43813</v>
      </c>
      <c r="MM14" s="45">
        <v>43814</v>
      </c>
      <c r="MN14" s="45">
        <v>43815</v>
      </c>
      <c r="MO14" s="45">
        <v>43816</v>
      </c>
      <c r="MP14" s="45">
        <v>43817</v>
      </c>
      <c r="MQ14" s="45">
        <v>43818</v>
      </c>
      <c r="MR14" s="45">
        <v>43819</v>
      </c>
      <c r="MS14" s="45">
        <v>43820</v>
      </c>
      <c r="MT14" s="45">
        <v>43821</v>
      </c>
      <c r="MU14" s="45">
        <v>43822</v>
      </c>
      <c r="MV14" s="45">
        <v>43823</v>
      </c>
      <c r="MW14" s="45">
        <v>43824</v>
      </c>
      <c r="MX14" s="45">
        <v>43825</v>
      </c>
      <c r="MY14" s="45">
        <v>43826</v>
      </c>
      <c r="MZ14" s="45">
        <v>43827</v>
      </c>
      <c r="NA14" s="45">
        <v>43828</v>
      </c>
      <c r="NB14" s="45">
        <v>43829</v>
      </c>
      <c r="NC14" s="45">
        <v>43830</v>
      </c>
      <c r="ND14" s="45">
        <v>43831</v>
      </c>
      <c r="NE14" s="45">
        <v>43832</v>
      </c>
      <c r="NF14" s="45">
        <v>43833</v>
      </c>
      <c r="NG14" s="45">
        <v>43834</v>
      </c>
      <c r="NH14" s="45">
        <v>43835</v>
      </c>
      <c r="NI14" s="45">
        <v>43836</v>
      </c>
      <c r="NJ14" s="45">
        <v>43837</v>
      </c>
      <c r="NK14" s="45">
        <v>43838</v>
      </c>
      <c r="NL14" s="45">
        <v>43839</v>
      </c>
      <c r="NM14" s="45">
        <v>43840</v>
      </c>
      <c r="NN14" s="45">
        <v>43841</v>
      </c>
      <c r="NO14" s="45">
        <v>43842</v>
      </c>
      <c r="NP14" s="45">
        <v>43843</v>
      </c>
      <c r="NQ14" s="45">
        <v>43844</v>
      </c>
      <c r="NR14" s="45">
        <v>43845</v>
      </c>
      <c r="NS14" s="45">
        <v>43846</v>
      </c>
      <c r="NT14" s="45">
        <v>43847</v>
      </c>
      <c r="NU14" s="45">
        <v>43848</v>
      </c>
      <c r="NV14" s="45">
        <v>43849</v>
      </c>
      <c r="NW14" s="45">
        <v>43850</v>
      </c>
      <c r="NX14" s="45">
        <v>43851</v>
      </c>
      <c r="NY14" s="45">
        <v>43852</v>
      </c>
      <c r="NZ14" s="45">
        <v>43853</v>
      </c>
    </row>
    <row r="15" spans="1:390" s="12" customFormat="1" ht="10.15"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 t="s">
        <v>196</v>
      </c>
      <c r="CS15" s="11" t="s">
        <v>197</v>
      </c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 t="s">
        <v>198</v>
      </c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 t="s">
        <v>199</v>
      </c>
      <c r="EF15" s="11"/>
      <c r="EG15" s="11"/>
      <c r="EH15" s="11"/>
      <c r="EI15" s="11"/>
      <c r="EJ15" s="11"/>
      <c r="EK15" s="11"/>
      <c r="EL15" s="11"/>
      <c r="EM15" s="11"/>
      <c r="EN15" s="11"/>
      <c r="EO15" s="11" t="s">
        <v>200</v>
      </c>
      <c r="EP15" s="11" t="s">
        <v>201</v>
      </c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</row>
    <row r="16" spans="1:390" s="12" customFormat="1" ht="10.15"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</row>
    <row r="17" spans="1:390">
      <c r="A17" s="1" t="s">
        <v>202</v>
      </c>
      <c r="B17" s="1" t="s">
        <v>202</v>
      </c>
      <c r="D17" s="1" t="s">
        <v>0</v>
      </c>
      <c r="E17" s="1" t="s">
        <v>0</v>
      </c>
      <c r="F17" s="1" t="s">
        <v>2</v>
      </c>
      <c r="G17" s="1" t="s">
        <v>2</v>
      </c>
      <c r="H17" s="1" t="s">
        <v>4</v>
      </c>
      <c r="I17" s="1" t="s">
        <v>4</v>
      </c>
      <c r="M17" s="1" t="s">
        <v>0</v>
      </c>
      <c r="N17" s="1" t="s">
        <v>0</v>
      </c>
      <c r="O17" s="1" t="s">
        <v>2</v>
      </c>
      <c r="P17" s="1" t="s">
        <v>2</v>
      </c>
      <c r="Q17" s="1" t="s">
        <v>4</v>
      </c>
      <c r="V17" s="1" t="s">
        <v>0</v>
      </c>
      <c r="W17" s="1" t="s">
        <v>0</v>
      </c>
      <c r="X17" s="1" t="s">
        <v>2</v>
      </c>
      <c r="Y17" s="1" t="s">
        <v>4</v>
      </c>
      <c r="Z17" s="1" t="s">
        <v>4</v>
      </c>
      <c r="AE17" s="1" t="s">
        <v>0</v>
      </c>
      <c r="AF17" s="1" t="s">
        <v>2</v>
      </c>
      <c r="AG17" s="1" t="s">
        <v>2</v>
      </c>
      <c r="AH17" s="1" t="s">
        <v>4</v>
      </c>
      <c r="AI17" s="1" t="s">
        <v>4</v>
      </c>
      <c r="AM17" s="1" t="s">
        <v>0</v>
      </c>
      <c r="AN17" s="1" t="s">
        <v>0</v>
      </c>
      <c r="AO17" s="1" t="s">
        <v>2</v>
      </c>
      <c r="AP17" s="1" t="s">
        <v>2</v>
      </c>
      <c r="AQ17" s="1" t="s">
        <v>4</v>
      </c>
      <c r="AR17" s="1" t="s">
        <v>4</v>
      </c>
      <c r="AV17" s="1" t="s">
        <v>0</v>
      </c>
      <c r="AW17" s="1" t="s">
        <v>0</v>
      </c>
      <c r="AX17" s="1" t="s">
        <v>2</v>
      </c>
      <c r="AY17" s="1" t="s">
        <v>2</v>
      </c>
      <c r="AZ17" s="1" t="s">
        <v>4</v>
      </c>
      <c r="BE17" s="1" t="s">
        <v>0</v>
      </c>
      <c r="BF17" s="1" t="s">
        <v>0</v>
      </c>
      <c r="BG17" s="1" t="s">
        <v>2</v>
      </c>
      <c r="BH17" s="1" t="s">
        <v>4</v>
      </c>
      <c r="BI17" s="1" t="s">
        <v>4</v>
      </c>
      <c r="BN17" s="1" t="s">
        <v>0</v>
      </c>
      <c r="BO17" s="1" t="s">
        <v>2</v>
      </c>
      <c r="BP17" s="1" t="s">
        <v>2</v>
      </c>
      <c r="BQ17" s="1" t="s">
        <v>4</v>
      </c>
      <c r="BR17" s="1" t="s">
        <v>4</v>
      </c>
      <c r="BV17" s="1" t="s">
        <v>0</v>
      </c>
      <c r="BW17" s="1" t="s">
        <v>0</v>
      </c>
      <c r="BX17" s="1" t="s">
        <v>2</v>
      </c>
      <c r="BY17" s="1" t="s">
        <v>2</v>
      </c>
      <c r="BZ17" s="1" t="s">
        <v>4</v>
      </c>
      <c r="CA17" s="1" t="s">
        <v>4</v>
      </c>
      <c r="CE17" s="1" t="s">
        <v>0</v>
      </c>
      <c r="CF17" s="1" t="s">
        <v>0</v>
      </c>
      <c r="CG17" s="1" t="s">
        <v>2</v>
      </c>
      <c r="CH17" s="1" t="s">
        <v>2</v>
      </c>
      <c r="CI17" s="53" t="s">
        <v>4</v>
      </c>
      <c r="CN17" s="53" t="s">
        <v>0</v>
      </c>
      <c r="CO17" s="53" t="s">
        <v>0</v>
      </c>
      <c r="CP17" s="53" t="s">
        <v>2</v>
      </c>
      <c r="CQ17" s="1" t="s">
        <v>4</v>
      </c>
      <c r="CR17" s="1" t="s">
        <v>4</v>
      </c>
      <c r="CW17" s="53" t="s">
        <v>0</v>
      </c>
      <c r="CX17" s="53" t="s">
        <v>2</v>
      </c>
      <c r="CY17" s="53" t="s">
        <v>2</v>
      </c>
      <c r="CZ17" s="53" t="s">
        <v>4</v>
      </c>
      <c r="DA17" s="53" t="s">
        <v>4</v>
      </c>
      <c r="DE17" s="1" t="s">
        <v>0</v>
      </c>
      <c r="DF17" s="1" t="s">
        <v>0</v>
      </c>
      <c r="DG17" s="1" t="s">
        <v>2</v>
      </c>
      <c r="DH17" s="1" t="s">
        <v>2</v>
      </c>
      <c r="DI17" s="1" t="s">
        <v>4</v>
      </c>
      <c r="DJ17" s="1" t="s">
        <v>4</v>
      </c>
      <c r="DN17" s="1" t="s">
        <v>0</v>
      </c>
      <c r="DO17" s="1" t="s">
        <v>0</v>
      </c>
      <c r="DP17" s="1" t="s">
        <v>2</v>
      </c>
      <c r="DQ17" s="1" t="s">
        <v>2</v>
      </c>
      <c r="DR17" s="1" t="s">
        <v>4</v>
      </c>
      <c r="DW17" s="1" t="s">
        <v>0</v>
      </c>
      <c r="DX17" s="1" t="s">
        <v>0</v>
      </c>
      <c r="DY17" s="1" t="s">
        <v>2</v>
      </c>
      <c r="DZ17" s="1" t="s">
        <v>4</v>
      </c>
      <c r="EA17" s="1" t="s">
        <v>4</v>
      </c>
      <c r="EF17" s="1" t="s">
        <v>0</v>
      </c>
      <c r="EG17" s="1" t="s">
        <v>2</v>
      </c>
      <c r="EH17" s="1" t="s">
        <v>2</v>
      </c>
      <c r="EI17" s="1" t="s">
        <v>4</v>
      </c>
      <c r="EJ17" s="1" t="s">
        <v>4</v>
      </c>
      <c r="EN17" s="1" t="s">
        <v>0</v>
      </c>
      <c r="EO17" s="1" t="s">
        <v>0</v>
      </c>
      <c r="EP17" s="1" t="s">
        <v>2</v>
      </c>
      <c r="EQ17" s="1" t="s">
        <v>2</v>
      </c>
      <c r="ER17" s="1" t="s">
        <v>4</v>
      </c>
      <c r="ES17" s="1" t="s">
        <v>4</v>
      </c>
      <c r="EW17" s="1" t="s">
        <v>0</v>
      </c>
      <c r="EX17" s="1" t="s">
        <v>0</v>
      </c>
      <c r="EY17" s="1" t="s">
        <v>2</v>
      </c>
      <c r="EZ17" s="1" t="s">
        <v>2</v>
      </c>
      <c r="FA17" s="1" t="s">
        <v>4</v>
      </c>
      <c r="FF17" s="1" t="s">
        <v>0</v>
      </c>
      <c r="FG17" s="1" t="s">
        <v>0</v>
      </c>
      <c r="FH17" s="1" t="s">
        <v>2</v>
      </c>
      <c r="FI17" s="1" t="s">
        <v>4</v>
      </c>
      <c r="FJ17" s="1" t="s">
        <v>4</v>
      </c>
      <c r="FO17" s="1" t="s">
        <v>206</v>
      </c>
      <c r="FP17" s="1" t="s">
        <v>207</v>
      </c>
      <c r="FQ17" s="1" t="s">
        <v>207</v>
      </c>
      <c r="FR17" s="1" t="s">
        <v>208</v>
      </c>
      <c r="FS17" s="1" t="s">
        <v>208</v>
      </c>
      <c r="FW17" s="1" t="s">
        <v>206</v>
      </c>
      <c r="FX17" s="1" t="s">
        <v>206</v>
      </c>
      <c r="FY17" s="1" t="s">
        <v>207</v>
      </c>
      <c r="FZ17" s="1" t="s">
        <v>207</v>
      </c>
      <c r="GA17" s="1" t="s">
        <v>208</v>
      </c>
      <c r="GB17" s="1" t="s">
        <v>208</v>
      </c>
      <c r="GF17" s="1" t="s">
        <v>206</v>
      </c>
      <c r="GG17" s="1" t="s">
        <v>206</v>
      </c>
      <c r="GH17" s="1" t="s">
        <v>207</v>
      </c>
      <c r="GI17" s="1" t="s">
        <v>207</v>
      </c>
      <c r="GJ17" s="1" t="s">
        <v>208</v>
      </c>
      <c r="GO17" s="53" t="s">
        <v>206</v>
      </c>
      <c r="GP17" s="53" t="s">
        <v>206</v>
      </c>
      <c r="GQ17" s="53" t="s">
        <v>207</v>
      </c>
      <c r="GR17" s="53" t="s">
        <v>208</v>
      </c>
      <c r="GS17" s="53" t="s">
        <v>208</v>
      </c>
      <c r="GX17" s="53" t="s">
        <v>206</v>
      </c>
      <c r="GY17" s="53" t="s">
        <v>207</v>
      </c>
      <c r="GZ17" s="53" t="s">
        <v>207</v>
      </c>
      <c r="HA17" s="53" t="s">
        <v>208</v>
      </c>
      <c r="HB17" s="53" t="s">
        <v>208</v>
      </c>
      <c r="HF17" s="1" t="s">
        <v>0</v>
      </c>
      <c r="HG17" s="1" t="s">
        <v>0</v>
      </c>
      <c r="HH17" s="1" t="s">
        <v>2</v>
      </c>
      <c r="HI17" s="1" t="s">
        <v>2</v>
      </c>
      <c r="HJ17" s="1" t="s">
        <v>4</v>
      </c>
      <c r="HK17" s="1" t="s">
        <v>4</v>
      </c>
      <c r="HO17" s="1" t="s">
        <v>206</v>
      </c>
      <c r="HP17" s="1" t="s">
        <v>206</v>
      </c>
      <c r="HQ17" s="1" t="s">
        <v>207</v>
      </c>
      <c r="HR17" s="1" t="s">
        <v>208</v>
      </c>
      <c r="HS17" s="1" t="s">
        <v>208</v>
      </c>
      <c r="HX17" s="1" t="s">
        <v>206</v>
      </c>
      <c r="HY17" s="1" t="s">
        <v>206</v>
      </c>
      <c r="HZ17" s="1" t="s">
        <v>207</v>
      </c>
      <c r="IA17" s="1" t="s">
        <v>208</v>
      </c>
      <c r="IB17" s="1" t="s">
        <v>208</v>
      </c>
      <c r="IG17" s="1" t="s">
        <v>206</v>
      </c>
      <c r="IH17" s="1" t="s">
        <v>207</v>
      </c>
      <c r="II17" s="1" t="s">
        <v>207</v>
      </c>
      <c r="IJ17" s="1" t="s">
        <v>208</v>
      </c>
      <c r="IK17" s="1" t="s">
        <v>208</v>
      </c>
      <c r="IO17" s="1" t="s">
        <v>206</v>
      </c>
      <c r="IP17" s="1" t="s">
        <v>206</v>
      </c>
      <c r="IQ17" s="1" t="s">
        <v>207</v>
      </c>
      <c r="IR17" s="1" t="s">
        <v>207</v>
      </c>
      <c r="IS17" s="1" t="s">
        <v>208</v>
      </c>
      <c r="IT17" s="1" t="s">
        <v>208</v>
      </c>
      <c r="IX17" s="1" t="s">
        <v>0</v>
      </c>
      <c r="IY17" s="1" t="s">
        <v>0</v>
      </c>
      <c r="IZ17" s="1" t="s">
        <v>2</v>
      </c>
      <c r="JA17" s="1" t="s">
        <v>2</v>
      </c>
      <c r="JB17" s="1" t="s">
        <v>4</v>
      </c>
      <c r="JG17" s="1" t="s">
        <v>0</v>
      </c>
      <c r="JH17" s="1" t="s">
        <v>0</v>
      </c>
      <c r="JI17" s="1" t="s">
        <v>2</v>
      </c>
      <c r="JJ17" s="1" t="s">
        <v>4</v>
      </c>
      <c r="JK17" s="1" t="s">
        <v>4</v>
      </c>
      <c r="JP17" s="1" t="s">
        <v>0</v>
      </c>
      <c r="JQ17" s="1" t="s">
        <v>2</v>
      </c>
      <c r="JR17" s="1" t="s">
        <v>2</v>
      </c>
      <c r="JS17" s="1" t="s">
        <v>4</v>
      </c>
      <c r="JT17" s="1" t="s">
        <v>4</v>
      </c>
      <c r="JX17" s="1" t="s">
        <v>0</v>
      </c>
      <c r="JY17" s="1" t="s">
        <v>0</v>
      </c>
      <c r="JZ17" s="1" t="s">
        <v>2</v>
      </c>
      <c r="KA17" s="1" t="s">
        <v>2</v>
      </c>
      <c r="KB17" s="1" t="s">
        <v>4</v>
      </c>
      <c r="KC17" s="1" t="s">
        <v>4</v>
      </c>
      <c r="KG17" s="1" t="s">
        <v>0</v>
      </c>
      <c r="KH17" s="1" t="s">
        <v>0</v>
      </c>
      <c r="KI17" s="1" t="s">
        <v>2</v>
      </c>
      <c r="KJ17" s="1" t="s">
        <v>2</v>
      </c>
      <c r="KK17" s="1" t="s">
        <v>4</v>
      </c>
      <c r="KP17" s="1" t="s">
        <v>0</v>
      </c>
      <c r="KQ17" s="1" t="s">
        <v>0</v>
      </c>
      <c r="KR17" s="1" t="s">
        <v>2</v>
      </c>
      <c r="KS17" s="1" t="s">
        <v>4</v>
      </c>
      <c r="KT17" s="1" t="s">
        <v>4</v>
      </c>
      <c r="KY17" s="1" t="s">
        <v>0</v>
      </c>
      <c r="KZ17" s="1" t="s">
        <v>2</v>
      </c>
      <c r="LA17" s="1" t="s">
        <v>2</v>
      </c>
      <c r="LB17" s="1" t="s">
        <v>4</v>
      </c>
      <c r="LC17" s="1" t="s">
        <v>4</v>
      </c>
      <c r="LG17" s="1" t="s">
        <v>0</v>
      </c>
      <c r="LH17" s="1" t="s">
        <v>0</v>
      </c>
      <c r="LI17" s="1" t="s">
        <v>2</v>
      </c>
      <c r="LJ17" s="1" t="s">
        <v>2</v>
      </c>
      <c r="LK17" s="1" t="s">
        <v>4</v>
      </c>
      <c r="LL17" s="1" t="s">
        <v>4</v>
      </c>
      <c r="LP17" s="1" t="s">
        <v>0</v>
      </c>
      <c r="LQ17" s="1" t="s">
        <v>0</v>
      </c>
      <c r="LR17" s="1" t="s">
        <v>2</v>
      </c>
      <c r="LS17" s="1" t="s">
        <v>2</v>
      </c>
      <c r="LT17" s="1" t="s">
        <v>4</v>
      </c>
      <c r="LY17" s="1" t="s">
        <v>0</v>
      </c>
      <c r="LZ17" s="1" t="s">
        <v>0</v>
      </c>
      <c r="MA17" s="1" t="s">
        <v>2</v>
      </c>
      <c r="MB17" s="1" t="s">
        <v>4</v>
      </c>
      <c r="MC17" s="1" t="s">
        <v>4</v>
      </c>
      <c r="MH17" s="1" t="s">
        <v>0</v>
      </c>
      <c r="MI17" s="1" t="s">
        <v>2</v>
      </c>
      <c r="MJ17" s="1" t="s">
        <v>2</v>
      </c>
      <c r="MK17" s="1" t="s">
        <v>4</v>
      </c>
      <c r="ML17" s="1" t="s">
        <v>4</v>
      </c>
      <c r="MP17" s="1" t="s">
        <v>0</v>
      </c>
      <c r="MQ17" s="1" t="s">
        <v>0</v>
      </c>
      <c r="MR17" s="1" t="s">
        <v>2</v>
      </c>
      <c r="MS17" s="1" t="s">
        <v>2</v>
      </c>
      <c r="MT17" s="1" t="s">
        <v>4</v>
      </c>
      <c r="MU17" s="1" t="s">
        <v>4</v>
      </c>
      <c r="MY17" s="1" t="s">
        <v>0</v>
      </c>
      <c r="MZ17" s="1" t="s">
        <v>0</v>
      </c>
      <c r="NA17" s="1" t="s">
        <v>2</v>
      </c>
      <c r="NB17" s="1" t="s">
        <v>2</v>
      </c>
      <c r="NC17" s="1" t="s">
        <v>4</v>
      </c>
      <c r="NH17" s="1" t="s">
        <v>0</v>
      </c>
      <c r="NI17" s="1" t="s">
        <v>0</v>
      </c>
      <c r="NJ17" s="1" t="s">
        <v>2</v>
      </c>
      <c r="NK17" s="1" t="s">
        <v>4</v>
      </c>
      <c r="NL17" s="1" t="s">
        <v>4</v>
      </c>
      <c r="NQ17" s="1" t="s">
        <v>0</v>
      </c>
      <c r="NR17" s="1" t="s">
        <v>2</v>
      </c>
      <c r="NS17" s="1" t="s">
        <v>2</v>
      </c>
      <c r="NT17" s="1" t="s">
        <v>4</v>
      </c>
      <c r="NU17" s="1" t="s">
        <v>4</v>
      </c>
    </row>
    <row r="18" spans="1:390">
      <c r="CI18" s="49" t="s">
        <v>209</v>
      </c>
      <c r="CJ18" s="49" t="s">
        <v>209</v>
      </c>
      <c r="CK18" s="49" t="s">
        <v>209</v>
      </c>
      <c r="CL18" s="49" t="s">
        <v>209</v>
      </c>
      <c r="CM18" s="49" t="s">
        <v>209</v>
      </c>
      <c r="CN18" s="49" t="s">
        <v>209</v>
      </c>
      <c r="CO18" s="49" t="s">
        <v>209</v>
      </c>
      <c r="CP18" s="49" t="s">
        <v>209</v>
      </c>
      <c r="CU18" s="1" t="s">
        <v>0</v>
      </c>
      <c r="CV18" s="1" t="s">
        <v>0</v>
      </c>
      <c r="CW18" s="1" t="s">
        <v>2</v>
      </c>
      <c r="CX18" s="1" t="s">
        <v>2</v>
      </c>
      <c r="CY18" s="1" t="s">
        <v>4</v>
      </c>
      <c r="CZ18" s="1" t="s">
        <v>4</v>
      </c>
      <c r="FN18" s="1" t="s">
        <v>0</v>
      </c>
      <c r="FO18" s="1" t="s">
        <v>0</v>
      </c>
      <c r="FP18" s="1" t="s">
        <v>2</v>
      </c>
      <c r="FQ18" s="1" t="s">
        <v>4</v>
      </c>
      <c r="FR18" s="1" t="s">
        <v>4</v>
      </c>
      <c r="FS18" s="1" t="s">
        <v>4</v>
      </c>
      <c r="FW18" s="1" t="s">
        <v>0</v>
      </c>
      <c r="FX18" s="1" t="s">
        <v>2</v>
      </c>
      <c r="FY18" s="1" t="s">
        <v>2</v>
      </c>
      <c r="FZ18" s="1" t="s">
        <v>4</v>
      </c>
      <c r="GA18" s="1" t="s">
        <v>4</v>
      </c>
      <c r="GB18" s="1" t="s">
        <v>4</v>
      </c>
      <c r="GC18" s="52" t="s">
        <v>209</v>
      </c>
      <c r="GD18" s="52" t="s">
        <v>209</v>
      </c>
      <c r="GE18" s="52" t="s">
        <v>209</v>
      </c>
      <c r="GF18" s="52" t="s">
        <v>209</v>
      </c>
      <c r="GG18" s="52" t="s">
        <v>209</v>
      </c>
      <c r="GH18" s="52" t="s">
        <v>209</v>
      </c>
      <c r="GI18" s="52" t="s">
        <v>209</v>
      </c>
      <c r="GJ18" s="52" t="s">
        <v>209</v>
      </c>
      <c r="GK18" s="52" t="s">
        <v>209</v>
      </c>
      <c r="GL18" s="52" t="s">
        <v>209</v>
      </c>
      <c r="GM18" s="52" t="s">
        <v>209</v>
      </c>
      <c r="GN18" s="52" t="s">
        <v>209</v>
      </c>
      <c r="GO18" s="52" t="s">
        <v>209</v>
      </c>
      <c r="GP18" s="52" t="s">
        <v>209</v>
      </c>
      <c r="GQ18" s="52" t="s">
        <v>209</v>
      </c>
      <c r="GR18" s="52" t="s">
        <v>209</v>
      </c>
      <c r="GS18" s="52" t="s">
        <v>209</v>
      </c>
      <c r="GT18" s="52" t="s">
        <v>209</v>
      </c>
      <c r="GU18" s="52" t="s">
        <v>209</v>
      </c>
      <c r="GV18" s="52" t="s">
        <v>209</v>
      </c>
      <c r="GW18" s="52" t="s">
        <v>209</v>
      </c>
      <c r="GX18" s="52" t="s">
        <v>209</v>
      </c>
      <c r="GY18" s="52" t="s">
        <v>209</v>
      </c>
      <c r="GZ18" s="52" t="s">
        <v>209</v>
      </c>
      <c r="HA18" s="52" t="s">
        <v>209</v>
      </c>
      <c r="HB18" s="52" t="s">
        <v>209</v>
      </c>
      <c r="HN18" s="1" t="s">
        <v>0</v>
      </c>
      <c r="HO18" s="1" t="s">
        <v>0</v>
      </c>
      <c r="HP18" s="1" t="s">
        <v>2</v>
      </c>
      <c r="HQ18" s="1" t="s">
        <v>2</v>
      </c>
      <c r="HR18" s="1" t="s">
        <v>4</v>
      </c>
      <c r="HS18" s="1" t="s">
        <v>4</v>
      </c>
      <c r="HV18" s="1" t="s">
        <v>0</v>
      </c>
      <c r="HW18" s="1" t="s">
        <v>0</v>
      </c>
      <c r="HX18" s="1" t="s">
        <v>2</v>
      </c>
      <c r="HY18" s="1" t="s">
        <v>2</v>
      </c>
      <c r="HZ18" s="1" t="s">
        <v>4</v>
      </c>
      <c r="IA18" s="1" t="s">
        <v>4</v>
      </c>
      <c r="ID18" s="1" t="s">
        <v>0</v>
      </c>
      <c r="IE18" s="1" t="s">
        <v>0</v>
      </c>
      <c r="IF18" s="1" t="s">
        <v>2</v>
      </c>
      <c r="IG18" s="1" t="s">
        <v>2</v>
      </c>
      <c r="IH18" s="1" t="s">
        <v>4</v>
      </c>
      <c r="II18" s="1" t="s">
        <v>4</v>
      </c>
      <c r="IN18" s="1" t="s">
        <v>0</v>
      </c>
      <c r="IO18" s="1" t="s">
        <v>0</v>
      </c>
      <c r="IP18" s="1" t="s">
        <v>2</v>
      </c>
      <c r="IQ18" s="1" t="s">
        <v>2</v>
      </c>
      <c r="IR18" s="1" t="s">
        <v>4</v>
      </c>
      <c r="IS18" s="1" t="s">
        <v>4</v>
      </c>
    </row>
    <row r="20" spans="1:390">
      <c r="A20" s="1" t="s">
        <v>79</v>
      </c>
      <c r="B20" s="1" t="s">
        <v>79</v>
      </c>
      <c r="C20" s="1" t="s">
        <v>4</v>
      </c>
      <c r="H20" s="1" t="s">
        <v>0</v>
      </c>
      <c r="I20" s="1" t="s">
        <v>0</v>
      </c>
      <c r="J20" s="1" t="s">
        <v>2</v>
      </c>
      <c r="K20" s="1" t="s">
        <v>4</v>
      </c>
      <c r="L20" s="1" t="s">
        <v>4</v>
      </c>
      <c r="Q20" s="1" t="s">
        <v>0</v>
      </c>
      <c r="R20" s="1" t="s">
        <v>2</v>
      </c>
      <c r="S20" s="1" t="s">
        <v>2</v>
      </c>
      <c r="T20" s="1" t="s">
        <v>4</v>
      </c>
      <c r="U20" s="1" t="s">
        <v>4</v>
      </c>
      <c r="Y20" s="1" t="s">
        <v>0</v>
      </c>
      <c r="Z20" s="1" t="s">
        <v>0</v>
      </c>
      <c r="AA20" s="1" t="s">
        <v>2</v>
      </c>
      <c r="AB20" s="1" t="s">
        <v>2</v>
      </c>
      <c r="AC20" s="1" t="s">
        <v>4</v>
      </c>
      <c r="AD20" s="1" t="s">
        <v>4</v>
      </c>
      <c r="AH20" s="1" t="s">
        <v>0</v>
      </c>
      <c r="AI20" s="1" t="s">
        <v>0</v>
      </c>
      <c r="AJ20" s="1" t="s">
        <v>2</v>
      </c>
      <c r="AK20" s="1" t="s">
        <v>2</v>
      </c>
      <c r="AL20" s="1" t="s">
        <v>4</v>
      </c>
      <c r="AQ20" s="1" t="s">
        <v>0</v>
      </c>
      <c r="AR20" s="1" t="s">
        <v>0</v>
      </c>
      <c r="AS20" s="1" t="s">
        <v>2</v>
      </c>
      <c r="AT20" s="1" t="s">
        <v>4</v>
      </c>
      <c r="AU20" s="1" t="s">
        <v>4</v>
      </c>
      <c r="AZ20" s="1" t="s">
        <v>0</v>
      </c>
      <c r="BA20" s="1" t="s">
        <v>2</v>
      </c>
      <c r="BB20" s="1" t="s">
        <v>2</v>
      </c>
      <c r="BC20" s="1" t="s">
        <v>4</v>
      </c>
      <c r="BD20" s="1" t="s">
        <v>4</v>
      </c>
      <c r="BH20" s="1" t="s">
        <v>0</v>
      </c>
      <c r="BI20" s="1" t="s">
        <v>0</v>
      </c>
      <c r="BJ20" s="1" t="s">
        <v>2</v>
      </c>
      <c r="BK20" s="1" t="s">
        <v>2</v>
      </c>
      <c r="BL20" s="1" t="s">
        <v>4</v>
      </c>
      <c r="BM20" s="53" t="s">
        <v>4</v>
      </c>
      <c r="BQ20" s="1" t="s">
        <v>0</v>
      </c>
      <c r="BR20" s="1" t="s">
        <v>0</v>
      </c>
      <c r="BS20" s="1" t="s">
        <v>2</v>
      </c>
      <c r="BT20" s="1" t="s">
        <v>2</v>
      </c>
      <c r="BU20" s="1" t="s">
        <v>4</v>
      </c>
      <c r="BZ20" s="1" t="s">
        <v>0</v>
      </c>
      <c r="CA20" s="1" t="s">
        <v>0</v>
      </c>
      <c r="CB20" s="1" t="s">
        <v>2</v>
      </c>
      <c r="CC20" s="1" t="s">
        <v>4</v>
      </c>
      <c r="CD20" s="1" t="s">
        <v>4</v>
      </c>
      <c r="CI20" s="1" t="s">
        <v>0</v>
      </c>
      <c r="CJ20" s="53" t="s">
        <v>2</v>
      </c>
      <c r="CK20" s="53" t="s">
        <v>2</v>
      </c>
      <c r="CL20" s="53" t="s">
        <v>4</v>
      </c>
      <c r="CM20" s="1" t="s">
        <v>4</v>
      </c>
      <c r="CQ20" s="1" t="s">
        <v>0</v>
      </c>
      <c r="CR20" s="1" t="s">
        <v>0</v>
      </c>
      <c r="CS20" s="1" t="s">
        <v>2</v>
      </c>
      <c r="CT20" s="1" t="s">
        <v>2</v>
      </c>
      <c r="CU20" s="1" t="s">
        <v>4</v>
      </c>
      <c r="CV20" s="1" t="s">
        <v>4</v>
      </c>
      <c r="CZ20" s="1" t="s">
        <v>0</v>
      </c>
      <c r="DA20" s="1" t="s">
        <v>0</v>
      </c>
      <c r="DB20" s="53" t="s">
        <v>2</v>
      </c>
      <c r="DC20" s="53" t="s">
        <v>2</v>
      </c>
      <c r="DD20" s="1" t="s">
        <v>4</v>
      </c>
      <c r="DI20" s="1" t="s">
        <v>0</v>
      </c>
      <c r="DJ20" s="1" t="s">
        <v>0</v>
      </c>
      <c r="DK20" s="1" t="s">
        <v>2</v>
      </c>
      <c r="DL20" s="1" t="s">
        <v>4</v>
      </c>
      <c r="DM20" s="1" t="s">
        <v>4</v>
      </c>
      <c r="DR20" s="1" t="s">
        <v>0</v>
      </c>
      <c r="DS20" s="1" t="s">
        <v>2</v>
      </c>
      <c r="DT20" s="1" t="s">
        <v>2</v>
      </c>
      <c r="DU20" s="1" t="s">
        <v>4</v>
      </c>
      <c r="DV20" s="1" t="s">
        <v>4</v>
      </c>
      <c r="DZ20" s="1" t="s">
        <v>0</v>
      </c>
      <c r="EA20" s="1" t="s">
        <v>0</v>
      </c>
      <c r="EB20" s="1" t="s">
        <v>2</v>
      </c>
      <c r="EC20" s="1" t="s">
        <v>2</v>
      </c>
      <c r="ED20" s="1" t="s">
        <v>4</v>
      </c>
      <c r="EE20" s="1" t="s">
        <v>4</v>
      </c>
      <c r="EI20" s="1" t="s">
        <v>0</v>
      </c>
      <c r="EJ20" s="1" t="s">
        <v>0</v>
      </c>
      <c r="EK20" s="1" t="s">
        <v>2</v>
      </c>
      <c r="EL20" s="1" t="s">
        <v>2</v>
      </c>
      <c r="EM20" s="1" t="s">
        <v>4</v>
      </c>
      <c r="ER20" s="1" t="s">
        <v>0</v>
      </c>
      <c r="ES20" s="1" t="s">
        <v>0</v>
      </c>
      <c r="ET20" s="1" t="s">
        <v>2</v>
      </c>
      <c r="EU20" s="1" t="s">
        <v>4</v>
      </c>
      <c r="EV20" s="1" t="s">
        <v>4</v>
      </c>
      <c r="FA20" s="1" t="s">
        <v>0</v>
      </c>
      <c r="FB20" s="1" t="s">
        <v>2</v>
      </c>
      <c r="FC20" s="1" t="s">
        <v>2</v>
      </c>
      <c r="FD20" s="1" t="s">
        <v>4</v>
      </c>
      <c r="FE20" s="1" t="s">
        <v>4</v>
      </c>
      <c r="FI20" s="1" t="s">
        <v>0</v>
      </c>
      <c r="FJ20" s="1" t="s">
        <v>0</v>
      </c>
      <c r="FK20" s="1" t="s">
        <v>2</v>
      </c>
      <c r="FL20" s="1" t="s">
        <v>2</v>
      </c>
      <c r="FM20" s="1" t="s">
        <v>4</v>
      </c>
      <c r="FN20" s="1" t="s">
        <v>4</v>
      </c>
      <c r="FR20" s="1" t="s">
        <v>206</v>
      </c>
      <c r="FS20" s="1" t="s">
        <v>206</v>
      </c>
      <c r="FT20" s="1" t="s">
        <v>207</v>
      </c>
      <c r="FU20" s="1" t="s">
        <v>207</v>
      </c>
      <c r="FV20" s="1" t="s">
        <v>208</v>
      </c>
      <c r="GA20" s="1" t="s">
        <v>206</v>
      </c>
      <c r="GB20" s="1" t="s">
        <v>206</v>
      </c>
      <c r="GC20" s="1" t="s">
        <v>207</v>
      </c>
      <c r="GD20" s="1" t="s">
        <v>208</v>
      </c>
      <c r="GE20" s="1" t="s">
        <v>208</v>
      </c>
      <c r="GJ20" s="1" t="s">
        <v>206</v>
      </c>
      <c r="GK20" s="1" t="s">
        <v>207</v>
      </c>
      <c r="GL20" s="1" t="s">
        <v>207</v>
      </c>
      <c r="GM20" s="1" t="s">
        <v>208</v>
      </c>
      <c r="GN20" s="1" t="s">
        <v>208</v>
      </c>
      <c r="GR20" s="1" t="s">
        <v>206</v>
      </c>
      <c r="GS20" s="1" t="s">
        <v>206</v>
      </c>
      <c r="GT20" s="1" t="s">
        <v>207</v>
      </c>
      <c r="GU20" s="1" t="s">
        <v>207</v>
      </c>
      <c r="GV20" s="1" t="s">
        <v>208</v>
      </c>
      <c r="GW20" s="1" t="s">
        <v>208</v>
      </c>
      <c r="HA20" s="1" t="s">
        <v>206</v>
      </c>
      <c r="HB20" s="1" t="s">
        <v>206</v>
      </c>
      <c r="HC20" s="1" t="s">
        <v>207</v>
      </c>
      <c r="HD20" s="1" t="s">
        <v>207</v>
      </c>
      <c r="HE20" s="1" t="s">
        <v>208</v>
      </c>
      <c r="HJ20" s="1" t="s">
        <v>206</v>
      </c>
      <c r="HK20" s="1" t="s">
        <v>206</v>
      </c>
      <c r="HL20" s="1" t="s">
        <v>207</v>
      </c>
      <c r="HM20" s="1" t="s">
        <v>208</v>
      </c>
      <c r="HN20" s="1" t="s">
        <v>208</v>
      </c>
      <c r="HP20" s="1" t="s">
        <v>210</v>
      </c>
      <c r="HS20" s="1" t="s">
        <v>0</v>
      </c>
      <c r="HT20" s="1" t="s">
        <v>2</v>
      </c>
      <c r="HU20" s="1" t="s">
        <v>2</v>
      </c>
      <c r="HV20" s="1" t="s">
        <v>4</v>
      </c>
      <c r="HW20" s="1" t="s">
        <v>4</v>
      </c>
      <c r="IA20" s="1" t="s">
        <v>0</v>
      </c>
      <c r="IB20" s="1" t="s">
        <v>0</v>
      </c>
      <c r="IC20" s="1" t="s">
        <v>2</v>
      </c>
      <c r="ID20" s="1" t="s">
        <v>2</v>
      </c>
      <c r="IE20" s="1" t="s">
        <v>4</v>
      </c>
      <c r="IF20" s="1" t="s">
        <v>4</v>
      </c>
      <c r="IJ20" s="1" t="s">
        <v>0</v>
      </c>
      <c r="IK20" s="1" t="s">
        <v>0</v>
      </c>
      <c r="IL20" s="1" t="s">
        <v>2</v>
      </c>
      <c r="IM20" s="1" t="s">
        <v>2</v>
      </c>
      <c r="IN20" s="1" t="s">
        <v>4</v>
      </c>
      <c r="IS20" s="1" t="s">
        <v>206</v>
      </c>
      <c r="IT20" s="1" t="s">
        <v>206</v>
      </c>
      <c r="IU20" s="1" t="s">
        <v>207</v>
      </c>
      <c r="IV20" s="1" t="s">
        <v>208</v>
      </c>
      <c r="IW20" s="1" t="s">
        <v>208</v>
      </c>
      <c r="JB20" s="1" t="s">
        <v>0</v>
      </c>
      <c r="JC20" s="1" t="s">
        <v>2</v>
      </c>
      <c r="JD20" s="1" t="s">
        <v>2</v>
      </c>
      <c r="JE20" s="1" t="s">
        <v>4</v>
      </c>
      <c r="JF20" s="1" t="s">
        <v>4</v>
      </c>
      <c r="JJ20" s="1" t="s">
        <v>0</v>
      </c>
      <c r="JK20" s="1" t="s">
        <v>0</v>
      </c>
      <c r="JL20" s="1" t="s">
        <v>2</v>
      </c>
      <c r="JM20" s="1" t="s">
        <v>2</v>
      </c>
      <c r="JN20" s="1" t="s">
        <v>4</v>
      </c>
      <c r="JO20" s="1" t="s">
        <v>4</v>
      </c>
      <c r="JS20" s="1" t="s">
        <v>0</v>
      </c>
      <c r="JT20" s="1" t="s">
        <v>0</v>
      </c>
      <c r="JU20" s="1" t="s">
        <v>2</v>
      </c>
      <c r="JV20" s="1" t="s">
        <v>2</v>
      </c>
      <c r="JW20" s="1" t="s">
        <v>4</v>
      </c>
      <c r="KB20" s="1" t="s">
        <v>0</v>
      </c>
      <c r="KC20" s="1" t="s">
        <v>0</v>
      </c>
      <c r="KD20" s="1" t="s">
        <v>2</v>
      </c>
      <c r="KE20" s="1" t="s">
        <v>4</v>
      </c>
      <c r="KF20" s="1" t="s">
        <v>4</v>
      </c>
      <c r="KK20" s="1" t="s">
        <v>0</v>
      </c>
      <c r="KL20" s="1" t="s">
        <v>2</v>
      </c>
      <c r="KM20" s="1" t="s">
        <v>2</v>
      </c>
      <c r="KN20" s="1" t="s">
        <v>4</v>
      </c>
      <c r="KO20" s="1" t="s">
        <v>4</v>
      </c>
      <c r="KS20" s="1" t="s">
        <v>0</v>
      </c>
      <c r="KT20" s="1" t="s">
        <v>0</v>
      </c>
      <c r="KU20" s="1" t="s">
        <v>2</v>
      </c>
      <c r="KV20" s="1" t="s">
        <v>2</v>
      </c>
      <c r="KW20" s="1" t="s">
        <v>4</v>
      </c>
      <c r="KX20" s="1" t="s">
        <v>4</v>
      </c>
      <c r="LB20" s="1" t="s">
        <v>0</v>
      </c>
      <c r="LC20" s="1" t="s">
        <v>0</v>
      </c>
      <c r="LD20" s="1" t="s">
        <v>2</v>
      </c>
      <c r="LE20" s="1" t="s">
        <v>2</v>
      </c>
      <c r="LF20" s="1" t="s">
        <v>4</v>
      </c>
      <c r="LK20" s="1" t="s">
        <v>0</v>
      </c>
      <c r="LL20" s="1" t="s">
        <v>0</v>
      </c>
      <c r="LM20" s="1" t="s">
        <v>2</v>
      </c>
      <c r="LN20" s="1" t="s">
        <v>4</v>
      </c>
      <c r="LO20" s="1" t="s">
        <v>4</v>
      </c>
      <c r="LT20" s="1" t="s">
        <v>0</v>
      </c>
      <c r="LU20" s="1" t="s">
        <v>2</v>
      </c>
      <c r="LV20" s="1" t="s">
        <v>2</v>
      </c>
      <c r="LW20" s="1" t="s">
        <v>4</v>
      </c>
      <c r="LX20" s="1" t="s">
        <v>4</v>
      </c>
      <c r="MB20" s="1" t="s">
        <v>0</v>
      </c>
      <c r="MC20" s="1" t="s">
        <v>0</v>
      </c>
      <c r="MD20" s="1" t="s">
        <v>2</v>
      </c>
      <c r="ME20" s="1" t="s">
        <v>2</v>
      </c>
      <c r="MF20" s="1" t="s">
        <v>4</v>
      </c>
      <c r="MG20" s="1" t="s">
        <v>4</v>
      </c>
      <c r="MK20" s="1" t="s">
        <v>0</v>
      </c>
      <c r="ML20" s="1" t="s">
        <v>0</v>
      </c>
      <c r="MM20" s="1" t="s">
        <v>2</v>
      </c>
      <c r="MN20" s="1" t="s">
        <v>2</v>
      </c>
      <c r="MO20" s="1" t="s">
        <v>4</v>
      </c>
      <c r="MT20" s="1" t="s">
        <v>0</v>
      </c>
      <c r="MU20" s="1" t="s">
        <v>0</v>
      </c>
      <c r="MV20" s="1" t="s">
        <v>2</v>
      </c>
      <c r="MW20" s="1" t="s">
        <v>4</v>
      </c>
      <c r="MX20" s="1" t="s">
        <v>4</v>
      </c>
      <c r="NC20" s="1" t="s">
        <v>0</v>
      </c>
      <c r="ND20" s="1" t="s">
        <v>2</v>
      </c>
      <c r="NE20" s="1" t="s">
        <v>2</v>
      </c>
      <c r="NF20" s="1" t="s">
        <v>4</v>
      </c>
      <c r="NG20" s="1" t="s">
        <v>4</v>
      </c>
      <c r="NK20" s="1" t="s">
        <v>0</v>
      </c>
      <c r="NL20" s="1" t="s">
        <v>0</v>
      </c>
      <c r="NM20" s="1" t="s">
        <v>2</v>
      </c>
      <c r="NN20" s="1" t="s">
        <v>2</v>
      </c>
      <c r="NO20" s="1" t="s">
        <v>4</v>
      </c>
      <c r="NP20" s="1" t="s">
        <v>4</v>
      </c>
      <c r="NT20" s="1" t="s">
        <v>0</v>
      </c>
      <c r="NU20" s="1" t="s">
        <v>0</v>
      </c>
      <c r="NV20" s="1" t="s">
        <v>2</v>
      </c>
      <c r="NW20" s="1" t="s">
        <v>2</v>
      </c>
      <c r="NX20" s="1" t="s">
        <v>4</v>
      </c>
    </row>
    <row r="21" spans="1:390">
      <c r="BL21" s="1" t="s">
        <v>2</v>
      </c>
      <c r="CJ21" s="1" t="s">
        <v>0</v>
      </c>
      <c r="CK21" s="1" t="s">
        <v>0</v>
      </c>
      <c r="CL21" s="1" t="s">
        <v>2</v>
      </c>
      <c r="CN21" s="1" t="s">
        <v>4</v>
      </c>
      <c r="CY21" s="1" t="s">
        <v>0</v>
      </c>
      <c r="DB21" s="1" t="s">
        <v>0</v>
      </c>
      <c r="DC21" s="1" t="s">
        <v>4</v>
      </c>
      <c r="FQ21" s="59" t="s">
        <v>211</v>
      </c>
      <c r="FR21" s="1" t="s">
        <v>2</v>
      </c>
      <c r="FS21" s="1" t="s">
        <v>2</v>
      </c>
      <c r="FT21" s="1" t="s">
        <v>4</v>
      </c>
      <c r="FU21" s="1" t="s">
        <v>4</v>
      </c>
      <c r="FY21" s="1" t="s">
        <v>0</v>
      </c>
      <c r="FZ21" s="1" t="s">
        <v>0</v>
      </c>
      <c r="GA21" s="1" t="s">
        <v>2</v>
      </c>
      <c r="GB21" s="1" t="s">
        <v>2</v>
      </c>
      <c r="GC21" s="1" t="s">
        <v>4</v>
      </c>
      <c r="GD21" s="1" t="s">
        <v>4</v>
      </c>
      <c r="GH21" s="1" t="s">
        <v>0</v>
      </c>
      <c r="GI21" s="1" t="s">
        <v>0</v>
      </c>
      <c r="GJ21" s="1" t="s">
        <v>2</v>
      </c>
      <c r="GK21" s="1" t="s">
        <v>2</v>
      </c>
      <c r="GL21" s="1" t="s">
        <v>4</v>
      </c>
      <c r="GM21" s="1" t="s">
        <v>4</v>
      </c>
      <c r="GQ21" s="1" t="s">
        <v>0</v>
      </c>
      <c r="GR21" s="1" t="s">
        <v>2</v>
      </c>
      <c r="GS21" s="1" t="s">
        <v>2</v>
      </c>
      <c r="GT21" s="1" t="s">
        <v>4</v>
      </c>
      <c r="GU21" s="1" t="s">
        <v>4</v>
      </c>
      <c r="GY21" s="1" t="s">
        <v>0</v>
      </c>
      <c r="GZ21" s="1" t="s">
        <v>0</v>
      </c>
      <c r="HA21" s="1" t="s">
        <v>0</v>
      </c>
      <c r="HB21" s="1" t="s">
        <v>2</v>
      </c>
      <c r="HC21" s="1" t="s">
        <v>4</v>
      </c>
      <c r="HD21" s="1" t="s">
        <v>4</v>
      </c>
      <c r="HH21" s="1" t="s">
        <v>0</v>
      </c>
      <c r="HI21" s="1" t="s">
        <v>0</v>
      </c>
      <c r="HJ21" s="1" t="s">
        <v>2</v>
      </c>
      <c r="HK21" s="1" t="s">
        <v>2</v>
      </c>
      <c r="HL21" s="1" t="s">
        <v>4</v>
      </c>
      <c r="HM21" s="1" t="s">
        <v>4</v>
      </c>
      <c r="IP21" s="1" t="s">
        <v>0</v>
      </c>
      <c r="IQ21" s="1" t="s">
        <v>0</v>
      </c>
      <c r="IR21" s="1" t="s">
        <v>2</v>
      </c>
      <c r="IS21" s="1" t="s">
        <v>2</v>
      </c>
      <c r="IT21" s="1" t="s">
        <v>4</v>
      </c>
      <c r="IU21" s="1" t="s">
        <v>4</v>
      </c>
    </row>
    <row r="22" spans="1:390">
      <c r="A22" s="1" t="s">
        <v>77</v>
      </c>
      <c r="B22" s="1" t="s">
        <v>77</v>
      </c>
      <c r="F22" s="1" t="s">
        <v>0</v>
      </c>
      <c r="G22" s="1" t="s">
        <v>0</v>
      </c>
      <c r="H22" s="1" t="s">
        <v>2</v>
      </c>
      <c r="I22" s="1" t="s">
        <v>2</v>
      </c>
      <c r="J22" s="1" t="s">
        <v>4</v>
      </c>
      <c r="M22" s="1" t="s">
        <v>2</v>
      </c>
      <c r="O22" s="1" t="s">
        <v>0</v>
      </c>
      <c r="P22" s="1" t="s">
        <v>0</v>
      </c>
      <c r="Q22" s="1" t="s">
        <v>2</v>
      </c>
      <c r="R22" s="1" t="s">
        <v>4</v>
      </c>
      <c r="S22" s="1" t="s">
        <v>4</v>
      </c>
      <c r="X22" s="1" t="s">
        <v>0</v>
      </c>
      <c r="Y22" s="1" t="s">
        <v>2</v>
      </c>
      <c r="Z22" s="54" t="s">
        <v>2</v>
      </c>
      <c r="AA22" s="1" t="s">
        <v>4</v>
      </c>
      <c r="AB22" s="1" t="s">
        <v>4</v>
      </c>
      <c r="AF22" s="1" t="s">
        <v>0</v>
      </c>
      <c r="AG22" s="1" t="s">
        <v>0</v>
      </c>
      <c r="AH22" s="1" t="s">
        <v>2</v>
      </c>
      <c r="AI22" s="1" t="s">
        <v>2</v>
      </c>
      <c r="AJ22" s="1" t="s">
        <v>4</v>
      </c>
      <c r="AK22" s="1" t="s">
        <v>4</v>
      </c>
      <c r="AO22" s="1" t="s">
        <v>0</v>
      </c>
      <c r="AP22" s="1" t="s">
        <v>0</v>
      </c>
      <c r="AQ22" s="1" t="s">
        <v>2</v>
      </c>
      <c r="AR22" s="1" t="s">
        <v>2</v>
      </c>
      <c r="AS22" s="1" t="s">
        <v>4</v>
      </c>
      <c r="AX22" s="1" t="s">
        <v>0</v>
      </c>
      <c r="AY22" s="1" t="s">
        <v>0</v>
      </c>
      <c r="AZ22" s="1" t="s">
        <v>2</v>
      </c>
      <c r="BA22" s="1" t="s">
        <v>4</v>
      </c>
      <c r="BB22" s="1" t="s">
        <v>4</v>
      </c>
      <c r="BG22" s="1" t="s">
        <v>0</v>
      </c>
      <c r="BH22" s="1" t="s">
        <v>2</v>
      </c>
      <c r="BI22" s="1" t="s">
        <v>2</v>
      </c>
      <c r="BJ22" s="1" t="s">
        <v>4</v>
      </c>
      <c r="BK22" s="1" t="s">
        <v>4</v>
      </c>
      <c r="BO22" s="1" t="s">
        <v>0</v>
      </c>
      <c r="BP22" s="1" t="s">
        <v>0</v>
      </c>
      <c r="BQ22" s="1" t="s">
        <v>2</v>
      </c>
      <c r="BR22" s="1" t="s">
        <v>2</v>
      </c>
      <c r="BS22" s="1" t="s">
        <v>4</v>
      </c>
      <c r="BT22" s="1" t="s">
        <v>4</v>
      </c>
      <c r="BX22" s="1" t="s">
        <v>0</v>
      </c>
      <c r="BY22" s="1" t="s">
        <v>0</v>
      </c>
      <c r="BZ22" s="1" t="s">
        <v>2</v>
      </c>
      <c r="CA22" s="1" t="s">
        <v>2</v>
      </c>
      <c r="CB22" s="1" t="s">
        <v>4</v>
      </c>
      <c r="CG22" s="1" t="s">
        <v>0</v>
      </c>
      <c r="CH22" s="1" t="s">
        <v>0</v>
      </c>
      <c r="CI22" s="53" t="s">
        <v>2</v>
      </c>
      <c r="CJ22" s="1" t="s">
        <v>4</v>
      </c>
      <c r="CK22" s="1" t="s">
        <v>4</v>
      </c>
      <c r="CP22" s="1" t="s">
        <v>0</v>
      </c>
      <c r="CQ22" s="1" t="s">
        <v>2</v>
      </c>
      <c r="CR22" s="1" t="s">
        <v>2</v>
      </c>
      <c r="CS22" s="1" t="s">
        <v>4</v>
      </c>
      <c r="CT22" s="1" t="s">
        <v>4</v>
      </c>
      <c r="CX22" s="1" t="s">
        <v>0</v>
      </c>
      <c r="CY22" s="53" t="s">
        <v>0</v>
      </c>
      <c r="CZ22" s="1" t="s">
        <v>2</v>
      </c>
      <c r="DA22" s="53" t="s">
        <v>2</v>
      </c>
      <c r="DB22" s="1" t="s">
        <v>4</v>
      </c>
      <c r="DC22" s="53"/>
      <c r="DG22" s="1" t="s">
        <v>0</v>
      </c>
      <c r="DH22" s="1" t="s">
        <v>0</v>
      </c>
      <c r="DI22" s="1" t="s">
        <v>2</v>
      </c>
      <c r="DJ22" s="1" t="s">
        <v>2</v>
      </c>
      <c r="DK22" s="1" t="s">
        <v>4</v>
      </c>
      <c r="DP22" s="1" t="s">
        <v>0</v>
      </c>
      <c r="DQ22" s="1" t="s">
        <v>0</v>
      </c>
      <c r="DR22" s="1" t="s">
        <v>2</v>
      </c>
      <c r="DS22" s="1" t="s">
        <v>4</v>
      </c>
      <c r="DT22" s="1" t="s">
        <v>4</v>
      </c>
      <c r="DY22" s="1" t="s">
        <v>0</v>
      </c>
      <c r="DZ22" s="1" t="s">
        <v>2</v>
      </c>
      <c r="EA22" s="1" t="s">
        <v>2</v>
      </c>
      <c r="EB22" s="1" t="s">
        <v>4</v>
      </c>
      <c r="EC22" s="1" t="s">
        <v>4</v>
      </c>
      <c r="EG22" s="1" t="s">
        <v>0</v>
      </c>
      <c r="EH22" s="1" t="s">
        <v>0</v>
      </c>
      <c r="EI22" s="1" t="s">
        <v>2</v>
      </c>
      <c r="EJ22" s="1" t="s">
        <v>2</v>
      </c>
      <c r="EK22" s="1" t="s">
        <v>4</v>
      </c>
      <c r="EL22" s="1" t="s">
        <v>4</v>
      </c>
      <c r="EP22" s="1" t="s">
        <v>0</v>
      </c>
      <c r="EQ22" s="1" t="s">
        <v>0</v>
      </c>
      <c r="ER22" s="1" t="s">
        <v>2</v>
      </c>
      <c r="ES22" s="1" t="s">
        <v>2</v>
      </c>
      <c r="ET22" s="1" t="s">
        <v>4</v>
      </c>
      <c r="EY22" s="1" t="s">
        <v>0</v>
      </c>
      <c r="EZ22" s="1" t="s">
        <v>0</v>
      </c>
      <c r="FA22" s="1" t="s">
        <v>2</v>
      </c>
      <c r="FB22" s="1" t="s">
        <v>4</v>
      </c>
      <c r="FC22" s="1" t="s">
        <v>4</v>
      </c>
      <c r="FH22" s="1" t="s">
        <v>0</v>
      </c>
      <c r="FI22" s="1" t="s">
        <v>2</v>
      </c>
      <c r="FJ22" s="1" t="s">
        <v>2</v>
      </c>
      <c r="FK22" s="1" t="s">
        <v>4</v>
      </c>
      <c r="FL22" s="1" t="s">
        <v>4</v>
      </c>
      <c r="FP22" s="1" t="s">
        <v>0</v>
      </c>
      <c r="FQ22" s="1" t="s">
        <v>0</v>
      </c>
      <c r="FR22" s="53" t="s">
        <v>207</v>
      </c>
      <c r="FS22" s="53" t="s">
        <v>207</v>
      </c>
      <c r="FT22" s="53" t="s">
        <v>208</v>
      </c>
      <c r="FU22" s="53" t="s">
        <v>208</v>
      </c>
      <c r="FY22" s="53" t="s">
        <v>206</v>
      </c>
      <c r="FZ22" s="53" t="s">
        <v>206</v>
      </c>
      <c r="GA22" s="53" t="s">
        <v>207</v>
      </c>
      <c r="GB22" s="53" t="s">
        <v>207</v>
      </c>
      <c r="GC22" s="53" t="s">
        <v>208</v>
      </c>
      <c r="GH22" s="1" t="s">
        <v>206</v>
      </c>
      <c r="GI22" s="1" t="s">
        <v>206</v>
      </c>
      <c r="GJ22" s="1" t="s">
        <v>207</v>
      </c>
      <c r="GK22" s="1" t="s">
        <v>208</v>
      </c>
      <c r="GL22" s="1" t="s">
        <v>208</v>
      </c>
      <c r="GQ22" s="1" t="s">
        <v>206</v>
      </c>
      <c r="GR22" s="1" t="s">
        <v>207</v>
      </c>
      <c r="GS22" s="1" t="s">
        <v>207</v>
      </c>
      <c r="GT22" s="1" t="s">
        <v>208</v>
      </c>
      <c r="GU22" s="1" t="s">
        <v>208</v>
      </c>
      <c r="GY22" s="1" t="s">
        <v>206</v>
      </c>
      <c r="GZ22" s="1" t="s">
        <v>206</v>
      </c>
      <c r="HA22" s="1" t="s">
        <v>207</v>
      </c>
      <c r="HB22" s="1" t="s">
        <v>207</v>
      </c>
      <c r="HC22" s="1" t="s">
        <v>208</v>
      </c>
      <c r="HD22" s="1" t="s">
        <v>208</v>
      </c>
      <c r="HH22" s="1" t="s">
        <v>206</v>
      </c>
      <c r="HI22" s="1" t="s">
        <v>206</v>
      </c>
      <c r="HJ22" s="1" t="s">
        <v>207</v>
      </c>
      <c r="HK22" s="1" t="s">
        <v>207</v>
      </c>
      <c r="HL22" s="1" t="s">
        <v>208</v>
      </c>
      <c r="HQ22" s="1" t="s">
        <v>206</v>
      </c>
      <c r="HR22" s="1" t="s">
        <v>206</v>
      </c>
      <c r="HS22" s="1" t="s">
        <v>207</v>
      </c>
      <c r="HT22" s="1" t="s">
        <v>208</v>
      </c>
      <c r="HU22" s="1" t="s">
        <v>208</v>
      </c>
      <c r="HZ22" s="1" t="s">
        <v>206</v>
      </c>
      <c r="IA22" s="1" t="s">
        <v>207</v>
      </c>
      <c r="IB22" s="1" t="s">
        <v>207</v>
      </c>
      <c r="IC22" s="1" t="s">
        <v>208</v>
      </c>
      <c r="ID22" s="1" t="s">
        <v>208</v>
      </c>
      <c r="IH22" s="1" t="s">
        <v>206</v>
      </c>
      <c r="II22" s="1" t="s">
        <v>206</v>
      </c>
      <c r="IJ22" s="1" t="s">
        <v>207</v>
      </c>
      <c r="IK22" s="1" t="s">
        <v>207</v>
      </c>
      <c r="IL22" s="1" t="s">
        <v>208</v>
      </c>
      <c r="IM22" s="1" t="s">
        <v>208</v>
      </c>
      <c r="IQ22" s="1" t="s">
        <v>206</v>
      </c>
      <c r="IR22" s="1" t="s">
        <v>206</v>
      </c>
      <c r="IS22" s="1" t="s">
        <v>207</v>
      </c>
      <c r="IT22" s="1" t="s">
        <v>207</v>
      </c>
      <c r="IU22" s="1" t="s">
        <v>208</v>
      </c>
      <c r="IZ22" s="1" t="s">
        <v>0</v>
      </c>
      <c r="JA22" s="1" t="s">
        <v>0</v>
      </c>
      <c r="JB22" s="1" t="s">
        <v>2</v>
      </c>
      <c r="JC22" s="1" t="s">
        <v>4</v>
      </c>
      <c r="JD22" s="1" t="s">
        <v>4</v>
      </c>
      <c r="JI22" s="1" t="s">
        <v>0</v>
      </c>
      <c r="JJ22" s="1" t="s">
        <v>2</v>
      </c>
      <c r="JK22" s="1" t="s">
        <v>2</v>
      </c>
      <c r="JL22" s="1" t="s">
        <v>4</v>
      </c>
      <c r="JM22" s="1" t="s">
        <v>4</v>
      </c>
      <c r="JQ22" s="1" t="s">
        <v>0</v>
      </c>
      <c r="JR22" s="1" t="s">
        <v>0</v>
      </c>
      <c r="JS22" s="1" t="s">
        <v>2</v>
      </c>
      <c r="JT22" s="1" t="s">
        <v>2</v>
      </c>
      <c r="JU22" s="1" t="s">
        <v>4</v>
      </c>
      <c r="JV22" s="1" t="s">
        <v>4</v>
      </c>
      <c r="JZ22" s="1" t="s">
        <v>0</v>
      </c>
      <c r="KA22" s="1" t="s">
        <v>0</v>
      </c>
      <c r="KB22" s="1" t="s">
        <v>2</v>
      </c>
      <c r="KC22" s="1" t="s">
        <v>2</v>
      </c>
      <c r="KD22" s="1" t="s">
        <v>4</v>
      </c>
      <c r="KI22" s="1" t="s">
        <v>0</v>
      </c>
      <c r="KJ22" s="1" t="s">
        <v>0</v>
      </c>
      <c r="KK22" s="1" t="s">
        <v>2</v>
      </c>
      <c r="KL22" s="1" t="s">
        <v>4</v>
      </c>
      <c r="KM22" s="1" t="s">
        <v>4</v>
      </c>
      <c r="KR22" s="1" t="s">
        <v>0</v>
      </c>
      <c r="KS22" s="1" t="s">
        <v>2</v>
      </c>
      <c r="KT22" s="1" t="s">
        <v>2</v>
      </c>
      <c r="KU22" s="1" t="s">
        <v>4</v>
      </c>
      <c r="KV22" s="1" t="s">
        <v>4</v>
      </c>
      <c r="KZ22" s="1" t="s">
        <v>0</v>
      </c>
      <c r="LA22" s="1" t="s">
        <v>0</v>
      </c>
      <c r="LB22" s="1" t="s">
        <v>2</v>
      </c>
      <c r="LC22" s="1" t="s">
        <v>2</v>
      </c>
      <c r="LD22" s="1" t="s">
        <v>4</v>
      </c>
      <c r="LE22" s="1" t="s">
        <v>4</v>
      </c>
      <c r="LI22" s="1" t="s">
        <v>0</v>
      </c>
      <c r="LJ22" s="1" t="s">
        <v>0</v>
      </c>
      <c r="LK22" s="1" t="s">
        <v>2</v>
      </c>
      <c r="LL22" s="1" t="s">
        <v>2</v>
      </c>
      <c r="LM22" s="1" t="s">
        <v>4</v>
      </c>
      <c r="LR22" s="1" t="s">
        <v>0</v>
      </c>
      <c r="LS22" s="1" t="s">
        <v>0</v>
      </c>
      <c r="LT22" s="1" t="s">
        <v>2</v>
      </c>
      <c r="LU22" s="1" t="s">
        <v>4</v>
      </c>
      <c r="LV22" s="1" t="s">
        <v>4</v>
      </c>
      <c r="MA22" s="1" t="s">
        <v>0</v>
      </c>
      <c r="MB22" s="1" t="s">
        <v>2</v>
      </c>
      <c r="MC22" s="1" t="s">
        <v>2</v>
      </c>
      <c r="MD22" s="1" t="s">
        <v>4</v>
      </c>
      <c r="ME22" s="1" t="s">
        <v>4</v>
      </c>
      <c r="MI22" s="1" t="s">
        <v>0</v>
      </c>
      <c r="MJ22" s="1" t="s">
        <v>0</v>
      </c>
      <c r="MK22" s="1" t="s">
        <v>2</v>
      </c>
      <c r="ML22" s="1" t="s">
        <v>2</v>
      </c>
      <c r="MM22" s="1" t="s">
        <v>4</v>
      </c>
      <c r="MN22" s="1" t="s">
        <v>4</v>
      </c>
      <c r="MR22" s="1" t="s">
        <v>0</v>
      </c>
      <c r="MS22" s="1" t="s">
        <v>0</v>
      </c>
      <c r="MT22" s="1" t="s">
        <v>2</v>
      </c>
      <c r="MU22" s="1" t="s">
        <v>2</v>
      </c>
      <c r="MV22" s="1" t="s">
        <v>4</v>
      </c>
      <c r="NA22" s="1" t="s">
        <v>0</v>
      </c>
      <c r="NB22" s="1" t="s">
        <v>0</v>
      </c>
      <c r="NC22" s="1" t="s">
        <v>2</v>
      </c>
      <c r="ND22" s="1" t="s">
        <v>4</v>
      </c>
      <c r="NE22" s="1" t="s">
        <v>4</v>
      </c>
      <c r="NJ22" s="1" t="s">
        <v>0</v>
      </c>
      <c r="NK22" s="1" t="s">
        <v>2</v>
      </c>
      <c r="NL22" s="1" t="s">
        <v>2</v>
      </c>
      <c r="NM22" s="1" t="s">
        <v>4</v>
      </c>
      <c r="NN22" s="1" t="s">
        <v>4</v>
      </c>
      <c r="NR22" s="1" t="s">
        <v>0</v>
      </c>
      <c r="NS22" s="1" t="s">
        <v>0</v>
      </c>
      <c r="NT22" s="1" t="s">
        <v>2</v>
      </c>
      <c r="NU22" s="1" t="s">
        <v>2</v>
      </c>
      <c r="NV22" s="1" t="s">
        <v>4</v>
      </c>
      <c r="NW22" s="1" t="s">
        <v>4</v>
      </c>
    </row>
    <row r="23" spans="1:390">
      <c r="J23" s="55" t="s">
        <v>212</v>
      </c>
      <c r="BL23" s="53" t="s">
        <v>4</v>
      </c>
      <c r="BM23" s="1" t="s">
        <v>4</v>
      </c>
      <c r="CI23" s="1" t="s">
        <v>4</v>
      </c>
      <c r="CL23" s="1" t="s">
        <v>4</v>
      </c>
      <c r="CO23" s="1" t="s">
        <v>0</v>
      </c>
      <c r="CW23" s="1" t="s">
        <v>0</v>
      </c>
      <c r="CY23" s="1" t="s">
        <v>2</v>
      </c>
      <c r="DA23" s="1" t="s">
        <v>4</v>
      </c>
      <c r="DG23" s="8" t="s">
        <v>213</v>
      </c>
      <c r="FO23" s="1" t="s">
        <v>2</v>
      </c>
      <c r="FQ23" s="49" t="s">
        <v>209</v>
      </c>
      <c r="FR23" s="49" t="s">
        <v>209</v>
      </c>
      <c r="FS23" s="49" t="s">
        <v>209</v>
      </c>
      <c r="FT23" s="49" t="s">
        <v>209</v>
      </c>
      <c r="FU23" s="49" t="s">
        <v>209</v>
      </c>
      <c r="FV23" s="49" t="s">
        <v>209</v>
      </c>
      <c r="FW23" s="49" t="s">
        <v>209</v>
      </c>
      <c r="FX23" s="49" t="s">
        <v>209</v>
      </c>
      <c r="FY23" s="49" t="s">
        <v>209</v>
      </c>
      <c r="FZ23" s="49" t="s">
        <v>209</v>
      </c>
      <c r="GA23" s="49" t="s">
        <v>209</v>
      </c>
      <c r="GB23" s="49" t="s">
        <v>209</v>
      </c>
      <c r="GC23" s="49" t="s">
        <v>209</v>
      </c>
      <c r="GD23" s="49" t="s">
        <v>209</v>
      </c>
      <c r="GE23" s="49" t="s">
        <v>209</v>
      </c>
      <c r="GF23" s="49" t="s">
        <v>209</v>
      </c>
      <c r="GG23" s="1" t="s">
        <v>0</v>
      </c>
      <c r="GH23" s="1" t="s">
        <v>2</v>
      </c>
      <c r="GI23" s="1" t="s">
        <v>4</v>
      </c>
      <c r="GJ23" s="1" t="s">
        <v>4</v>
      </c>
      <c r="GK23" s="1" t="s">
        <v>4</v>
      </c>
      <c r="GN23" s="1" t="s">
        <v>0</v>
      </c>
      <c r="GO23" s="1" t="s">
        <v>0</v>
      </c>
      <c r="GP23" s="1" t="s">
        <v>0</v>
      </c>
      <c r="GQ23" s="1" t="s">
        <v>2</v>
      </c>
      <c r="GR23" s="1" t="s">
        <v>4</v>
      </c>
      <c r="GS23" s="1" t="s">
        <v>4</v>
      </c>
      <c r="GW23" s="1" t="s">
        <v>0</v>
      </c>
      <c r="GX23" s="1" t="s">
        <v>0</v>
      </c>
      <c r="GY23" s="1" t="s">
        <v>2</v>
      </c>
      <c r="GZ23" s="1" t="s">
        <v>2</v>
      </c>
      <c r="HA23" s="1" t="s">
        <v>4</v>
      </c>
      <c r="HB23" s="1" t="s">
        <v>4</v>
      </c>
      <c r="HE23" s="1" t="s">
        <v>4</v>
      </c>
      <c r="HF23" s="1" t="s">
        <v>4</v>
      </c>
      <c r="HG23" s="1" t="s">
        <v>4</v>
      </c>
      <c r="HJ23" s="1" t="s">
        <v>0</v>
      </c>
      <c r="HK23" s="1" t="s">
        <v>0</v>
      </c>
      <c r="HL23" s="1" t="s">
        <v>2</v>
      </c>
      <c r="HM23" s="1" t="s">
        <v>2</v>
      </c>
      <c r="HN23" s="1" t="s">
        <v>4</v>
      </c>
      <c r="HO23" s="1" t="s">
        <v>4</v>
      </c>
      <c r="HR23" s="1" t="s">
        <v>0</v>
      </c>
      <c r="HS23" s="1" t="s">
        <v>0</v>
      </c>
      <c r="HT23" s="1" t="s">
        <v>2</v>
      </c>
      <c r="HU23" s="1" t="s">
        <v>2</v>
      </c>
      <c r="HV23" s="1" t="s">
        <v>4</v>
      </c>
      <c r="HW23" s="1" t="s">
        <v>4</v>
      </c>
      <c r="HZ23" s="1" t="s">
        <v>0</v>
      </c>
      <c r="IA23" s="1" t="s">
        <v>0</v>
      </c>
      <c r="IB23" s="1" t="s">
        <v>2</v>
      </c>
      <c r="IC23" s="1" t="s">
        <v>2</v>
      </c>
      <c r="ID23" s="1" t="s">
        <v>4</v>
      </c>
      <c r="IE23" s="1" t="s">
        <v>4</v>
      </c>
      <c r="IH23" s="1" t="s">
        <v>0</v>
      </c>
      <c r="II23" s="1" t="s">
        <v>0</v>
      </c>
      <c r="IJ23" s="1" t="s">
        <v>2</v>
      </c>
      <c r="IK23" s="1" t="s">
        <v>2</v>
      </c>
      <c r="IL23" s="1" t="s">
        <v>4</v>
      </c>
      <c r="IM23" s="1" t="s">
        <v>4</v>
      </c>
      <c r="IR23" s="1" t="s">
        <v>0</v>
      </c>
      <c r="IS23" s="1" t="s">
        <v>0</v>
      </c>
      <c r="IT23" s="1" t="s">
        <v>2</v>
      </c>
      <c r="IU23" s="1" t="s">
        <v>2</v>
      </c>
      <c r="IV23" s="1" t="s">
        <v>4</v>
      </c>
      <c r="IW23" s="1" t="s">
        <v>4</v>
      </c>
    </row>
    <row r="24" spans="1:390">
      <c r="A24" s="1" t="s">
        <v>85</v>
      </c>
      <c r="B24" s="1" t="s">
        <v>85</v>
      </c>
      <c r="C24" s="1" t="s">
        <v>2</v>
      </c>
      <c r="D24" s="1" t="s">
        <v>4</v>
      </c>
      <c r="E24" s="53" t="s">
        <v>4</v>
      </c>
      <c r="J24" s="53" t="s">
        <v>0</v>
      </c>
      <c r="K24" s="53" t="s">
        <v>2</v>
      </c>
      <c r="L24" s="53" t="s">
        <v>2</v>
      </c>
      <c r="M24" s="1" t="s">
        <v>4</v>
      </c>
      <c r="N24" s="1" t="s">
        <v>4</v>
      </c>
      <c r="R24" s="1" t="s">
        <v>0</v>
      </c>
      <c r="S24" s="1" t="s">
        <v>0</v>
      </c>
      <c r="T24" s="1" t="s">
        <v>2</v>
      </c>
      <c r="U24" s="1" t="s">
        <v>2</v>
      </c>
      <c r="V24" s="1" t="s">
        <v>4</v>
      </c>
      <c r="W24" s="1" t="s">
        <v>4</v>
      </c>
      <c r="AA24" s="1" t="s">
        <v>0</v>
      </c>
      <c r="AB24" s="1" t="s">
        <v>0</v>
      </c>
      <c r="AC24" s="1" t="s">
        <v>2</v>
      </c>
      <c r="AD24" s="1" t="s">
        <v>2</v>
      </c>
      <c r="AE24" s="1" t="s">
        <v>4</v>
      </c>
      <c r="AJ24" s="1" t="s">
        <v>0</v>
      </c>
      <c r="AK24" s="1" t="s">
        <v>0</v>
      </c>
      <c r="AL24" s="1" t="s">
        <v>2</v>
      </c>
      <c r="AM24" s="1" t="s">
        <v>4</v>
      </c>
      <c r="AN24" s="1" t="s">
        <v>4</v>
      </c>
      <c r="AS24" s="1" t="s">
        <v>0</v>
      </c>
      <c r="AT24" s="1" t="s">
        <v>2</v>
      </c>
      <c r="AU24" s="1" t="s">
        <v>2</v>
      </c>
      <c r="AV24" s="1" t="s">
        <v>4</v>
      </c>
      <c r="AW24" s="1" t="s">
        <v>4</v>
      </c>
      <c r="BA24" s="1" t="s">
        <v>0</v>
      </c>
      <c r="BB24" s="1" t="s">
        <v>0</v>
      </c>
      <c r="BC24" s="1" t="s">
        <v>2</v>
      </c>
      <c r="BD24" s="1" t="s">
        <v>2</v>
      </c>
      <c r="BE24" s="1" t="s">
        <v>4</v>
      </c>
      <c r="BF24" s="1" t="s">
        <v>4</v>
      </c>
      <c r="BJ24" s="1" t="s">
        <v>0</v>
      </c>
      <c r="BK24" s="1" t="s">
        <v>0</v>
      </c>
      <c r="BL24" s="1" t="s">
        <v>2</v>
      </c>
      <c r="BM24" s="1" t="s">
        <v>2</v>
      </c>
      <c r="BN24" s="1" t="s">
        <v>4</v>
      </c>
      <c r="BS24" s="1" t="s">
        <v>0</v>
      </c>
      <c r="BT24" s="1" t="s">
        <v>0</v>
      </c>
      <c r="BU24" s="1" t="s">
        <v>2</v>
      </c>
      <c r="BV24" s="1" t="s">
        <v>4</v>
      </c>
      <c r="BW24" s="1" t="s">
        <v>4</v>
      </c>
      <c r="CB24" s="53" t="s">
        <v>0</v>
      </c>
      <c r="CC24" s="53" t="s">
        <v>2</v>
      </c>
      <c r="CD24" s="53" t="s">
        <v>2</v>
      </c>
      <c r="CE24" s="53" t="s">
        <v>4</v>
      </c>
      <c r="CF24" s="53" t="s">
        <v>4</v>
      </c>
      <c r="CJ24" s="53" t="s">
        <v>0</v>
      </c>
      <c r="CK24" s="53" t="s">
        <v>0</v>
      </c>
      <c r="CL24" s="53" t="s">
        <v>2</v>
      </c>
      <c r="CM24" s="53" t="s">
        <v>2</v>
      </c>
      <c r="CN24" s="53" t="s">
        <v>4</v>
      </c>
      <c r="CO24" s="53" t="s">
        <v>4</v>
      </c>
      <c r="DK24" s="1" t="s">
        <v>0</v>
      </c>
      <c r="DL24" s="1" t="s">
        <v>2</v>
      </c>
      <c r="DM24" s="1" t="s">
        <v>2</v>
      </c>
      <c r="DN24" s="1" t="s">
        <v>4</v>
      </c>
      <c r="DO24" s="1" t="s">
        <v>4</v>
      </c>
      <c r="DS24" s="1" t="s">
        <v>0</v>
      </c>
      <c r="DT24" s="1" t="s">
        <v>0</v>
      </c>
      <c r="DU24" s="1" t="s">
        <v>2</v>
      </c>
      <c r="DV24" s="1" t="s">
        <v>2</v>
      </c>
      <c r="DW24" s="1" t="s">
        <v>4</v>
      </c>
      <c r="DX24" s="1" t="s">
        <v>4</v>
      </c>
      <c r="EB24" s="1" t="s">
        <v>0</v>
      </c>
      <c r="EC24" s="1" t="s">
        <v>0</v>
      </c>
      <c r="ED24" s="1" t="s">
        <v>2</v>
      </c>
      <c r="EE24" s="1" t="s">
        <v>2</v>
      </c>
      <c r="EF24" s="1" t="s">
        <v>4</v>
      </c>
      <c r="EK24" s="1" t="s">
        <v>0</v>
      </c>
      <c r="EL24" s="1" t="s">
        <v>0</v>
      </c>
      <c r="EM24" s="1" t="s">
        <v>2</v>
      </c>
      <c r="EN24" s="1" t="s">
        <v>4</v>
      </c>
      <c r="EO24" s="1" t="s">
        <v>4</v>
      </c>
      <c r="ET24" s="1" t="s">
        <v>0</v>
      </c>
      <c r="EU24" s="1" t="s">
        <v>2</v>
      </c>
      <c r="EV24" s="1" t="s">
        <v>2</v>
      </c>
      <c r="EW24" s="1" t="s">
        <v>4</v>
      </c>
      <c r="EX24" s="1" t="s">
        <v>4</v>
      </c>
      <c r="FB24" s="1" t="s">
        <v>0</v>
      </c>
      <c r="FC24" s="1" t="s">
        <v>0</v>
      </c>
      <c r="FD24" s="1" t="s">
        <v>2</v>
      </c>
      <c r="FE24" s="1" t="s">
        <v>2</v>
      </c>
      <c r="FF24" s="1" t="s">
        <v>4</v>
      </c>
      <c r="FG24" s="1" t="s">
        <v>4</v>
      </c>
      <c r="FK24" s="1" t="s">
        <v>206</v>
      </c>
      <c r="FL24" s="1" t="s">
        <v>206</v>
      </c>
      <c r="FM24" s="1" t="s">
        <v>207</v>
      </c>
      <c r="FN24" s="1" t="s">
        <v>207</v>
      </c>
      <c r="FO24" s="1" t="s">
        <v>208</v>
      </c>
      <c r="FT24" s="1" t="s">
        <v>206</v>
      </c>
      <c r="FU24" s="1" t="s">
        <v>206</v>
      </c>
      <c r="FV24" s="1" t="s">
        <v>207</v>
      </c>
      <c r="FW24" s="1" t="s">
        <v>208</v>
      </c>
      <c r="FX24" s="1" t="s">
        <v>208</v>
      </c>
      <c r="GC24" s="1" t="s">
        <v>206</v>
      </c>
      <c r="GD24" s="1" t="s">
        <v>207</v>
      </c>
      <c r="GE24" s="1" t="s">
        <v>207</v>
      </c>
      <c r="GF24" s="1" t="s">
        <v>208</v>
      </c>
      <c r="GG24" s="1" t="s">
        <v>208</v>
      </c>
      <c r="GK24" s="1" t="s">
        <v>206</v>
      </c>
      <c r="GL24" s="1" t="s">
        <v>206</v>
      </c>
      <c r="GM24" s="1" t="s">
        <v>207</v>
      </c>
      <c r="GN24" s="1" t="s">
        <v>207</v>
      </c>
      <c r="GO24" s="1" t="s">
        <v>208</v>
      </c>
      <c r="GP24" s="1" t="s">
        <v>208</v>
      </c>
      <c r="GT24" s="1" t="s">
        <v>206</v>
      </c>
      <c r="GU24" s="1" t="s">
        <v>206</v>
      </c>
      <c r="GV24" s="1" t="s">
        <v>207</v>
      </c>
      <c r="GW24" s="1" t="s">
        <v>207</v>
      </c>
      <c r="GX24" s="1" t="s">
        <v>208</v>
      </c>
      <c r="HC24" s="1" t="s">
        <v>206</v>
      </c>
      <c r="HD24" s="1" t="s">
        <v>206</v>
      </c>
      <c r="HE24" s="1" t="s">
        <v>207</v>
      </c>
      <c r="HF24" s="1" t="s">
        <v>208</v>
      </c>
      <c r="HG24" s="1" t="s">
        <v>208</v>
      </c>
      <c r="HL24" s="1" t="s">
        <v>206</v>
      </c>
      <c r="HM24" s="1" t="s">
        <v>207</v>
      </c>
      <c r="HN24" s="1" t="s">
        <v>207</v>
      </c>
      <c r="HO24" s="1" t="s">
        <v>208</v>
      </c>
      <c r="HP24" s="1" t="s">
        <v>208</v>
      </c>
      <c r="HT24" s="1" t="s">
        <v>206</v>
      </c>
      <c r="HU24" s="1" t="s">
        <v>206</v>
      </c>
      <c r="HV24" s="1" t="s">
        <v>207</v>
      </c>
      <c r="HW24" s="1" t="s">
        <v>207</v>
      </c>
      <c r="HX24" s="1" t="s">
        <v>208</v>
      </c>
      <c r="HY24" s="1" t="s">
        <v>208</v>
      </c>
      <c r="IC24" s="1" t="s">
        <v>206</v>
      </c>
      <c r="ID24" s="1" t="s">
        <v>206</v>
      </c>
      <c r="IE24" s="1" t="s">
        <v>207</v>
      </c>
      <c r="IF24" s="1" t="s">
        <v>207</v>
      </c>
      <c r="IG24" s="1" t="s">
        <v>208</v>
      </c>
      <c r="IL24" s="1" t="s">
        <v>206</v>
      </c>
      <c r="IM24" s="1" t="s">
        <v>206</v>
      </c>
      <c r="IN24" s="1" t="s">
        <v>207</v>
      </c>
      <c r="IO24" s="1" t="s">
        <v>208</v>
      </c>
      <c r="IP24" s="1" t="s">
        <v>208</v>
      </c>
      <c r="IU24" s="1" t="s">
        <v>206</v>
      </c>
      <c r="IV24" s="1" t="s">
        <v>207</v>
      </c>
      <c r="IW24" s="1" t="s">
        <v>207</v>
      </c>
      <c r="IX24" s="1" t="s">
        <v>208</v>
      </c>
      <c r="IY24" s="1" t="s">
        <v>208</v>
      </c>
      <c r="JC24" s="1" t="s">
        <v>0</v>
      </c>
      <c r="JD24" s="1" t="s">
        <v>0</v>
      </c>
      <c r="JE24" s="1" t="s">
        <v>2</v>
      </c>
      <c r="JF24" s="1" t="s">
        <v>2</v>
      </c>
      <c r="JG24" s="1" t="s">
        <v>4</v>
      </c>
      <c r="JH24" s="1" t="s">
        <v>4</v>
      </c>
      <c r="JL24" s="1" t="s">
        <v>0</v>
      </c>
      <c r="JM24" s="1" t="s">
        <v>0</v>
      </c>
      <c r="JN24" s="1" t="s">
        <v>2</v>
      </c>
      <c r="JO24" s="1" t="s">
        <v>2</v>
      </c>
      <c r="JP24" s="1" t="s">
        <v>4</v>
      </c>
      <c r="JU24" s="1" t="s">
        <v>0</v>
      </c>
      <c r="JV24" s="1" t="s">
        <v>0</v>
      </c>
      <c r="JW24" s="1" t="s">
        <v>2</v>
      </c>
      <c r="JX24" s="1" t="s">
        <v>4</v>
      </c>
      <c r="JY24" s="1" t="s">
        <v>4</v>
      </c>
      <c r="KD24" s="1" t="s">
        <v>0</v>
      </c>
      <c r="KE24" s="1" t="s">
        <v>2</v>
      </c>
      <c r="KF24" s="1" t="s">
        <v>2</v>
      </c>
      <c r="KG24" s="1" t="s">
        <v>4</v>
      </c>
      <c r="KH24" s="1" t="s">
        <v>4</v>
      </c>
      <c r="KL24" s="1" t="s">
        <v>0</v>
      </c>
      <c r="KM24" s="1" t="s">
        <v>0</v>
      </c>
      <c r="KN24" s="1" t="s">
        <v>2</v>
      </c>
      <c r="KO24" s="1" t="s">
        <v>2</v>
      </c>
      <c r="KP24" s="1" t="s">
        <v>4</v>
      </c>
      <c r="KQ24" s="1" t="s">
        <v>4</v>
      </c>
      <c r="KU24" s="1" t="s">
        <v>0</v>
      </c>
      <c r="KV24" s="1" t="s">
        <v>0</v>
      </c>
      <c r="KW24" s="1" t="s">
        <v>2</v>
      </c>
      <c r="KX24" s="1" t="s">
        <v>2</v>
      </c>
      <c r="KY24" s="1" t="s">
        <v>4</v>
      </c>
      <c r="LD24" s="1" t="s">
        <v>0</v>
      </c>
      <c r="LE24" s="1" t="s">
        <v>0</v>
      </c>
      <c r="LF24" s="1" t="s">
        <v>2</v>
      </c>
      <c r="LG24" s="1" t="s">
        <v>4</v>
      </c>
      <c r="LH24" s="1" t="s">
        <v>4</v>
      </c>
      <c r="LM24" s="1" t="s">
        <v>0</v>
      </c>
      <c r="LN24" s="1" t="s">
        <v>2</v>
      </c>
      <c r="LO24" s="1" t="s">
        <v>2</v>
      </c>
      <c r="LP24" s="1" t="s">
        <v>4</v>
      </c>
      <c r="LQ24" s="1" t="s">
        <v>4</v>
      </c>
      <c r="LU24" s="1" t="s">
        <v>0</v>
      </c>
      <c r="LV24" s="1" t="s">
        <v>0</v>
      </c>
      <c r="LW24" s="1" t="s">
        <v>2</v>
      </c>
      <c r="LX24" s="1" t="s">
        <v>2</v>
      </c>
      <c r="LY24" s="1" t="s">
        <v>4</v>
      </c>
      <c r="LZ24" s="1" t="s">
        <v>4</v>
      </c>
      <c r="MD24" s="1" t="s">
        <v>0</v>
      </c>
      <c r="ME24" s="1" t="s">
        <v>0</v>
      </c>
      <c r="MF24" s="1" t="s">
        <v>2</v>
      </c>
      <c r="MG24" s="1" t="s">
        <v>2</v>
      </c>
      <c r="MH24" s="1" t="s">
        <v>4</v>
      </c>
      <c r="MM24" s="1" t="s">
        <v>0</v>
      </c>
      <c r="MN24" s="1" t="s">
        <v>0</v>
      </c>
      <c r="MO24" s="1" t="s">
        <v>2</v>
      </c>
      <c r="MP24" s="1" t="s">
        <v>4</v>
      </c>
      <c r="MQ24" s="1" t="s">
        <v>4</v>
      </c>
      <c r="MV24" s="1" t="s">
        <v>0</v>
      </c>
      <c r="MW24" s="1" t="s">
        <v>2</v>
      </c>
      <c r="MX24" s="1" t="s">
        <v>2</v>
      </c>
      <c r="MY24" s="1" t="s">
        <v>4</v>
      </c>
      <c r="MZ24" s="1" t="s">
        <v>4</v>
      </c>
      <c r="ND24" s="1" t="s">
        <v>0</v>
      </c>
      <c r="NE24" s="1" t="s">
        <v>0</v>
      </c>
      <c r="NF24" s="1" t="s">
        <v>2</v>
      </c>
      <c r="NG24" s="1" t="s">
        <v>2</v>
      </c>
      <c r="NH24" s="1" t="s">
        <v>4</v>
      </c>
      <c r="NI24" s="1" t="s">
        <v>4</v>
      </c>
      <c r="NM24" s="1" t="s">
        <v>0</v>
      </c>
      <c r="NN24" s="1" t="s">
        <v>0</v>
      </c>
      <c r="NO24" s="1" t="s">
        <v>2</v>
      </c>
      <c r="NP24" s="1" t="s">
        <v>2</v>
      </c>
      <c r="NQ24" s="1" t="s">
        <v>4</v>
      </c>
      <c r="NV24" s="1" t="s">
        <v>0</v>
      </c>
      <c r="NW24" s="1" t="s">
        <v>0</v>
      </c>
      <c r="NX24" s="1" t="s">
        <v>2</v>
      </c>
      <c r="NY24" s="1" t="s">
        <v>4</v>
      </c>
      <c r="NZ24" s="1" t="s">
        <v>4</v>
      </c>
    </row>
    <row r="25" spans="1:390">
      <c r="E25" s="1" t="s">
        <v>6</v>
      </c>
      <c r="J25" s="1" t="s">
        <v>6</v>
      </c>
      <c r="K25" s="1" t="s">
        <v>6</v>
      </c>
      <c r="L25" s="1" t="s">
        <v>6</v>
      </c>
      <c r="T25" s="1" t="s">
        <v>6</v>
      </c>
      <c r="AL25" s="1" t="s">
        <v>0</v>
      </c>
      <c r="AM25" s="1" t="s">
        <v>8</v>
      </c>
      <c r="AN25" s="1" t="s">
        <v>8</v>
      </c>
      <c r="AU25" s="1" t="s">
        <v>8</v>
      </c>
      <c r="AV25" s="1" t="s">
        <v>6</v>
      </c>
      <c r="AW25" s="1" t="s">
        <v>6</v>
      </c>
      <c r="BA25" s="1" t="s">
        <v>6</v>
      </c>
      <c r="BB25" s="1" t="s">
        <v>6</v>
      </c>
      <c r="BC25" s="1" t="s">
        <v>10</v>
      </c>
      <c r="BD25" s="1" t="s">
        <v>10</v>
      </c>
      <c r="BE25" s="1" t="s">
        <v>10</v>
      </c>
      <c r="BF25" s="1" t="s">
        <v>10</v>
      </c>
      <c r="BJ25" s="1" t="s">
        <v>10</v>
      </c>
      <c r="BK25" s="1" t="s">
        <v>10</v>
      </c>
      <c r="BL25" s="1" t="s">
        <v>10</v>
      </c>
      <c r="BM25" s="1" t="s">
        <v>10</v>
      </c>
      <c r="BN25" s="1" t="s">
        <v>10</v>
      </c>
      <c r="BS25" s="1" t="s">
        <v>10</v>
      </c>
      <c r="BT25" s="1" t="s">
        <v>10</v>
      </c>
      <c r="BU25" s="1" t="s">
        <v>10</v>
      </c>
      <c r="BV25" s="1" t="s">
        <v>10</v>
      </c>
      <c r="BW25" s="1" t="s">
        <v>10</v>
      </c>
      <c r="CB25" s="1" t="s">
        <v>10</v>
      </c>
      <c r="CC25" s="1" t="s">
        <v>10</v>
      </c>
      <c r="CD25" s="1" t="s">
        <v>10</v>
      </c>
      <c r="CE25" s="1" t="s">
        <v>10</v>
      </c>
      <c r="CF25" s="1" t="s">
        <v>10</v>
      </c>
      <c r="CJ25" s="1" t="s">
        <v>10</v>
      </c>
      <c r="CK25" s="1" t="s">
        <v>10</v>
      </c>
      <c r="CL25" s="1" t="s">
        <v>10</v>
      </c>
      <c r="CM25" s="1" t="s">
        <v>10</v>
      </c>
      <c r="CN25" s="1" t="s">
        <v>10</v>
      </c>
      <c r="CO25" s="1" t="s">
        <v>10</v>
      </c>
      <c r="CS25" s="1" t="s">
        <v>10</v>
      </c>
      <c r="CT25" s="1" t="s">
        <v>10</v>
      </c>
      <c r="CU25" s="1" t="s">
        <v>10</v>
      </c>
      <c r="CV25" s="1" t="s">
        <v>10</v>
      </c>
      <c r="CW25" s="1" t="s">
        <v>10</v>
      </c>
      <c r="DB25" s="1" t="s">
        <v>10</v>
      </c>
      <c r="DC25" s="1" t="s">
        <v>10</v>
      </c>
      <c r="DD25" s="1" t="s">
        <v>10</v>
      </c>
      <c r="DE25" s="1" t="s">
        <v>10</v>
      </c>
      <c r="DF25" s="1" t="s">
        <v>10</v>
      </c>
      <c r="EP25" s="49" t="s">
        <v>209</v>
      </c>
      <c r="EQ25" s="49" t="s">
        <v>209</v>
      </c>
      <c r="ER25" s="49" t="s">
        <v>209</v>
      </c>
      <c r="ES25" s="49" t="s">
        <v>209</v>
      </c>
      <c r="ET25" s="49" t="s">
        <v>209</v>
      </c>
      <c r="EU25" s="49" t="s">
        <v>214</v>
      </c>
      <c r="EV25" s="49" t="s">
        <v>214</v>
      </c>
      <c r="EW25" s="49" t="s">
        <v>214</v>
      </c>
      <c r="EX25" s="49" t="s">
        <v>214</v>
      </c>
    </row>
    <row r="26" spans="1:390">
      <c r="A26" s="1" t="s">
        <v>78</v>
      </c>
      <c r="B26" s="1" t="s">
        <v>78</v>
      </c>
      <c r="C26" s="1" t="s">
        <v>0</v>
      </c>
      <c r="D26" s="53" t="s">
        <v>2</v>
      </c>
      <c r="E26" s="53" t="s">
        <v>2</v>
      </c>
      <c r="F26" s="53" t="s">
        <v>4</v>
      </c>
      <c r="G26" s="53" t="s">
        <v>4</v>
      </c>
      <c r="K26" s="1" t="s">
        <v>2</v>
      </c>
      <c r="L26" s="1" t="s">
        <v>2</v>
      </c>
      <c r="M26" s="53" t="s">
        <v>2</v>
      </c>
      <c r="N26" s="53" t="s">
        <v>2</v>
      </c>
      <c r="O26" s="53" t="s">
        <v>4</v>
      </c>
      <c r="P26" s="53" t="s">
        <v>4</v>
      </c>
      <c r="R26" s="1" t="s">
        <v>0</v>
      </c>
      <c r="S26" s="1" t="s">
        <v>0</v>
      </c>
      <c r="T26" s="1" t="s">
        <v>2</v>
      </c>
      <c r="U26" s="1" t="s">
        <v>2</v>
      </c>
      <c r="V26" s="1" t="s">
        <v>4</v>
      </c>
      <c r="W26" s="1" t="s">
        <v>4</v>
      </c>
      <c r="AA26" s="1" t="s">
        <v>0</v>
      </c>
      <c r="AB26" s="1" t="s">
        <v>0</v>
      </c>
      <c r="AC26" s="1" t="s">
        <v>2</v>
      </c>
      <c r="AD26" s="1" t="s">
        <v>2</v>
      </c>
      <c r="AE26" s="1" t="s">
        <v>4</v>
      </c>
      <c r="AJ26" s="1" t="s">
        <v>0</v>
      </c>
      <c r="AK26" s="1" t="s">
        <v>0</v>
      </c>
      <c r="AL26" s="1" t="s">
        <v>2</v>
      </c>
      <c r="AM26" s="1" t="s">
        <v>4</v>
      </c>
      <c r="AN26" s="1" t="s">
        <v>4</v>
      </c>
      <c r="AS26" s="1" t="s">
        <v>0</v>
      </c>
      <c r="AT26" s="1" t="s">
        <v>2</v>
      </c>
      <c r="AU26" s="1" t="s">
        <v>2</v>
      </c>
      <c r="AV26" s="1" t="s">
        <v>4</v>
      </c>
      <c r="AW26" s="1" t="s">
        <v>4</v>
      </c>
      <c r="BA26" s="1" t="s">
        <v>0</v>
      </c>
      <c r="BB26" s="1" t="s">
        <v>0</v>
      </c>
      <c r="BC26" s="1" t="s">
        <v>2</v>
      </c>
      <c r="BD26" s="1" t="s">
        <v>2</v>
      </c>
      <c r="BE26" s="1" t="s">
        <v>4</v>
      </c>
      <c r="BF26" s="1" t="s">
        <v>4</v>
      </c>
      <c r="BJ26" s="1" t="s">
        <v>0</v>
      </c>
      <c r="BK26" s="1" t="s">
        <v>0</v>
      </c>
      <c r="BL26" s="1" t="s">
        <v>2</v>
      </c>
      <c r="BM26" s="1" t="s">
        <v>2</v>
      </c>
      <c r="BN26" s="1" t="s">
        <v>4</v>
      </c>
      <c r="BS26" s="1" t="s">
        <v>0</v>
      </c>
      <c r="BT26" s="1" t="s">
        <v>0</v>
      </c>
      <c r="BU26" s="1" t="s">
        <v>2</v>
      </c>
      <c r="BV26" s="1" t="s">
        <v>4</v>
      </c>
      <c r="BW26" s="1" t="s">
        <v>4</v>
      </c>
      <c r="CB26" s="1" t="s">
        <v>0</v>
      </c>
      <c r="CC26" s="1" t="s">
        <v>2</v>
      </c>
      <c r="CD26" s="1" t="s">
        <v>2</v>
      </c>
      <c r="CE26" s="1" t="s">
        <v>4</v>
      </c>
      <c r="CF26" s="1" t="s">
        <v>4</v>
      </c>
      <c r="CJ26" s="53" t="s">
        <v>0</v>
      </c>
      <c r="CK26" s="53" t="s">
        <v>0</v>
      </c>
      <c r="CL26" s="53" t="s">
        <v>2</v>
      </c>
      <c r="CM26" s="1" t="s">
        <v>2</v>
      </c>
      <c r="CN26" s="53" t="s">
        <v>4</v>
      </c>
      <c r="CO26" s="53" t="s">
        <v>4</v>
      </c>
      <c r="CS26" s="1" t="s">
        <v>0</v>
      </c>
      <c r="CT26" s="1" t="s">
        <v>0</v>
      </c>
      <c r="CU26" s="1" t="s">
        <v>2</v>
      </c>
      <c r="CV26" s="1" t="s">
        <v>2</v>
      </c>
      <c r="CW26" s="1" t="s">
        <v>4</v>
      </c>
      <c r="DB26" s="53" t="s">
        <v>0</v>
      </c>
      <c r="DC26" s="53" t="s">
        <v>0</v>
      </c>
      <c r="DD26" s="1" t="s">
        <v>2</v>
      </c>
      <c r="DE26" s="1" t="s">
        <v>4</v>
      </c>
      <c r="DF26" s="1" t="s">
        <v>4</v>
      </c>
      <c r="DK26" s="1" t="s">
        <v>0</v>
      </c>
      <c r="DL26" s="1" t="s">
        <v>2</v>
      </c>
      <c r="DM26" s="1" t="s">
        <v>2</v>
      </c>
      <c r="DN26" s="1" t="s">
        <v>4</v>
      </c>
      <c r="DO26" s="1" t="s">
        <v>4</v>
      </c>
      <c r="DS26" s="1" t="s">
        <v>0</v>
      </c>
      <c r="DT26" s="1" t="s">
        <v>0</v>
      </c>
      <c r="DU26" s="1" t="s">
        <v>2</v>
      </c>
      <c r="DV26" s="1" t="s">
        <v>2</v>
      </c>
      <c r="DW26" s="1" t="s">
        <v>4</v>
      </c>
      <c r="DX26" s="1" t="s">
        <v>4</v>
      </c>
      <c r="EB26" s="1" t="s">
        <v>0</v>
      </c>
      <c r="EC26" s="1" t="s">
        <v>0</v>
      </c>
      <c r="ED26" s="1" t="s">
        <v>2</v>
      </c>
      <c r="EE26" s="1" t="s">
        <v>2</v>
      </c>
      <c r="EF26" s="1" t="s">
        <v>4</v>
      </c>
      <c r="EK26" s="1" t="s">
        <v>0</v>
      </c>
      <c r="EL26" s="1" t="s">
        <v>0</v>
      </c>
      <c r="EM26" s="1" t="s">
        <v>2</v>
      </c>
      <c r="EN26" s="1" t="s">
        <v>4</v>
      </c>
      <c r="EO26" s="1" t="s">
        <v>4</v>
      </c>
      <c r="ET26" s="1" t="s">
        <v>0</v>
      </c>
      <c r="EU26" s="1" t="s">
        <v>2</v>
      </c>
      <c r="EV26" s="1" t="s">
        <v>2</v>
      </c>
      <c r="EW26" s="1" t="s">
        <v>4</v>
      </c>
      <c r="EX26" s="1" t="s">
        <v>4</v>
      </c>
      <c r="FB26" s="1" t="s">
        <v>0</v>
      </c>
      <c r="FC26" s="1" t="s">
        <v>0</v>
      </c>
      <c r="FD26" s="1" t="s">
        <v>2</v>
      </c>
      <c r="FE26" s="1" t="s">
        <v>2</v>
      </c>
      <c r="FF26" s="1" t="s">
        <v>4</v>
      </c>
      <c r="FG26" s="1" t="s">
        <v>4</v>
      </c>
      <c r="FK26" s="1" t="s">
        <v>0</v>
      </c>
      <c r="FL26" s="1" t="s">
        <v>0</v>
      </c>
      <c r="FM26" s="1" t="s">
        <v>0</v>
      </c>
      <c r="FN26" s="1" t="s">
        <v>2</v>
      </c>
      <c r="FO26" s="1" t="s">
        <v>4</v>
      </c>
      <c r="FP26" s="1" t="s">
        <v>4</v>
      </c>
      <c r="FT26" s="1" t="s">
        <v>0</v>
      </c>
      <c r="FU26" s="1" t="s">
        <v>0</v>
      </c>
      <c r="FV26" s="1" t="s">
        <v>0</v>
      </c>
      <c r="FW26" s="1" t="s">
        <v>208</v>
      </c>
      <c r="FX26" s="1" t="s">
        <v>4</v>
      </c>
      <c r="FY26" s="1" t="s">
        <v>4</v>
      </c>
      <c r="GC26" s="1" t="s">
        <v>0</v>
      </c>
      <c r="GD26" s="1" t="s">
        <v>207</v>
      </c>
      <c r="GE26" s="1" t="s">
        <v>2</v>
      </c>
      <c r="GF26" s="1" t="s">
        <v>208</v>
      </c>
      <c r="GG26" s="1" t="s">
        <v>4</v>
      </c>
      <c r="GK26" s="1" t="s">
        <v>206</v>
      </c>
      <c r="GL26" s="1" t="s">
        <v>206</v>
      </c>
      <c r="GM26" s="1" t="s">
        <v>207</v>
      </c>
      <c r="GN26" s="1" t="s">
        <v>207</v>
      </c>
      <c r="GO26" s="1" t="s">
        <v>208</v>
      </c>
      <c r="GP26" s="1" t="s">
        <v>208</v>
      </c>
      <c r="GT26" s="1" t="s">
        <v>206</v>
      </c>
      <c r="GU26" s="1" t="s">
        <v>206</v>
      </c>
      <c r="GV26" s="1" t="s">
        <v>207</v>
      </c>
      <c r="GW26" s="1" t="s">
        <v>207</v>
      </c>
      <c r="GX26" s="1" t="s">
        <v>208</v>
      </c>
      <c r="GY26" s="1" t="s">
        <v>208</v>
      </c>
      <c r="HC26" s="1" t="s">
        <v>0</v>
      </c>
      <c r="HD26" s="1" t="s">
        <v>0</v>
      </c>
      <c r="HE26" s="1" t="s">
        <v>207</v>
      </c>
      <c r="HF26" s="1" t="s">
        <v>208</v>
      </c>
      <c r="HG26" s="1" t="s">
        <v>208</v>
      </c>
      <c r="HL26" s="1" t="s">
        <v>206</v>
      </c>
      <c r="HM26" s="1" t="s">
        <v>207</v>
      </c>
      <c r="HN26" s="1" t="s">
        <v>207</v>
      </c>
      <c r="HO26" s="1" t="s">
        <v>208</v>
      </c>
      <c r="HP26" s="1" t="s">
        <v>208</v>
      </c>
      <c r="HT26" s="1" t="s">
        <v>206</v>
      </c>
      <c r="HU26" s="1" t="s">
        <v>206</v>
      </c>
      <c r="HV26" s="1" t="s">
        <v>207</v>
      </c>
      <c r="HW26" s="1" t="s">
        <v>207</v>
      </c>
      <c r="HX26" s="1" t="s">
        <v>208</v>
      </c>
      <c r="HY26" s="1" t="s">
        <v>208</v>
      </c>
      <c r="IC26" s="1" t="s">
        <v>206</v>
      </c>
      <c r="ID26" s="1" t="s">
        <v>206</v>
      </c>
      <c r="IE26" s="1" t="s">
        <v>207</v>
      </c>
      <c r="IF26" s="1" t="s">
        <v>207</v>
      </c>
      <c r="IG26" s="1" t="s">
        <v>208</v>
      </c>
      <c r="IL26" s="1" t="s">
        <v>0</v>
      </c>
      <c r="IM26" s="1" t="s">
        <v>0</v>
      </c>
      <c r="IN26" s="1" t="s">
        <v>2</v>
      </c>
      <c r="IO26" s="1" t="s">
        <v>4</v>
      </c>
      <c r="IP26" s="1" t="s">
        <v>4</v>
      </c>
      <c r="IU26" s="1" t="s">
        <v>0</v>
      </c>
      <c r="IV26" s="1" t="s">
        <v>2</v>
      </c>
      <c r="IW26" s="1" t="s">
        <v>2</v>
      </c>
      <c r="IX26" s="1" t="s">
        <v>4</v>
      </c>
      <c r="IY26" s="1" t="s">
        <v>4</v>
      </c>
      <c r="JC26" s="1" t="s">
        <v>0</v>
      </c>
      <c r="JD26" s="1" t="s">
        <v>0</v>
      </c>
      <c r="JE26" s="1" t="s">
        <v>2</v>
      </c>
      <c r="JF26" s="1" t="s">
        <v>2</v>
      </c>
      <c r="JG26" s="1" t="s">
        <v>4</v>
      </c>
      <c r="JH26" s="1" t="s">
        <v>4</v>
      </c>
      <c r="JL26" s="1" t="s">
        <v>0</v>
      </c>
      <c r="JM26" s="1" t="s">
        <v>0</v>
      </c>
      <c r="JN26" s="1" t="s">
        <v>2</v>
      </c>
      <c r="JO26" s="1" t="s">
        <v>2</v>
      </c>
      <c r="JP26" s="1" t="s">
        <v>4</v>
      </c>
      <c r="JU26" s="1" t="s">
        <v>0</v>
      </c>
      <c r="JV26" s="1" t="s">
        <v>0</v>
      </c>
      <c r="JW26" s="1" t="s">
        <v>2</v>
      </c>
      <c r="JX26" s="1" t="s">
        <v>4</v>
      </c>
      <c r="JY26" s="1" t="s">
        <v>4</v>
      </c>
      <c r="KD26" s="1" t="s">
        <v>0</v>
      </c>
      <c r="KE26" s="1" t="s">
        <v>2</v>
      </c>
      <c r="KF26" s="1" t="s">
        <v>2</v>
      </c>
      <c r="KG26" s="1" t="s">
        <v>4</v>
      </c>
      <c r="KH26" s="1" t="s">
        <v>4</v>
      </c>
      <c r="KL26" s="1" t="s">
        <v>0</v>
      </c>
      <c r="KM26" s="1" t="s">
        <v>0</v>
      </c>
      <c r="KN26" s="1" t="s">
        <v>2</v>
      </c>
      <c r="KO26" s="1" t="s">
        <v>2</v>
      </c>
      <c r="KP26" s="1" t="s">
        <v>4</v>
      </c>
      <c r="KQ26" s="1" t="s">
        <v>4</v>
      </c>
      <c r="KU26" s="1" t="s">
        <v>0</v>
      </c>
      <c r="KV26" s="1" t="s">
        <v>0</v>
      </c>
      <c r="KW26" s="1" t="s">
        <v>2</v>
      </c>
      <c r="KX26" s="1" t="s">
        <v>2</v>
      </c>
      <c r="KY26" s="1" t="s">
        <v>4</v>
      </c>
      <c r="LD26" s="1" t="s">
        <v>0</v>
      </c>
      <c r="LE26" s="1" t="s">
        <v>0</v>
      </c>
      <c r="LF26" s="1" t="s">
        <v>2</v>
      </c>
      <c r="LG26" s="1" t="s">
        <v>4</v>
      </c>
      <c r="LH26" s="1" t="s">
        <v>4</v>
      </c>
      <c r="LM26" s="1" t="s">
        <v>0</v>
      </c>
      <c r="LN26" s="1" t="s">
        <v>2</v>
      </c>
      <c r="LO26" s="1" t="s">
        <v>2</v>
      </c>
      <c r="LP26" s="1" t="s">
        <v>4</v>
      </c>
      <c r="LQ26" s="1" t="s">
        <v>4</v>
      </c>
      <c r="LU26" s="1" t="s">
        <v>0</v>
      </c>
      <c r="LV26" s="1" t="s">
        <v>0</v>
      </c>
      <c r="LW26" s="1" t="s">
        <v>2</v>
      </c>
      <c r="LX26" s="1" t="s">
        <v>2</v>
      </c>
      <c r="LY26" s="1" t="s">
        <v>4</v>
      </c>
      <c r="LZ26" s="1" t="s">
        <v>4</v>
      </c>
      <c r="MD26" s="1" t="s">
        <v>0</v>
      </c>
      <c r="ME26" s="1" t="s">
        <v>0</v>
      </c>
      <c r="MF26" s="1" t="s">
        <v>2</v>
      </c>
      <c r="MG26" s="1" t="s">
        <v>2</v>
      </c>
      <c r="MH26" s="1" t="s">
        <v>4</v>
      </c>
      <c r="MM26" s="1" t="s">
        <v>0</v>
      </c>
      <c r="MN26" s="1" t="s">
        <v>0</v>
      </c>
      <c r="MO26" s="1" t="s">
        <v>2</v>
      </c>
      <c r="MP26" s="1" t="s">
        <v>4</v>
      </c>
      <c r="MQ26" s="1" t="s">
        <v>4</v>
      </c>
      <c r="MV26" s="1" t="s">
        <v>0</v>
      </c>
      <c r="MW26" s="1" t="s">
        <v>2</v>
      </c>
      <c r="MX26" s="1" t="s">
        <v>2</v>
      </c>
      <c r="MY26" s="1" t="s">
        <v>4</v>
      </c>
      <c r="MZ26" s="1" t="s">
        <v>4</v>
      </c>
      <c r="ND26" s="1" t="s">
        <v>0</v>
      </c>
      <c r="NE26" s="1" t="s">
        <v>0</v>
      </c>
      <c r="NF26" s="1" t="s">
        <v>2</v>
      </c>
      <c r="NG26" s="1" t="s">
        <v>2</v>
      </c>
      <c r="NH26" s="1" t="s">
        <v>4</v>
      </c>
      <c r="NI26" s="1" t="s">
        <v>4</v>
      </c>
      <c r="NM26" s="1" t="s">
        <v>0</v>
      </c>
      <c r="NN26" s="1" t="s">
        <v>0</v>
      </c>
      <c r="NO26" s="1" t="s">
        <v>2</v>
      </c>
      <c r="NP26" s="1" t="s">
        <v>2</v>
      </c>
      <c r="NQ26" s="1" t="s">
        <v>4</v>
      </c>
      <c r="NV26" s="1" t="s">
        <v>0</v>
      </c>
      <c r="NW26" s="1" t="s">
        <v>0</v>
      </c>
      <c r="NX26" s="1" t="s">
        <v>2</v>
      </c>
      <c r="NY26" s="1" t="s">
        <v>4</v>
      </c>
      <c r="NZ26" s="1" t="s">
        <v>4</v>
      </c>
    </row>
    <row r="27" spans="1:390">
      <c r="D27" s="1" t="s">
        <v>6</v>
      </c>
      <c r="E27" s="1" t="s">
        <v>4</v>
      </c>
      <c r="F27" s="1" t="s">
        <v>6</v>
      </c>
      <c r="G27" s="1" t="s">
        <v>6</v>
      </c>
      <c r="M27" s="1" t="s">
        <v>6</v>
      </c>
      <c r="N27" s="1" t="s">
        <v>6</v>
      </c>
      <c r="O27" s="1" t="s">
        <v>6</v>
      </c>
      <c r="P27" s="1" t="s">
        <v>6</v>
      </c>
      <c r="V27" s="1" t="s">
        <v>2</v>
      </c>
      <c r="W27" s="1" t="s">
        <v>2</v>
      </c>
      <c r="AE27" s="1" t="s">
        <v>8</v>
      </c>
      <c r="BL27" s="1" t="s">
        <v>6</v>
      </c>
      <c r="CI27" s="1" t="s">
        <v>2</v>
      </c>
      <c r="CJ27" s="1" t="s">
        <v>2</v>
      </c>
      <c r="CK27" s="1" t="s">
        <v>2</v>
      </c>
      <c r="CN27" s="1" t="s">
        <v>2</v>
      </c>
      <c r="CO27" s="1" t="s">
        <v>2</v>
      </c>
      <c r="CP27" s="1" t="s">
        <v>2</v>
      </c>
      <c r="CX27" s="1" t="s">
        <v>4</v>
      </c>
      <c r="DA27" s="1" t="s">
        <v>2</v>
      </c>
      <c r="DB27" s="1" t="s">
        <v>2</v>
      </c>
      <c r="DC27" s="1" t="s">
        <v>2</v>
      </c>
      <c r="FM27" s="1" t="s">
        <v>215</v>
      </c>
      <c r="FT27" s="1">
        <v>1600</v>
      </c>
      <c r="FU27" s="1">
        <v>1600</v>
      </c>
      <c r="FV27" s="1" t="s">
        <v>215</v>
      </c>
      <c r="FW27" s="1" t="s">
        <v>2</v>
      </c>
      <c r="GD27" s="1" t="s">
        <v>0</v>
      </c>
      <c r="GF27" s="1" t="s">
        <v>2</v>
      </c>
      <c r="GH27" s="1" t="s">
        <v>4</v>
      </c>
      <c r="GL27" s="1" t="s">
        <v>0</v>
      </c>
      <c r="GM27" s="1" t="s">
        <v>0</v>
      </c>
      <c r="GN27" s="1" t="s">
        <v>2</v>
      </c>
      <c r="GO27" s="1" t="s">
        <v>2</v>
      </c>
      <c r="GP27" s="1" t="s">
        <v>4</v>
      </c>
      <c r="GQ27" s="1" t="s">
        <v>4</v>
      </c>
      <c r="GU27" s="1" t="s">
        <v>0</v>
      </c>
      <c r="GV27" s="1" t="s">
        <v>0</v>
      </c>
      <c r="GW27" s="1" t="s">
        <v>2</v>
      </c>
      <c r="GX27" s="1" t="s">
        <v>2</v>
      </c>
      <c r="GY27" s="1" t="s">
        <v>4</v>
      </c>
      <c r="GZ27" s="1" t="s">
        <v>4</v>
      </c>
      <c r="HE27" s="1" t="s">
        <v>0</v>
      </c>
      <c r="HF27" s="1" t="s">
        <v>2</v>
      </c>
      <c r="HG27" s="1" t="s">
        <v>2</v>
      </c>
      <c r="HH27" s="52" t="s">
        <v>209</v>
      </c>
      <c r="HI27" s="52" t="s">
        <v>209</v>
      </c>
      <c r="HJ27" s="52" t="s">
        <v>209</v>
      </c>
      <c r="HK27" s="52" t="s">
        <v>209</v>
      </c>
      <c r="HL27" s="52" t="s">
        <v>209</v>
      </c>
      <c r="HM27" s="52" t="s">
        <v>209</v>
      </c>
      <c r="HN27" s="52" t="s">
        <v>209</v>
      </c>
      <c r="HO27" s="52" t="s">
        <v>209</v>
      </c>
      <c r="HP27" s="52" t="s">
        <v>209</v>
      </c>
      <c r="HQ27" s="52" t="s">
        <v>209</v>
      </c>
      <c r="HR27" s="52" t="s">
        <v>209</v>
      </c>
      <c r="HS27" s="52" t="s">
        <v>209</v>
      </c>
      <c r="HT27" s="52" t="s">
        <v>209</v>
      </c>
      <c r="HU27" s="52" t="s">
        <v>209</v>
      </c>
      <c r="HV27" s="52" t="s">
        <v>209</v>
      </c>
      <c r="HW27" s="52" t="s">
        <v>209</v>
      </c>
      <c r="HX27" s="52" t="s">
        <v>209</v>
      </c>
      <c r="HY27" s="52" t="s">
        <v>209</v>
      </c>
      <c r="HZ27" s="52" t="s">
        <v>209</v>
      </c>
      <c r="IA27" s="52" t="s">
        <v>209</v>
      </c>
      <c r="IB27" s="52" t="s">
        <v>209</v>
      </c>
      <c r="IC27" s="52" t="s">
        <v>209</v>
      </c>
      <c r="ID27" s="52" t="s">
        <v>209</v>
      </c>
      <c r="IE27" s="52" t="s">
        <v>209</v>
      </c>
      <c r="IF27" s="52" t="s">
        <v>209</v>
      </c>
      <c r="IG27" s="52" t="s">
        <v>209</v>
      </c>
      <c r="IH27" s="52" t="s">
        <v>209</v>
      </c>
      <c r="II27" s="52" t="s">
        <v>209</v>
      </c>
      <c r="IJ27" s="52" t="s">
        <v>209</v>
      </c>
      <c r="IK27" s="52" t="s">
        <v>209</v>
      </c>
    </row>
    <row r="28" spans="1:390">
      <c r="A28" s="1" t="s">
        <v>203</v>
      </c>
      <c r="B28" s="1" t="s">
        <v>203</v>
      </c>
      <c r="C28" s="1" t="s">
        <v>6</v>
      </c>
      <c r="D28" s="1" t="s">
        <v>2</v>
      </c>
      <c r="E28" s="1" t="s">
        <v>2</v>
      </c>
      <c r="F28" s="1" t="s">
        <v>4</v>
      </c>
      <c r="G28" s="1" t="s">
        <v>4</v>
      </c>
      <c r="K28" s="1" t="s">
        <v>0</v>
      </c>
      <c r="L28" s="1" t="s">
        <v>0</v>
      </c>
      <c r="M28" s="53" t="s">
        <v>2</v>
      </c>
      <c r="N28" s="1" t="s">
        <v>2</v>
      </c>
      <c r="O28" s="1" t="s">
        <v>4</v>
      </c>
      <c r="P28" s="1" t="s">
        <v>4</v>
      </c>
      <c r="T28" s="1" t="s">
        <v>0</v>
      </c>
      <c r="U28" s="1" t="s">
        <v>0</v>
      </c>
      <c r="V28" s="1" t="s">
        <v>2</v>
      </c>
      <c r="W28" s="1" t="s">
        <v>2</v>
      </c>
      <c r="X28" s="1" t="s">
        <v>4</v>
      </c>
      <c r="Z28" s="1" t="s">
        <v>2</v>
      </c>
      <c r="AC28" s="1" t="s">
        <v>0</v>
      </c>
      <c r="AD28" s="1" t="s">
        <v>0</v>
      </c>
      <c r="AE28" s="1" t="s">
        <v>2</v>
      </c>
      <c r="AF28" s="1" t="s">
        <v>4</v>
      </c>
      <c r="AG28" s="1" t="s">
        <v>4</v>
      </c>
      <c r="AK28" s="1" t="s">
        <v>2</v>
      </c>
      <c r="AL28" s="1" t="s">
        <v>0</v>
      </c>
      <c r="AM28" s="1" t="s">
        <v>2</v>
      </c>
      <c r="AN28" s="1" t="s">
        <v>2</v>
      </c>
      <c r="AO28" s="1" t="s">
        <v>4</v>
      </c>
      <c r="AP28" s="1" t="s">
        <v>4</v>
      </c>
      <c r="AT28" s="1" t="s">
        <v>0</v>
      </c>
      <c r="AU28" s="1" t="s">
        <v>0</v>
      </c>
      <c r="AV28" s="1" t="s">
        <v>2</v>
      </c>
      <c r="AW28" s="1" t="s">
        <v>2</v>
      </c>
      <c r="AX28" s="1" t="s">
        <v>4</v>
      </c>
      <c r="AY28" s="1" t="s">
        <v>4</v>
      </c>
      <c r="BC28" s="1" t="s">
        <v>0</v>
      </c>
      <c r="BD28" s="1" t="s">
        <v>0</v>
      </c>
      <c r="BE28" s="1" t="s">
        <v>2</v>
      </c>
      <c r="BF28" s="1" t="s">
        <v>2</v>
      </c>
      <c r="BG28" s="1" t="s">
        <v>4</v>
      </c>
      <c r="BL28" s="1" t="s">
        <v>0</v>
      </c>
      <c r="BM28" s="1" t="s">
        <v>0</v>
      </c>
      <c r="BN28" s="1" t="s">
        <v>2</v>
      </c>
      <c r="BO28" s="1" t="s">
        <v>4</v>
      </c>
      <c r="BP28" s="1" t="s">
        <v>4</v>
      </c>
      <c r="BU28" s="1" t="s">
        <v>0</v>
      </c>
      <c r="BV28" s="1" t="s">
        <v>2</v>
      </c>
      <c r="BW28" s="1" t="s">
        <v>2</v>
      </c>
      <c r="BX28" s="1" t="s">
        <v>4</v>
      </c>
      <c r="BY28" s="1" t="s">
        <v>4</v>
      </c>
      <c r="CC28" s="1" t="s">
        <v>0</v>
      </c>
      <c r="CD28" s="1" t="s">
        <v>0</v>
      </c>
      <c r="CE28" s="1" t="s">
        <v>2</v>
      </c>
      <c r="CF28" s="1" t="s">
        <v>2</v>
      </c>
      <c r="CG28" s="1" t="s">
        <v>4</v>
      </c>
      <c r="CH28" s="1" t="s">
        <v>4</v>
      </c>
      <c r="CL28" s="1" t="s">
        <v>0</v>
      </c>
      <c r="CM28" s="1" t="s">
        <v>0</v>
      </c>
      <c r="CN28" s="53" t="s">
        <v>2</v>
      </c>
      <c r="CO28" s="53" t="s">
        <v>2</v>
      </c>
      <c r="CP28" s="1" t="s">
        <v>4</v>
      </c>
      <c r="CU28" s="53" t="s">
        <v>0</v>
      </c>
      <c r="CV28" s="53" t="s">
        <v>0</v>
      </c>
      <c r="CW28" s="53" t="s">
        <v>2</v>
      </c>
      <c r="CX28" s="53" t="s">
        <v>4</v>
      </c>
      <c r="CY28" s="53" t="s">
        <v>4</v>
      </c>
      <c r="DC28" s="1" t="s">
        <v>0</v>
      </c>
      <c r="DD28" s="1" t="s">
        <v>0</v>
      </c>
      <c r="DE28" s="1" t="s">
        <v>2</v>
      </c>
      <c r="DF28" s="1" t="s">
        <v>2</v>
      </c>
      <c r="DG28" s="1" t="s">
        <v>4</v>
      </c>
      <c r="DH28" s="1" t="s">
        <v>4</v>
      </c>
      <c r="DL28" s="1" t="s">
        <v>0</v>
      </c>
      <c r="DM28" s="1" t="s">
        <v>0</v>
      </c>
      <c r="DN28" s="1" t="s">
        <v>2</v>
      </c>
      <c r="DO28" s="1" t="s">
        <v>2</v>
      </c>
      <c r="DP28" s="1" t="s">
        <v>4</v>
      </c>
      <c r="DQ28" s="1" t="s">
        <v>4</v>
      </c>
      <c r="DU28" s="1" t="s">
        <v>0</v>
      </c>
      <c r="DV28" s="1" t="s">
        <v>0</v>
      </c>
      <c r="DW28" s="1" t="s">
        <v>2</v>
      </c>
      <c r="DX28" s="1" t="s">
        <v>2</v>
      </c>
      <c r="DY28" s="1" t="s">
        <v>4</v>
      </c>
      <c r="ED28" s="1" t="s">
        <v>0</v>
      </c>
      <c r="EE28" s="1" t="s">
        <v>0</v>
      </c>
      <c r="EF28" s="1" t="s">
        <v>2</v>
      </c>
      <c r="EG28" s="1" t="s">
        <v>4</v>
      </c>
      <c r="EH28" s="1" t="s">
        <v>4</v>
      </c>
      <c r="EM28" s="1" t="s">
        <v>0</v>
      </c>
      <c r="EN28" s="1" t="s">
        <v>2</v>
      </c>
      <c r="EO28" s="1" t="s">
        <v>2</v>
      </c>
      <c r="EP28" s="1" t="s">
        <v>4</v>
      </c>
      <c r="EQ28" s="1" t="s">
        <v>4</v>
      </c>
      <c r="EU28" s="1" t="s">
        <v>0</v>
      </c>
      <c r="EV28" s="1" t="s">
        <v>0</v>
      </c>
      <c r="EW28" s="1" t="s">
        <v>2</v>
      </c>
      <c r="EX28" s="1" t="s">
        <v>2</v>
      </c>
      <c r="EY28" s="1" t="s">
        <v>4</v>
      </c>
      <c r="EZ28" s="1" t="s">
        <v>4</v>
      </c>
      <c r="FD28" s="1" t="s">
        <v>0</v>
      </c>
      <c r="FE28" s="1" t="s">
        <v>0</v>
      </c>
      <c r="FF28" s="1" t="s">
        <v>2</v>
      </c>
      <c r="FG28" s="1" t="s">
        <v>2</v>
      </c>
      <c r="FH28" s="1" t="s">
        <v>4</v>
      </c>
      <c r="FM28" s="53" t="s">
        <v>206</v>
      </c>
      <c r="FN28" s="53" t="s">
        <v>206</v>
      </c>
      <c r="FO28" s="53" t="s">
        <v>207</v>
      </c>
      <c r="FP28" s="53" t="s">
        <v>208</v>
      </c>
      <c r="FQ28" s="53" t="s">
        <v>208</v>
      </c>
      <c r="FV28" s="1" t="s">
        <v>206</v>
      </c>
      <c r="FW28" s="1" t="s">
        <v>207</v>
      </c>
      <c r="FX28" s="1" t="s">
        <v>207</v>
      </c>
      <c r="FY28" s="1" t="s">
        <v>208</v>
      </c>
      <c r="FZ28" s="1" t="s">
        <v>208</v>
      </c>
      <c r="GD28" s="1" t="s">
        <v>206</v>
      </c>
      <c r="GE28" s="1" t="s">
        <v>206</v>
      </c>
      <c r="GF28" s="1" t="s">
        <v>207</v>
      </c>
      <c r="GG28" s="1" t="s">
        <v>207</v>
      </c>
      <c r="GH28" s="1" t="s">
        <v>208</v>
      </c>
      <c r="GI28" s="1" t="s">
        <v>208</v>
      </c>
      <c r="GM28" s="1" t="s">
        <v>206</v>
      </c>
      <c r="GN28" s="1" t="s">
        <v>206</v>
      </c>
      <c r="GO28" s="1" t="s">
        <v>207</v>
      </c>
      <c r="GP28" s="1" t="s">
        <v>207</v>
      </c>
      <c r="GQ28" s="1" t="s">
        <v>208</v>
      </c>
      <c r="GV28" s="1" t="s">
        <v>206</v>
      </c>
      <c r="GW28" s="1" t="s">
        <v>206</v>
      </c>
      <c r="GX28" s="1" t="s">
        <v>207</v>
      </c>
      <c r="GY28" s="1" t="s">
        <v>208</v>
      </c>
      <c r="GZ28" s="1" t="s">
        <v>208</v>
      </c>
      <c r="HE28" s="1" t="s">
        <v>206</v>
      </c>
      <c r="HF28" s="1" t="s">
        <v>207</v>
      </c>
      <c r="HG28" s="1" t="s">
        <v>207</v>
      </c>
      <c r="HH28" s="1" t="s">
        <v>4</v>
      </c>
      <c r="HI28" s="1" t="s">
        <v>4</v>
      </c>
      <c r="HM28" s="1" t="s">
        <v>206</v>
      </c>
      <c r="HN28" s="1" t="s">
        <v>206</v>
      </c>
      <c r="HO28" s="1" t="s">
        <v>207</v>
      </c>
      <c r="HP28" s="1" t="s">
        <v>207</v>
      </c>
      <c r="HQ28" s="1" t="s">
        <v>208</v>
      </c>
      <c r="HR28" s="1" t="s">
        <v>208</v>
      </c>
      <c r="HV28" s="1" t="s">
        <v>206</v>
      </c>
      <c r="HW28" s="1" t="s">
        <v>206</v>
      </c>
      <c r="HX28" s="1" t="s">
        <v>207</v>
      </c>
      <c r="HY28" s="1" t="s">
        <v>207</v>
      </c>
      <c r="HZ28" s="1" t="s">
        <v>208</v>
      </c>
      <c r="IE28" s="1" t="s">
        <v>206</v>
      </c>
      <c r="IF28" s="1" t="s">
        <v>206</v>
      </c>
      <c r="IG28" s="1" t="s">
        <v>207</v>
      </c>
      <c r="IH28" s="1" t="s">
        <v>208</v>
      </c>
      <c r="II28" s="1" t="s">
        <v>208</v>
      </c>
      <c r="IN28" s="1" t="s">
        <v>206</v>
      </c>
      <c r="IO28" s="1" t="s">
        <v>207</v>
      </c>
      <c r="IP28" s="1" t="s">
        <v>207</v>
      </c>
      <c r="IQ28" s="1" t="s">
        <v>208</v>
      </c>
      <c r="IR28" s="1" t="s">
        <v>208</v>
      </c>
      <c r="IV28" s="1" t="s">
        <v>206</v>
      </c>
      <c r="IW28" s="1" t="s">
        <v>206</v>
      </c>
      <c r="IX28" s="1" t="s">
        <v>207</v>
      </c>
      <c r="IY28" s="1" t="s">
        <v>207</v>
      </c>
      <c r="IZ28" s="1" t="s">
        <v>208</v>
      </c>
      <c r="JA28" s="1" t="s">
        <v>208</v>
      </c>
      <c r="JE28" s="1" t="s">
        <v>0</v>
      </c>
      <c r="JF28" s="1" t="s">
        <v>0</v>
      </c>
      <c r="JG28" s="1" t="s">
        <v>2</v>
      </c>
      <c r="JH28" s="1" t="s">
        <v>2</v>
      </c>
      <c r="JI28" s="1" t="s">
        <v>4</v>
      </c>
      <c r="JN28" s="1" t="s">
        <v>0</v>
      </c>
      <c r="JO28" s="1" t="s">
        <v>0</v>
      </c>
      <c r="JP28" s="1" t="s">
        <v>2</v>
      </c>
      <c r="JQ28" s="1" t="s">
        <v>4</v>
      </c>
      <c r="JR28" s="1" t="s">
        <v>4</v>
      </c>
      <c r="JW28" s="1" t="s">
        <v>0</v>
      </c>
      <c r="JX28" s="1" t="s">
        <v>2</v>
      </c>
      <c r="JY28" s="1" t="s">
        <v>2</v>
      </c>
      <c r="JZ28" s="1" t="s">
        <v>4</v>
      </c>
      <c r="KA28" s="1" t="s">
        <v>4</v>
      </c>
      <c r="KE28" s="1" t="s">
        <v>0</v>
      </c>
      <c r="KF28" s="1" t="s">
        <v>0</v>
      </c>
      <c r="KG28" s="1" t="s">
        <v>2</v>
      </c>
      <c r="KH28" s="1" t="s">
        <v>2</v>
      </c>
      <c r="KI28" s="1" t="s">
        <v>4</v>
      </c>
      <c r="KJ28" s="1" t="s">
        <v>4</v>
      </c>
      <c r="KN28" s="1" t="s">
        <v>0</v>
      </c>
      <c r="KO28" s="1" t="s">
        <v>0</v>
      </c>
      <c r="KP28" s="1" t="s">
        <v>2</v>
      </c>
      <c r="KQ28" s="1" t="s">
        <v>2</v>
      </c>
      <c r="KR28" s="1" t="s">
        <v>4</v>
      </c>
      <c r="KW28" s="1" t="s">
        <v>0</v>
      </c>
      <c r="KX28" s="1" t="s">
        <v>0</v>
      </c>
      <c r="KY28" s="1" t="s">
        <v>2</v>
      </c>
      <c r="KZ28" s="1" t="s">
        <v>4</v>
      </c>
      <c r="LA28" s="1" t="s">
        <v>4</v>
      </c>
      <c r="LF28" s="1" t="s">
        <v>0</v>
      </c>
      <c r="LG28" s="1" t="s">
        <v>2</v>
      </c>
      <c r="LH28" s="1" t="s">
        <v>2</v>
      </c>
      <c r="LI28" s="1" t="s">
        <v>4</v>
      </c>
      <c r="LJ28" s="1" t="s">
        <v>4</v>
      </c>
      <c r="LN28" s="1" t="s">
        <v>0</v>
      </c>
      <c r="LO28" s="1" t="s">
        <v>0</v>
      </c>
      <c r="LP28" s="1" t="s">
        <v>2</v>
      </c>
      <c r="LQ28" s="1" t="s">
        <v>2</v>
      </c>
      <c r="LR28" s="1" t="s">
        <v>4</v>
      </c>
      <c r="LS28" s="1" t="s">
        <v>4</v>
      </c>
      <c r="LW28" s="1" t="s">
        <v>0</v>
      </c>
      <c r="LX28" s="1" t="s">
        <v>0</v>
      </c>
      <c r="LY28" s="1" t="s">
        <v>2</v>
      </c>
      <c r="LZ28" s="1" t="s">
        <v>2</v>
      </c>
      <c r="MA28" s="1" t="s">
        <v>4</v>
      </c>
      <c r="MF28" s="1" t="s">
        <v>0</v>
      </c>
      <c r="MG28" s="1" t="s">
        <v>0</v>
      </c>
      <c r="MH28" s="1" t="s">
        <v>2</v>
      </c>
      <c r="MI28" s="1" t="s">
        <v>4</v>
      </c>
      <c r="MJ28" s="1" t="s">
        <v>4</v>
      </c>
      <c r="MO28" s="1" t="s">
        <v>0</v>
      </c>
      <c r="MP28" s="1" t="s">
        <v>2</v>
      </c>
      <c r="MQ28" s="1" t="s">
        <v>2</v>
      </c>
      <c r="MR28" s="1" t="s">
        <v>4</v>
      </c>
      <c r="MS28" s="1" t="s">
        <v>4</v>
      </c>
      <c r="MW28" s="1" t="s">
        <v>0</v>
      </c>
      <c r="MX28" s="1" t="s">
        <v>0</v>
      </c>
      <c r="MY28" s="1" t="s">
        <v>2</v>
      </c>
      <c r="MZ28" s="1" t="s">
        <v>2</v>
      </c>
      <c r="NA28" s="1" t="s">
        <v>4</v>
      </c>
      <c r="NB28" s="1" t="s">
        <v>4</v>
      </c>
      <c r="NF28" s="1" t="s">
        <v>0</v>
      </c>
      <c r="NG28" s="1" t="s">
        <v>0</v>
      </c>
      <c r="NH28" s="1" t="s">
        <v>2</v>
      </c>
      <c r="NI28" s="1" t="s">
        <v>2</v>
      </c>
      <c r="NJ28" s="1" t="s">
        <v>4</v>
      </c>
      <c r="NO28" s="1" t="s">
        <v>0</v>
      </c>
      <c r="NP28" s="1" t="s">
        <v>0</v>
      </c>
      <c r="NQ28" s="1" t="s">
        <v>2</v>
      </c>
      <c r="NR28" s="1" t="s">
        <v>4</v>
      </c>
      <c r="NS28" s="1" t="s">
        <v>4</v>
      </c>
    </row>
    <row r="29" spans="1:390">
      <c r="V29" s="1" t="s">
        <v>6</v>
      </c>
      <c r="W29" s="1" t="s">
        <v>6</v>
      </c>
      <c r="AL29" s="1" t="s">
        <v>6</v>
      </c>
      <c r="CN29" s="1" t="s">
        <v>0</v>
      </c>
      <c r="CO29" s="1" t="s">
        <v>4</v>
      </c>
      <c r="CQ29" s="49" t="s">
        <v>209</v>
      </c>
      <c r="CR29" s="49" t="s">
        <v>209</v>
      </c>
      <c r="CS29" s="49" t="s">
        <v>209</v>
      </c>
      <c r="CT29" s="49" t="s">
        <v>209</v>
      </c>
      <c r="CU29" s="49" t="s">
        <v>209</v>
      </c>
      <c r="CV29" s="49" t="s">
        <v>209</v>
      </c>
      <c r="CW29" s="49" t="s">
        <v>209</v>
      </c>
      <c r="CX29" s="49" t="s">
        <v>209</v>
      </c>
      <c r="CY29" s="49" t="s">
        <v>209</v>
      </c>
      <c r="CZ29" s="49" t="s">
        <v>209</v>
      </c>
      <c r="DA29" s="49" t="s">
        <v>209</v>
      </c>
      <c r="DB29" s="49" t="s">
        <v>209</v>
      </c>
      <c r="FM29" s="49" t="s">
        <v>209</v>
      </c>
      <c r="FN29" s="49" t="s">
        <v>209</v>
      </c>
      <c r="FO29" s="49" t="s">
        <v>209</v>
      </c>
      <c r="FP29" s="49" t="s">
        <v>209</v>
      </c>
      <c r="FQ29" s="49" t="s">
        <v>209</v>
      </c>
      <c r="FV29" s="1" t="s">
        <v>4</v>
      </c>
      <c r="FW29" s="1" t="s">
        <v>4</v>
      </c>
      <c r="GA29" s="1" t="s">
        <v>0</v>
      </c>
      <c r="GB29" s="1" t="s">
        <v>0</v>
      </c>
      <c r="GC29" s="1" t="s">
        <v>2</v>
      </c>
      <c r="GD29" s="1" t="s">
        <v>2</v>
      </c>
      <c r="GE29" s="1" t="s">
        <v>4</v>
      </c>
      <c r="GF29" s="1" t="s">
        <v>4</v>
      </c>
      <c r="GJ29" s="1" t="s">
        <v>0</v>
      </c>
      <c r="GK29" s="1" t="s">
        <v>0</v>
      </c>
      <c r="GL29" s="1" t="s">
        <v>2</v>
      </c>
      <c r="GM29" s="1" t="s">
        <v>2</v>
      </c>
      <c r="GN29" s="1" t="s">
        <v>4</v>
      </c>
      <c r="GO29" s="1" t="s">
        <v>4</v>
      </c>
      <c r="GS29" s="1" t="s">
        <v>0</v>
      </c>
      <c r="GT29" s="1" t="s">
        <v>0</v>
      </c>
      <c r="GU29" s="1" t="s">
        <v>2</v>
      </c>
      <c r="GV29" s="1" t="s">
        <v>2</v>
      </c>
      <c r="GW29" s="1" t="s">
        <v>4</v>
      </c>
      <c r="GX29" s="1" t="s">
        <v>4</v>
      </c>
      <c r="HB29" s="1" t="s">
        <v>0</v>
      </c>
      <c r="HC29" s="1" t="s">
        <v>2</v>
      </c>
      <c r="HD29" s="1" t="s">
        <v>2</v>
      </c>
      <c r="HE29" s="1" t="s">
        <v>2</v>
      </c>
      <c r="HL29" s="1" t="s">
        <v>0</v>
      </c>
      <c r="HM29" s="1" t="s">
        <v>0</v>
      </c>
      <c r="HN29" s="1" t="s">
        <v>2</v>
      </c>
      <c r="HO29" s="1" t="s">
        <v>2</v>
      </c>
      <c r="HP29" s="1" t="s">
        <v>4</v>
      </c>
      <c r="HQ29" s="1" t="s">
        <v>4</v>
      </c>
      <c r="HT29" s="1" t="s">
        <v>0</v>
      </c>
      <c r="HU29" s="1" t="s">
        <v>0</v>
      </c>
      <c r="HV29" s="1" t="s">
        <v>2</v>
      </c>
      <c r="HW29" s="1" t="s">
        <v>2</v>
      </c>
      <c r="HX29" s="1" t="s">
        <v>4</v>
      </c>
      <c r="HY29" s="1" t="s">
        <v>4</v>
      </c>
      <c r="IB29" s="1" t="s">
        <v>0</v>
      </c>
      <c r="IC29" s="1" t="s">
        <v>0</v>
      </c>
      <c r="ID29" s="1" t="s">
        <v>2</v>
      </c>
      <c r="IE29" s="1" t="s">
        <v>2</v>
      </c>
      <c r="IF29" s="1" t="s">
        <v>4</v>
      </c>
      <c r="IG29" s="1" t="s">
        <v>4</v>
      </c>
      <c r="IJ29" s="1" t="s">
        <v>0</v>
      </c>
      <c r="IK29" s="1" t="s">
        <v>0</v>
      </c>
      <c r="IL29" s="1" t="s">
        <v>2</v>
      </c>
      <c r="IM29" s="1" t="s">
        <v>2</v>
      </c>
      <c r="IN29" s="1" t="s">
        <v>4</v>
      </c>
      <c r="IO29" s="1" t="s">
        <v>4</v>
      </c>
      <c r="IT29" s="1" t="s">
        <v>0</v>
      </c>
      <c r="IU29" s="1" t="s">
        <v>0</v>
      </c>
      <c r="IV29" s="1" t="s">
        <v>2</v>
      </c>
      <c r="IW29" s="1" t="s">
        <v>2</v>
      </c>
      <c r="IX29" s="1" t="s">
        <v>4</v>
      </c>
      <c r="IY29" s="1" t="s">
        <v>4</v>
      </c>
      <c r="JB29" s="49" t="s">
        <v>209</v>
      </c>
      <c r="JC29" s="49" t="s">
        <v>209</v>
      </c>
      <c r="JD29" s="49" t="s">
        <v>209</v>
      </c>
      <c r="JE29" s="49" t="s">
        <v>209</v>
      </c>
      <c r="JF29" s="49" t="s">
        <v>209</v>
      </c>
      <c r="JG29" s="49" t="s">
        <v>209</v>
      </c>
      <c r="JH29" s="49" t="s">
        <v>209</v>
      </c>
      <c r="JI29" s="49" t="s">
        <v>209</v>
      </c>
      <c r="JJ29" s="49" t="s">
        <v>209</v>
      </c>
      <c r="JK29" s="49" t="s">
        <v>209</v>
      </c>
      <c r="JL29" s="49" t="s">
        <v>209</v>
      </c>
      <c r="JM29" s="49" t="s">
        <v>209</v>
      </c>
      <c r="JN29" s="49" t="s">
        <v>209</v>
      </c>
      <c r="JO29" s="49" t="s">
        <v>209</v>
      </c>
      <c r="JP29" s="49" t="s">
        <v>209</v>
      </c>
      <c r="JQ29" s="49" t="s">
        <v>209</v>
      </c>
      <c r="JR29" s="49" t="s">
        <v>209</v>
      </c>
      <c r="JS29" s="49" t="s">
        <v>209</v>
      </c>
      <c r="JT29" s="49" t="s">
        <v>209</v>
      </c>
      <c r="JU29" s="49" t="s">
        <v>209</v>
      </c>
      <c r="JV29" s="49" t="s">
        <v>209</v>
      </c>
    </row>
    <row r="30" spans="1:390" ht="13.5" customHeight="1">
      <c r="A30" s="1" t="s">
        <v>88</v>
      </c>
      <c r="B30" s="1" t="s">
        <v>88</v>
      </c>
      <c r="C30" s="1" t="s">
        <v>140</v>
      </c>
      <c r="F30" s="1" t="s">
        <v>8</v>
      </c>
      <c r="G30" s="1" t="s">
        <v>8</v>
      </c>
      <c r="H30" s="1" t="s">
        <v>8</v>
      </c>
      <c r="I30" s="1" t="s">
        <v>8</v>
      </c>
      <c r="J30" s="1" t="s">
        <v>8</v>
      </c>
      <c r="M30" s="1" t="s">
        <v>8</v>
      </c>
      <c r="N30" s="1" t="s">
        <v>8</v>
      </c>
      <c r="O30" s="1" t="s">
        <v>8</v>
      </c>
      <c r="P30" s="1" t="s">
        <v>8</v>
      </c>
      <c r="Q30" s="1" t="s">
        <v>6</v>
      </c>
      <c r="T30" s="1" t="s">
        <v>6</v>
      </c>
      <c r="U30" s="1" t="s">
        <v>6</v>
      </c>
      <c r="V30" s="1" t="s">
        <v>6</v>
      </c>
      <c r="W30" s="1" t="s">
        <v>8</v>
      </c>
      <c r="X30" s="1" t="s">
        <v>8</v>
      </c>
      <c r="AA30" s="1" t="s">
        <v>8</v>
      </c>
      <c r="AB30" s="1" t="s">
        <v>8</v>
      </c>
      <c r="AC30" s="1" t="s">
        <v>8</v>
      </c>
      <c r="AD30" s="1" t="s">
        <v>8</v>
      </c>
      <c r="AE30" s="1" t="s">
        <v>8</v>
      </c>
      <c r="AH30" s="1" t="s">
        <v>8</v>
      </c>
      <c r="AI30" s="1" t="s">
        <v>8</v>
      </c>
      <c r="AJ30" s="1" t="s">
        <v>8</v>
      </c>
      <c r="AK30" s="1" t="s">
        <v>8</v>
      </c>
      <c r="AL30" s="1" t="s">
        <v>8</v>
      </c>
      <c r="AO30" s="1" t="s">
        <v>8</v>
      </c>
      <c r="AP30" s="1" t="s">
        <v>8</v>
      </c>
      <c r="AQ30" s="1" t="s">
        <v>6</v>
      </c>
      <c r="AR30" s="1" t="s">
        <v>6</v>
      </c>
      <c r="AS30" s="1" t="s">
        <v>8</v>
      </c>
      <c r="AV30" s="1" t="s">
        <v>8</v>
      </c>
      <c r="AW30" s="1" t="s">
        <v>8</v>
      </c>
      <c r="AX30" s="1" t="s">
        <v>8</v>
      </c>
      <c r="AY30" s="1" t="s">
        <v>8</v>
      </c>
      <c r="AZ30" s="1" t="s">
        <v>8</v>
      </c>
      <c r="BC30" s="1" t="s">
        <v>8</v>
      </c>
      <c r="BD30" s="1" t="s">
        <v>8</v>
      </c>
      <c r="BE30" s="1" t="s">
        <v>6</v>
      </c>
      <c r="BF30" s="1" t="s">
        <v>8</v>
      </c>
      <c r="BG30" s="1" t="s">
        <v>8</v>
      </c>
      <c r="BJ30" s="1" t="s">
        <v>8</v>
      </c>
      <c r="BK30" s="1" t="s">
        <v>8</v>
      </c>
      <c r="BL30" s="1" t="s">
        <v>8</v>
      </c>
      <c r="BM30" s="1" t="s">
        <v>8</v>
      </c>
      <c r="BN30" s="1" t="s">
        <v>8</v>
      </c>
      <c r="BQ30" s="1" t="s">
        <v>8</v>
      </c>
      <c r="BR30" s="1" t="s">
        <v>8</v>
      </c>
      <c r="BS30" s="1" t="s">
        <v>8</v>
      </c>
      <c r="BT30" s="1" t="s">
        <v>8</v>
      </c>
      <c r="BU30" s="1" t="s">
        <v>8</v>
      </c>
      <c r="BX30" s="1" t="s">
        <v>8</v>
      </c>
      <c r="BY30" s="1" t="s">
        <v>8</v>
      </c>
      <c r="BZ30" s="1" t="s">
        <v>8</v>
      </c>
      <c r="CA30" s="1" t="s">
        <v>8</v>
      </c>
      <c r="CB30" s="1" t="s">
        <v>8</v>
      </c>
      <c r="CE30" s="1" t="s">
        <v>8</v>
      </c>
      <c r="CF30" s="1" t="s">
        <v>8</v>
      </c>
      <c r="CG30" s="1" t="s">
        <v>8</v>
      </c>
      <c r="CH30" s="1" t="s">
        <v>8</v>
      </c>
      <c r="CI30" s="1" t="s">
        <v>8</v>
      </c>
      <c r="CL30" s="1" t="s">
        <v>8</v>
      </c>
      <c r="CM30" s="1" t="s">
        <v>8</v>
      </c>
      <c r="CN30" s="1" t="s">
        <v>8</v>
      </c>
      <c r="CO30" s="1" t="s">
        <v>8</v>
      </c>
      <c r="CP30" s="1" t="s">
        <v>8</v>
      </c>
      <c r="CS30" s="1" t="s">
        <v>140</v>
      </c>
      <c r="CT30" s="1" t="s">
        <v>6</v>
      </c>
      <c r="CU30" s="1" t="s">
        <v>6</v>
      </c>
      <c r="CV30" s="1" t="s">
        <v>8</v>
      </c>
      <c r="CW30" s="1" t="s">
        <v>8</v>
      </c>
      <c r="CZ30" s="1" t="s">
        <v>8</v>
      </c>
      <c r="DA30" s="1" t="s">
        <v>8</v>
      </c>
      <c r="DB30" s="1" t="s">
        <v>8</v>
      </c>
      <c r="DC30" s="1" t="s">
        <v>8</v>
      </c>
      <c r="DD30" s="1" t="s">
        <v>8</v>
      </c>
      <c r="DG30" s="1" t="s">
        <v>8</v>
      </c>
      <c r="DH30" s="1" t="s">
        <v>8</v>
      </c>
      <c r="DI30" s="1" t="s">
        <v>8</v>
      </c>
      <c r="DJ30" s="1" t="s">
        <v>8</v>
      </c>
      <c r="DK30" s="1" t="s">
        <v>8</v>
      </c>
      <c r="DN30" s="1" t="s">
        <v>8</v>
      </c>
      <c r="DO30" s="1" t="s">
        <v>140</v>
      </c>
      <c r="DP30" s="1" t="s">
        <v>8</v>
      </c>
      <c r="DQ30" s="1" t="s">
        <v>8</v>
      </c>
      <c r="DR30" s="1" t="s">
        <v>8</v>
      </c>
      <c r="DU30" s="1" t="s">
        <v>8</v>
      </c>
      <c r="DV30" s="1" t="s">
        <v>8</v>
      </c>
      <c r="DW30" s="1" t="s">
        <v>8</v>
      </c>
      <c r="DX30" s="1" t="s">
        <v>8</v>
      </c>
      <c r="DY30" s="1" t="s">
        <v>8</v>
      </c>
      <c r="EB30" s="1" t="s">
        <v>8</v>
      </c>
      <c r="EC30" s="1" t="s">
        <v>8</v>
      </c>
      <c r="ED30" s="1" t="s">
        <v>8</v>
      </c>
      <c r="EE30" s="1" t="s">
        <v>140</v>
      </c>
      <c r="EF30" s="1" t="s">
        <v>6</v>
      </c>
      <c r="EI30" s="1" t="s">
        <v>8</v>
      </c>
      <c r="EJ30" s="1" t="s">
        <v>8</v>
      </c>
      <c r="EK30" s="1" t="s">
        <v>8</v>
      </c>
      <c r="EL30" s="1" t="s">
        <v>8</v>
      </c>
      <c r="EM30" s="1" t="s">
        <v>8</v>
      </c>
      <c r="EP30" s="1" t="s">
        <v>140</v>
      </c>
      <c r="EQ30" s="1" t="s">
        <v>6</v>
      </c>
      <c r="ER30" s="1" t="s">
        <v>6</v>
      </c>
      <c r="ES30" s="1" t="s">
        <v>8</v>
      </c>
      <c r="ET30" s="1" t="s">
        <v>8</v>
      </c>
      <c r="EW30" s="1" t="s">
        <v>6</v>
      </c>
      <c r="EX30" s="1" t="s">
        <v>6</v>
      </c>
      <c r="EY30" s="1" t="s">
        <v>6</v>
      </c>
      <c r="EZ30" s="1" t="s">
        <v>6</v>
      </c>
      <c r="FA30" s="1" t="s">
        <v>6</v>
      </c>
      <c r="FD30" s="1" t="s">
        <v>6</v>
      </c>
      <c r="FE30" s="1" t="s">
        <v>6</v>
      </c>
      <c r="FF30" s="1" t="s">
        <v>6</v>
      </c>
      <c r="FG30" s="1" t="s">
        <v>6</v>
      </c>
      <c r="FH30" s="1" t="s">
        <v>6</v>
      </c>
      <c r="FK30" s="1" t="s">
        <v>8</v>
      </c>
      <c r="FL30" s="1" t="s">
        <v>8</v>
      </c>
      <c r="FM30" s="1" t="s">
        <v>8</v>
      </c>
      <c r="FN30" s="1" t="s">
        <v>8</v>
      </c>
      <c r="FO30" s="1" t="s">
        <v>8</v>
      </c>
      <c r="FR30" s="1" t="s">
        <v>8</v>
      </c>
      <c r="FS30" s="1" t="s">
        <v>8</v>
      </c>
      <c r="FT30" s="1" t="s">
        <v>8</v>
      </c>
      <c r="FU30" s="1" t="s">
        <v>8</v>
      </c>
      <c r="FV30" s="1" t="s">
        <v>8</v>
      </c>
      <c r="FY30" s="1" t="s">
        <v>8</v>
      </c>
      <c r="FZ30" s="1" t="s">
        <v>8</v>
      </c>
      <c r="GA30" s="1" t="s">
        <v>8</v>
      </c>
      <c r="GB30" s="1" t="s">
        <v>8</v>
      </c>
      <c r="GC30" s="1" t="s">
        <v>8</v>
      </c>
      <c r="GF30" s="1" t="s">
        <v>8</v>
      </c>
      <c r="GG30" s="1" t="s">
        <v>8</v>
      </c>
      <c r="GH30" s="1" t="s">
        <v>8</v>
      </c>
      <c r="GI30" s="1" t="s">
        <v>8</v>
      </c>
      <c r="GJ30" s="1" t="s">
        <v>8</v>
      </c>
      <c r="GM30" s="1" t="s">
        <v>8</v>
      </c>
      <c r="GN30" s="1" t="s">
        <v>8</v>
      </c>
      <c r="GO30" s="1" t="s">
        <v>8</v>
      </c>
      <c r="GP30" s="1" t="s">
        <v>8</v>
      </c>
      <c r="GQ30" s="1" t="s">
        <v>8</v>
      </c>
      <c r="GT30" s="1" t="s">
        <v>8</v>
      </c>
      <c r="GU30" s="1" t="s">
        <v>8</v>
      </c>
      <c r="GV30" s="1" t="s">
        <v>8</v>
      </c>
      <c r="GW30" s="1" t="s">
        <v>8</v>
      </c>
      <c r="GX30" s="1" t="s">
        <v>8</v>
      </c>
      <c r="HA30" s="1" t="s">
        <v>8</v>
      </c>
      <c r="HB30" s="1" t="s">
        <v>8</v>
      </c>
      <c r="HC30" s="1" t="s">
        <v>8</v>
      </c>
      <c r="HD30" s="1" t="s">
        <v>8</v>
      </c>
      <c r="HE30" s="1" t="s">
        <v>8</v>
      </c>
      <c r="HH30" s="1" t="s">
        <v>8</v>
      </c>
      <c r="HI30" s="1" t="s">
        <v>8</v>
      </c>
      <c r="HJ30" s="1" t="s">
        <v>8</v>
      </c>
      <c r="HK30" s="1" t="s">
        <v>8</v>
      </c>
      <c r="HL30" s="1" t="s">
        <v>8</v>
      </c>
      <c r="HO30" s="1" t="s">
        <v>8</v>
      </c>
      <c r="HP30" s="1" t="s">
        <v>8</v>
      </c>
      <c r="HQ30" s="1" t="s">
        <v>8</v>
      </c>
      <c r="HR30" s="1" t="s">
        <v>8</v>
      </c>
      <c r="HS30" s="1" t="s">
        <v>8</v>
      </c>
      <c r="HV30" s="1" t="s">
        <v>8</v>
      </c>
      <c r="HW30" s="1" t="s">
        <v>8</v>
      </c>
      <c r="HX30" s="1" t="s">
        <v>8</v>
      </c>
      <c r="HY30" s="1" t="s">
        <v>8</v>
      </c>
      <c r="HZ30" s="1" t="s">
        <v>8</v>
      </c>
      <c r="IC30" s="1" t="s">
        <v>8</v>
      </c>
      <c r="ID30" s="1" t="s">
        <v>8</v>
      </c>
      <c r="IE30" s="1" t="s">
        <v>8</v>
      </c>
      <c r="IF30" s="1" t="s">
        <v>8</v>
      </c>
      <c r="IG30" s="1" t="s">
        <v>8</v>
      </c>
      <c r="IJ30" s="1" t="s">
        <v>8</v>
      </c>
      <c r="IK30" s="1" t="s">
        <v>8</v>
      </c>
      <c r="IL30" s="1" t="s">
        <v>8</v>
      </c>
      <c r="IM30" s="1" t="s">
        <v>8</v>
      </c>
      <c r="IN30" s="1" t="s">
        <v>8</v>
      </c>
      <c r="IQ30" s="1" t="s">
        <v>8</v>
      </c>
      <c r="IR30" s="1" t="s">
        <v>8</v>
      </c>
      <c r="IS30" s="1" t="s">
        <v>8</v>
      </c>
      <c r="IT30" s="1" t="s">
        <v>8</v>
      </c>
      <c r="IU30" s="1" t="s">
        <v>8</v>
      </c>
      <c r="IX30" s="1" t="s">
        <v>8</v>
      </c>
      <c r="IY30" s="1" t="s">
        <v>8</v>
      </c>
      <c r="IZ30" s="1" t="s">
        <v>8</v>
      </c>
      <c r="JA30" s="1" t="s">
        <v>8</v>
      </c>
      <c r="JB30" s="1" t="s">
        <v>8</v>
      </c>
      <c r="JE30" s="1" t="s">
        <v>8</v>
      </c>
      <c r="JF30" s="1" t="s">
        <v>8</v>
      </c>
      <c r="JG30" s="1" t="s">
        <v>8</v>
      </c>
      <c r="JH30" s="1" t="s">
        <v>8</v>
      </c>
      <c r="JI30" s="1" t="s">
        <v>8</v>
      </c>
      <c r="JL30" s="1" t="s">
        <v>8</v>
      </c>
      <c r="JM30" s="1" t="s">
        <v>8</v>
      </c>
      <c r="JN30" s="1" t="s">
        <v>8</v>
      </c>
      <c r="JO30" s="1" t="s">
        <v>8</v>
      </c>
      <c r="JP30" s="1" t="s">
        <v>8</v>
      </c>
      <c r="JS30" s="1" t="s">
        <v>8</v>
      </c>
      <c r="JT30" s="1" t="s">
        <v>8</v>
      </c>
      <c r="JU30" s="1" t="s">
        <v>8</v>
      </c>
      <c r="JV30" s="1" t="s">
        <v>8</v>
      </c>
      <c r="JW30" s="1" t="s">
        <v>8</v>
      </c>
      <c r="JZ30" s="1" t="s">
        <v>8</v>
      </c>
      <c r="KA30" s="1" t="s">
        <v>8</v>
      </c>
      <c r="KB30" s="1" t="s">
        <v>8</v>
      </c>
      <c r="KC30" s="1" t="s">
        <v>8</v>
      </c>
      <c r="KD30" s="1" t="s">
        <v>8</v>
      </c>
      <c r="KG30" s="1" t="s">
        <v>8</v>
      </c>
      <c r="KH30" s="1" t="s">
        <v>8</v>
      </c>
      <c r="KI30" s="1" t="s">
        <v>8</v>
      </c>
      <c r="KJ30" s="1" t="s">
        <v>8</v>
      </c>
      <c r="KK30" s="1" t="s">
        <v>8</v>
      </c>
      <c r="KN30" s="1" t="s">
        <v>8</v>
      </c>
      <c r="KO30" s="1" t="s">
        <v>8</v>
      </c>
      <c r="KP30" s="1" t="s">
        <v>8</v>
      </c>
      <c r="KQ30" s="1" t="s">
        <v>8</v>
      </c>
      <c r="KR30" s="1" t="s">
        <v>8</v>
      </c>
      <c r="KU30" s="1" t="s">
        <v>8</v>
      </c>
      <c r="KV30" s="1" t="s">
        <v>8</v>
      </c>
      <c r="KW30" s="1" t="s">
        <v>8</v>
      </c>
      <c r="KX30" s="1" t="s">
        <v>8</v>
      </c>
      <c r="KY30" s="1" t="s">
        <v>8</v>
      </c>
      <c r="LB30" s="1" t="s">
        <v>8</v>
      </c>
      <c r="LC30" s="1" t="s">
        <v>8</v>
      </c>
      <c r="LD30" s="1" t="s">
        <v>8</v>
      </c>
      <c r="LE30" s="1" t="s">
        <v>8</v>
      </c>
      <c r="LF30" s="1" t="s">
        <v>8</v>
      </c>
      <c r="LI30" s="1" t="s">
        <v>8</v>
      </c>
      <c r="LJ30" s="1" t="s">
        <v>8</v>
      </c>
      <c r="LK30" s="1" t="s">
        <v>8</v>
      </c>
      <c r="LL30" s="1" t="s">
        <v>8</v>
      </c>
      <c r="LM30" s="1" t="s">
        <v>8</v>
      </c>
      <c r="LP30" s="1" t="s">
        <v>8</v>
      </c>
      <c r="LQ30" s="1" t="s">
        <v>8</v>
      </c>
      <c r="LR30" s="1" t="s">
        <v>8</v>
      </c>
      <c r="LS30" s="1" t="s">
        <v>8</v>
      </c>
      <c r="LT30" s="1" t="s">
        <v>8</v>
      </c>
      <c r="LW30" s="1" t="s">
        <v>8</v>
      </c>
      <c r="LX30" s="1" t="s">
        <v>8</v>
      </c>
      <c r="LY30" s="1" t="s">
        <v>8</v>
      </c>
      <c r="LZ30" s="1" t="s">
        <v>8</v>
      </c>
      <c r="MA30" s="1" t="s">
        <v>8</v>
      </c>
      <c r="MD30" s="1" t="s">
        <v>8</v>
      </c>
      <c r="ME30" s="1" t="s">
        <v>8</v>
      </c>
      <c r="MF30" s="1" t="s">
        <v>8</v>
      </c>
      <c r="MG30" s="1" t="s">
        <v>8</v>
      </c>
      <c r="MH30" s="1" t="s">
        <v>8</v>
      </c>
      <c r="MK30" s="1" t="s">
        <v>8</v>
      </c>
      <c r="ML30" s="1" t="s">
        <v>8</v>
      </c>
      <c r="MM30" s="1" t="s">
        <v>8</v>
      </c>
      <c r="MN30" s="1" t="s">
        <v>8</v>
      </c>
      <c r="MO30" s="1" t="s">
        <v>8</v>
      </c>
      <c r="MR30" s="1" t="s">
        <v>8</v>
      </c>
      <c r="MS30" s="1" t="s">
        <v>8</v>
      </c>
      <c r="MT30" s="1" t="s">
        <v>8</v>
      </c>
      <c r="MU30" s="1" t="s">
        <v>8</v>
      </c>
      <c r="MV30" s="1" t="s">
        <v>8</v>
      </c>
      <c r="MY30" s="1" t="s">
        <v>8</v>
      </c>
      <c r="MZ30" s="1" t="s">
        <v>8</v>
      </c>
      <c r="NA30" s="1" t="s">
        <v>8</v>
      </c>
      <c r="NB30" s="1" t="s">
        <v>8</v>
      </c>
      <c r="NC30" s="1" t="s">
        <v>8</v>
      </c>
    </row>
    <row r="32" spans="1:390" ht="12" customHeight="1">
      <c r="A32" s="1" t="s">
        <v>89</v>
      </c>
      <c r="B32" s="1" t="s">
        <v>89</v>
      </c>
      <c r="C32" s="1" t="s">
        <v>140</v>
      </c>
      <c r="F32" s="1" t="s">
        <v>8</v>
      </c>
      <c r="G32" s="1" t="s">
        <v>8</v>
      </c>
      <c r="H32" s="1" t="s">
        <v>8</v>
      </c>
      <c r="I32" s="1" t="s">
        <v>6</v>
      </c>
      <c r="M32" s="1" t="s">
        <v>8</v>
      </c>
      <c r="N32" s="1" t="s">
        <v>8</v>
      </c>
      <c r="O32" s="1" t="s">
        <v>8</v>
      </c>
      <c r="P32" s="1" t="s">
        <v>8</v>
      </c>
      <c r="T32" s="1" t="s">
        <v>8</v>
      </c>
      <c r="U32" s="1" t="s">
        <v>8</v>
      </c>
      <c r="V32" s="1" t="s">
        <v>8</v>
      </c>
      <c r="W32" s="1" t="s">
        <v>8</v>
      </c>
      <c r="AA32" s="1" t="s">
        <v>8</v>
      </c>
      <c r="AB32" s="1" t="s">
        <v>8</v>
      </c>
      <c r="AC32" s="1" t="s">
        <v>8</v>
      </c>
      <c r="AD32" s="1" t="s">
        <v>8</v>
      </c>
      <c r="AH32" s="1" t="s">
        <v>8</v>
      </c>
      <c r="AI32" s="1" t="s">
        <v>8</v>
      </c>
      <c r="AJ32" s="1" t="s">
        <v>8</v>
      </c>
      <c r="AK32" s="1" t="s">
        <v>8</v>
      </c>
      <c r="AO32" s="1" t="s">
        <v>8</v>
      </c>
      <c r="AP32" s="1" t="s">
        <v>8</v>
      </c>
      <c r="AQ32" s="1" t="s">
        <v>8</v>
      </c>
      <c r="AR32" s="1" t="s">
        <v>8</v>
      </c>
      <c r="AV32" s="1" t="s">
        <v>8</v>
      </c>
      <c r="AW32" s="1" t="s">
        <v>8</v>
      </c>
      <c r="AX32" s="1" t="s">
        <v>8</v>
      </c>
      <c r="AY32" s="1" t="s">
        <v>6</v>
      </c>
      <c r="BC32" s="1" t="s">
        <v>8</v>
      </c>
      <c r="BD32" s="1" t="s">
        <v>8</v>
      </c>
      <c r="BE32" s="1" t="s">
        <v>8</v>
      </c>
      <c r="BF32" s="1" t="s">
        <v>8</v>
      </c>
      <c r="BJ32" s="1" t="s">
        <v>8</v>
      </c>
      <c r="BK32" s="1" t="s">
        <v>8</v>
      </c>
      <c r="BL32" s="1" t="s">
        <v>8</v>
      </c>
      <c r="BM32" s="1" t="s">
        <v>8</v>
      </c>
      <c r="BQ32" s="1" t="s">
        <v>8</v>
      </c>
      <c r="BR32" s="1" t="s">
        <v>8</v>
      </c>
      <c r="BS32" s="1" t="s">
        <v>8</v>
      </c>
      <c r="BT32" s="1" t="s">
        <v>8</v>
      </c>
      <c r="BX32" s="1" t="s">
        <v>8</v>
      </c>
      <c r="BY32" s="1" t="s">
        <v>8</v>
      </c>
      <c r="BZ32" s="1" t="s">
        <v>8</v>
      </c>
      <c r="CA32" s="1" t="s">
        <v>8</v>
      </c>
      <c r="CE32" s="1" t="s">
        <v>6</v>
      </c>
      <c r="CF32" s="1" t="s">
        <v>8</v>
      </c>
      <c r="CG32" s="1" t="s">
        <v>8</v>
      </c>
      <c r="CH32" s="1" t="s">
        <v>8</v>
      </c>
      <c r="CL32" s="1" t="s">
        <v>8</v>
      </c>
      <c r="CM32" s="1" t="s">
        <v>8</v>
      </c>
      <c r="CN32" s="1" t="s">
        <v>8</v>
      </c>
      <c r="CO32" s="1" t="s">
        <v>8</v>
      </c>
      <c r="CS32" s="1" t="s">
        <v>140</v>
      </c>
      <c r="CT32" s="1" t="s">
        <v>8</v>
      </c>
      <c r="CU32" s="1" t="s">
        <v>6</v>
      </c>
      <c r="CV32" s="1" t="s">
        <v>8</v>
      </c>
      <c r="CZ32" s="8" t="s">
        <v>216</v>
      </c>
      <c r="DA32" s="1" t="s">
        <v>8</v>
      </c>
      <c r="DB32" s="1" t="s">
        <v>8</v>
      </c>
      <c r="DC32" s="1" t="s">
        <v>8</v>
      </c>
      <c r="DG32" s="1" t="s">
        <v>8</v>
      </c>
      <c r="DH32" s="8" t="s">
        <v>217</v>
      </c>
      <c r="DI32" s="1" t="s">
        <v>8</v>
      </c>
      <c r="DJ32" s="1" t="s">
        <v>8</v>
      </c>
      <c r="DN32" s="1" t="s">
        <v>8</v>
      </c>
      <c r="DO32" s="1" t="s">
        <v>140</v>
      </c>
      <c r="DP32" s="1" t="s">
        <v>8</v>
      </c>
      <c r="DQ32" s="1" t="s">
        <v>8</v>
      </c>
      <c r="DU32" s="1" t="s">
        <v>6</v>
      </c>
      <c r="DV32" s="1" t="s">
        <v>6</v>
      </c>
      <c r="DW32" s="1" t="s">
        <v>6</v>
      </c>
      <c r="DX32" s="1" t="s">
        <v>6</v>
      </c>
      <c r="EB32" s="1" t="s">
        <v>8</v>
      </c>
      <c r="EC32" s="1" t="s">
        <v>8</v>
      </c>
      <c r="ED32" s="1" t="s">
        <v>8</v>
      </c>
      <c r="EE32" s="1" t="s">
        <v>140</v>
      </c>
      <c r="EI32" s="1" t="s">
        <v>8</v>
      </c>
      <c r="EJ32" s="1" t="s">
        <v>8</v>
      </c>
      <c r="EK32" s="1" t="s">
        <v>8</v>
      </c>
      <c r="EL32" s="1" t="s">
        <v>8</v>
      </c>
      <c r="EP32" s="1" t="s">
        <v>140</v>
      </c>
      <c r="EQ32" s="1" t="s">
        <v>8</v>
      </c>
      <c r="ER32" s="1" t="s">
        <v>8</v>
      </c>
      <c r="ES32" s="1" t="s">
        <v>6</v>
      </c>
      <c r="EW32" s="1" t="s">
        <v>8</v>
      </c>
      <c r="EX32" s="1" t="s">
        <v>8</v>
      </c>
      <c r="EY32" s="1" t="s">
        <v>8</v>
      </c>
      <c r="EZ32" s="1" t="s">
        <v>8</v>
      </c>
      <c r="FD32" s="1" t="s">
        <v>8</v>
      </c>
      <c r="FE32" s="1" t="s">
        <v>8</v>
      </c>
      <c r="FF32" s="1" t="s">
        <v>8</v>
      </c>
      <c r="FG32" s="1" t="s">
        <v>8</v>
      </c>
      <c r="FK32" s="1" t="s">
        <v>8</v>
      </c>
      <c r="FL32" s="1" t="s">
        <v>8</v>
      </c>
      <c r="FM32" s="1" t="s">
        <v>8</v>
      </c>
      <c r="FN32" s="1" t="s">
        <v>8</v>
      </c>
      <c r="FR32" s="1" t="s">
        <v>8</v>
      </c>
      <c r="FS32" s="1" t="s">
        <v>8</v>
      </c>
      <c r="FT32" s="1" t="s">
        <v>8</v>
      </c>
      <c r="FU32" s="1" t="s">
        <v>8</v>
      </c>
      <c r="FY32" s="1" t="s">
        <v>8</v>
      </c>
      <c r="FZ32" s="1" t="s">
        <v>8</v>
      </c>
      <c r="GA32" s="1" t="s">
        <v>8</v>
      </c>
      <c r="GB32" s="1" t="s">
        <v>8</v>
      </c>
      <c r="GF32" s="1" t="s">
        <v>8</v>
      </c>
      <c r="GG32" s="1" t="s">
        <v>8</v>
      </c>
      <c r="GH32" s="1" t="s">
        <v>8</v>
      </c>
      <c r="GI32" s="1" t="s">
        <v>8</v>
      </c>
      <c r="GM32" s="1" t="s">
        <v>8</v>
      </c>
      <c r="GN32" s="1" t="s">
        <v>8</v>
      </c>
      <c r="GO32" s="1" t="s">
        <v>8</v>
      </c>
      <c r="GP32" s="1" t="s">
        <v>8</v>
      </c>
      <c r="GT32" s="1" t="s">
        <v>8</v>
      </c>
      <c r="GU32" s="1" t="s">
        <v>8</v>
      </c>
      <c r="GV32" s="1" t="s">
        <v>8</v>
      </c>
      <c r="GW32" s="1" t="s">
        <v>8</v>
      </c>
      <c r="HA32" s="1" t="s">
        <v>8</v>
      </c>
      <c r="HB32" s="1" t="s">
        <v>8</v>
      </c>
      <c r="HC32" s="1" t="s">
        <v>8</v>
      </c>
      <c r="HD32" s="1" t="s">
        <v>8</v>
      </c>
      <c r="HH32" s="1" t="s">
        <v>8</v>
      </c>
      <c r="HI32" s="1" t="s">
        <v>8</v>
      </c>
      <c r="HJ32" s="1" t="s">
        <v>8</v>
      </c>
      <c r="HK32" s="1" t="s">
        <v>8</v>
      </c>
      <c r="HO32" s="1" t="s">
        <v>6</v>
      </c>
      <c r="HP32" s="1" t="s">
        <v>6</v>
      </c>
      <c r="HQ32" s="1" t="s">
        <v>6</v>
      </c>
      <c r="HR32" s="1" t="s">
        <v>6</v>
      </c>
      <c r="HV32" s="1" t="s">
        <v>6</v>
      </c>
      <c r="HW32" s="1" t="s">
        <v>6</v>
      </c>
      <c r="HX32" s="1" t="s">
        <v>6</v>
      </c>
      <c r="HY32" s="1" t="s">
        <v>6</v>
      </c>
      <c r="IC32" s="1" t="s">
        <v>6</v>
      </c>
      <c r="ID32" s="1" t="s">
        <v>6</v>
      </c>
      <c r="IE32" s="1" t="s">
        <v>6</v>
      </c>
      <c r="IF32" s="1" t="s">
        <v>6</v>
      </c>
      <c r="IJ32" s="1" t="s">
        <v>8</v>
      </c>
      <c r="IK32" s="1" t="s">
        <v>8</v>
      </c>
      <c r="IL32" s="1" t="s">
        <v>8</v>
      </c>
      <c r="IM32" s="1" t="s">
        <v>8</v>
      </c>
      <c r="IQ32" s="1" t="s">
        <v>8</v>
      </c>
      <c r="IR32" s="1" t="s">
        <v>8</v>
      </c>
      <c r="IS32" s="1" t="s">
        <v>8</v>
      </c>
      <c r="IT32" s="1" t="s">
        <v>8</v>
      </c>
      <c r="IX32" s="1" t="s">
        <v>8</v>
      </c>
      <c r="IY32" s="1" t="s">
        <v>8</v>
      </c>
      <c r="IZ32" s="1" t="s">
        <v>8</v>
      </c>
      <c r="JA32" s="1" t="s">
        <v>8</v>
      </c>
      <c r="JE32" s="1" t="s">
        <v>8</v>
      </c>
      <c r="JF32" s="1" t="s">
        <v>8</v>
      </c>
      <c r="JG32" s="1" t="s">
        <v>8</v>
      </c>
      <c r="JH32" s="1" t="s">
        <v>8</v>
      </c>
      <c r="JL32" s="1" t="s">
        <v>8</v>
      </c>
      <c r="JM32" s="1" t="s">
        <v>8</v>
      </c>
      <c r="JN32" s="1" t="s">
        <v>8</v>
      </c>
      <c r="JO32" s="1" t="s">
        <v>8</v>
      </c>
      <c r="JS32" s="1" t="s">
        <v>8</v>
      </c>
      <c r="JT32" s="1" t="s">
        <v>8</v>
      </c>
      <c r="JU32" s="1" t="s">
        <v>8</v>
      </c>
      <c r="JV32" s="1" t="s">
        <v>8</v>
      </c>
      <c r="JZ32" s="1" t="s">
        <v>8</v>
      </c>
      <c r="KA32" s="1" t="s">
        <v>8</v>
      </c>
      <c r="KB32" s="1" t="s">
        <v>8</v>
      </c>
      <c r="KC32" s="1" t="s">
        <v>8</v>
      </c>
      <c r="KG32" s="1" t="s">
        <v>8</v>
      </c>
      <c r="KH32" s="1" t="s">
        <v>8</v>
      </c>
      <c r="KI32" s="1" t="s">
        <v>8</v>
      </c>
      <c r="KJ32" s="1" t="s">
        <v>8</v>
      </c>
      <c r="KN32" s="1" t="s">
        <v>8</v>
      </c>
      <c r="KO32" s="1" t="s">
        <v>8</v>
      </c>
      <c r="KP32" s="1" t="s">
        <v>8</v>
      </c>
      <c r="KQ32" s="1" t="s">
        <v>8</v>
      </c>
      <c r="KU32" s="1" t="s">
        <v>8</v>
      </c>
      <c r="KV32" s="1" t="s">
        <v>8</v>
      </c>
      <c r="KW32" s="1" t="s">
        <v>8</v>
      </c>
      <c r="KX32" s="1" t="s">
        <v>8</v>
      </c>
      <c r="LB32" s="1" t="s">
        <v>8</v>
      </c>
      <c r="LC32" s="1" t="s">
        <v>8</v>
      </c>
      <c r="LD32" s="1" t="s">
        <v>8</v>
      </c>
      <c r="LE32" s="1" t="s">
        <v>8</v>
      </c>
      <c r="LI32" s="1" t="s">
        <v>8</v>
      </c>
      <c r="LJ32" s="1" t="s">
        <v>8</v>
      </c>
      <c r="LK32" s="1" t="s">
        <v>8</v>
      </c>
      <c r="LL32" s="1" t="s">
        <v>8</v>
      </c>
      <c r="LP32" s="1" t="s">
        <v>8</v>
      </c>
      <c r="LQ32" s="1" t="s">
        <v>8</v>
      </c>
      <c r="LR32" s="1" t="s">
        <v>8</v>
      </c>
      <c r="LS32" s="1" t="s">
        <v>8</v>
      </c>
      <c r="LW32" s="1" t="s">
        <v>8</v>
      </c>
      <c r="LX32" s="1" t="s">
        <v>8</v>
      </c>
      <c r="LY32" s="1" t="s">
        <v>8</v>
      </c>
      <c r="LZ32" s="1" t="s">
        <v>8</v>
      </c>
      <c r="MD32" s="1" t="s">
        <v>8</v>
      </c>
      <c r="ME32" s="1" t="s">
        <v>8</v>
      </c>
      <c r="MF32" s="1" t="s">
        <v>8</v>
      </c>
      <c r="MG32" s="1" t="s">
        <v>8</v>
      </c>
      <c r="MK32" s="1" t="s">
        <v>8</v>
      </c>
      <c r="ML32" s="1" t="s">
        <v>8</v>
      </c>
      <c r="MM32" s="1" t="s">
        <v>8</v>
      </c>
      <c r="MN32" s="1" t="s">
        <v>8</v>
      </c>
      <c r="MR32" s="1" t="s">
        <v>8</v>
      </c>
      <c r="MS32" s="1" t="s">
        <v>8</v>
      </c>
      <c r="MT32" s="1" t="s">
        <v>8</v>
      </c>
      <c r="MU32" s="1" t="s">
        <v>8</v>
      </c>
      <c r="MY32" s="1" t="s">
        <v>8</v>
      </c>
      <c r="MZ32" s="1" t="s">
        <v>8</v>
      </c>
      <c r="NA32" s="1" t="s">
        <v>8</v>
      </c>
      <c r="NB32" s="1" t="s">
        <v>8</v>
      </c>
    </row>
    <row r="33" spans="1:367">
      <c r="AY33" s="57"/>
      <c r="CE33" s="17"/>
      <c r="CU33" s="17"/>
      <c r="CZ33" s="8" t="s">
        <v>218</v>
      </c>
      <c r="DH33" s="8" t="s">
        <v>218</v>
      </c>
    </row>
    <row r="34" spans="1:367" ht="12.75" customHeight="1">
      <c r="A34" s="1" t="s">
        <v>90</v>
      </c>
      <c r="B34" s="1" t="s">
        <v>90</v>
      </c>
      <c r="C34" s="1" t="s">
        <v>140</v>
      </c>
      <c r="F34" s="1" t="s">
        <v>8</v>
      </c>
      <c r="H34" s="1" t="s">
        <v>8</v>
      </c>
      <c r="I34" s="1" t="s">
        <v>8</v>
      </c>
      <c r="J34" s="1" t="s">
        <v>8</v>
      </c>
      <c r="M34" s="1" t="s">
        <v>8</v>
      </c>
      <c r="O34" s="1" t="s">
        <v>8</v>
      </c>
      <c r="P34" s="1" t="s">
        <v>8</v>
      </c>
      <c r="Q34" s="1" t="s">
        <v>8</v>
      </c>
      <c r="T34" s="1" t="s">
        <v>8</v>
      </c>
      <c r="V34" s="1" t="s">
        <v>8</v>
      </c>
      <c r="W34" s="1" t="s">
        <v>8</v>
      </c>
      <c r="X34" s="1" t="s">
        <v>8</v>
      </c>
      <c r="AA34" s="1" t="s">
        <v>8</v>
      </c>
      <c r="AC34" s="1" t="s">
        <v>8</v>
      </c>
      <c r="AD34" s="1" t="s">
        <v>8</v>
      </c>
      <c r="AE34" s="1" t="s">
        <v>8</v>
      </c>
      <c r="AH34" s="1" t="s">
        <v>8</v>
      </c>
      <c r="AJ34" s="1" t="s">
        <v>8</v>
      </c>
      <c r="AK34" s="1" t="s">
        <v>8</v>
      </c>
      <c r="AL34" s="1" t="s">
        <v>8</v>
      </c>
      <c r="AO34" s="1" t="s">
        <v>8</v>
      </c>
      <c r="AQ34" s="1" t="s">
        <v>8</v>
      </c>
      <c r="AR34" s="1" t="s">
        <v>8</v>
      </c>
      <c r="AS34" s="1" t="s">
        <v>8</v>
      </c>
      <c r="AV34" s="1" t="s">
        <v>8</v>
      </c>
      <c r="AX34" s="1" t="s">
        <v>8</v>
      </c>
      <c r="AY34" s="1" t="s">
        <v>8</v>
      </c>
      <c r="AZ34" s="1" t="s">
        <v>8</v>
      </c>
      <c r="BC34" s="1" t="s">
        <v>8</v>
      </c>
      <c r="BE34" s="1" t="s">
        <v>8</v>
      </c>
      <c r="BF34" s="1" t="s">
        <v>8</v>
      </c>
      <c r="BG34" s="1" t="s">
        <v>8</v>
      </c>
      <c r="BJ34" s="1" t="s">
        <v>8</v>
      </c>
      <c r="BL34" s="1" t="s">
        <v>8</v>
      </c>
      <c r="BM34" s="1" t="s">
        <v>8</v>
      </c>
      <c r="BN34" s="1" t="s">
        <v>8</v>
      </c>
      <c r="BQ34" s="1" t="s">
        <v>8</v>
      </c>
      <c r="BS34" s="1" t="s">
        <v>8</v>
      </c>
      <c r="BT34" s="1" t="s">
        <v>8</v>
      </c>
      <c r="BU34" s="1" t="s">
        <v>8</v>
      </c>
      <c r="BX34" s="1" t="s">
        <v>8</v>
      </c>
      <c r="BZ34" s="1" t="s">
        <v>8</v>
      </c>
      <c r="CA34" s="1" t="s">
        <v>8</v>
      </c>
      <c r="CB34" s="1" t="s">
        <v>8</v>
      </c>
      <c r="CE34" s="1" t="s">
        <v>8</v>
      </c>
      <c r="CG34" s="1" t="s">
        <v>8</v>
      </c>
      <c r="CH34" s="1" t="s">
        <v>8</v>
      </c>
      <c r="CI34" s="1" t="s">
        <v>8</v>
      </c>
      <c r="CL34" s="1" t="s">
        <v>8</v>
      </c>
      <c r="CN34" s="1" t="s">
        <v>8</v>
      </c>
      <c r="CO34" s="1" t="s">
        <v>8</v>
      </c>
      <c r="CP34" s="1" t="s">
        <v>8</v>
      </c>
      <c r="CS34" s="1" t="s">
        <v>140</v>
      </c>
      <c r="CU34" s="1" t="s">
        <v>8</v>
      </c>
      <c r="CV34" s="1" t="s">
        <v>8</v>
      </c>
      <c r="CW34" s="1" t="s">
        <v>8</v>
      </c>
      <c r="CZ34" s="1" t="s">
        <v>8</v>
      </c>
      <c r="DB34" s="1" t="s">
        <v>8</v>
      </c>
      <c r="DC34" s="1" t="s">
        <v>8</v>
      </c>
      <c r="DD34" s="1" t="s">
        <v>8</v>
      </c>
      <c r="DG34" s="1" t="s">
        <v>8</v>
      </c>
      <c r="DI34" s="1" t="s">
        <v>8</v>
      </c>
      <c r="DJ34" s="1" t="s">
        <v>8</v>
      </c>
      <c r="DK34" s="1" t="s">
        <v>8</v>
      </c>
      <c r="DN34" s="1" t="s">
        <v>8</v>
      </c>
      <c r="DP34" s="1" t="s">
        <v>8</v>
      </c>
      <c r="DQ34" s="1" t="s">
        <v>6</v>
      </c>
      <c r="DR34" s="1" t="s">
        <v>8</v>
      </c>
      <c r="DU34" s="1" t="s">
        <v>8</v>
      </c>
      <c r="DW34" s="1" t="s">
        <v>8</v>
      </c>
      <c r="DX34" s="1" t="s">
        <v>8</v>
      </c>
      <c r="DY34" s="1" t="s">
        <v>8</v>
      </c>
      <c r="EB34" s="1" t="s">
        <v>6</v>
      </c>
      <c r="ED34" s="1" t="s">
        <v>6</v>
      </c>
      <c r="EE34" s="1" t="s">
        <v>140</v>
      </c>
      <c r="EF34" s="1" t="s">
        <v>8</v>
      </c>
      <c r="EI34" s="1" t="s">
        <v>8</v>
      </c>
      <c r="EK34" s="1" t="s">
        <v>8</v>
      </c>
      <c r="EL34" s="1" t="s">
        <v>8</v>
      </c>
      <c r="EM34" s="1" t="s">
        <v>8</v>
      </c>
      <c r="EP34" s="1" t="s">
        <v>140</v>
      </c>
      <c r="ER34" s="1" t="s">
        <v>8</v>
      </c>
      <c r="ES34" s="1" t="s">
        <v>8</v>
      </c>
      <c r="ET34" s="1" t="s">
        <v>8</v>
      </c>
      <c r="EW34" s="1" t="s">
        <v>8</v>
      </c>
      <c r="EY34" s="1" t="s">
        <v>8</v>
      </c>
      <c r="EZ34" s="1" t="s">
        <v>8</v>
      </c>
      <c r="FA34" s="1" t="s">
        <v>8</v>
      </c>
      <c r="FD34" s="1" t="s">
        <v>8</v>
      </c>
      <c r="FF34" s="1" t="s">
        <v>8</v>
      </c>
      <c r="FG34" s="1" t="s">
        <v>8</v>
      </c>
      <c r="FH34" s="1" t="s">
        <v>8</v>
      </c>
      <c r="FK34" s="1" t="s">
        <v>8</v>
      </c>
      <c r="FM34" s="1" t="s">
        <v>8</v>
      </c>
      <c r="FN34" s="1" t="s">
        <v>8</v>
      </c>
      <c r="FO34" s="1" t="s">
        <v>8</v>
      </c>
      <c r="FR34" s="1" t="s">
        <v>8</v>
      </c>
      <c r="FT34" s="1" t="s">
        <v>8</v>
      </c>
      <c r="FU34" s="1" t="s">
        <v>8</v>
      </c>
      <c r="FV34" s="1" t="s">
        <v>8</v>
      </c>
      <c r="FY34" s="1" t="s">
        <v>8</v>
      </c>
      <c r="GA34" s="1" t="s">
        <v>8</v>
      </c>
      <c r="GB34" s="1" t="s">
        <v>8</v>
      </c>
      <c r="GC34" s="1" t="s">
        <v>8</v>
      </c>
      <c r="GF34" s="1" t="s">
        <v>8</v>
      </c>
      <c r="GH34" s="1" t="s">
        <v>8</v>
      </c>
      <c r="GI34" s="1" t="s">
        <v>8</v>
      </c>
      <c r="GJ34" s="1" t="s">
        <v>8</v>
      </c>
      <c r="GM34" s="1" t="s">
        <v>8</v>
      </c>
      <c r="GO34" s="1" t="s">
        <v>8</v>
      </c>
      <c r="GP34" s="1" t="s">
        <v>8</v>
      </c>
      <c r="GQ34" s="1" t="s">
        <v>8</v>
      </c>
      <c r="GT34" s="1" t="s">
        <v>8</v>
      </c>
      <c r="GV34" s="1" t="s">
        <v>8</v>
      </c>
      <c r="GW34" s="1" t="s">
        <v>8</v>
      </c>
      <c r="GX34" s="1" t="s">
        <v>8</v>
      </c>
      <c r="HA34" s="1" t="s">
        <v>8</v>
      </c>
      <c r="HC34" s="1" t="s">
        <v>8</v>
      </c>
      <c r="HD34" s="1" t="s">
        <v>8</v>
      </c>
      <c r="HE34" s="1" t="s">
        <v>8</v>
      </c>
      <c r="HH34" s="1" t="s">
        <v>8</v>
      </c>
      <c r="HJ34" s="1" t="s">
        <v>8</v>
      </c>
      <c r="HK34" s="1" t="s">
        <v>8</v>
      </c>
      <c r="HL34" s="1" t="s">
        <v>8</v>
      </c>
      <c r="HO34" s="1" t="s">
        <v>8</v>
      </c>
      <c r="HP34" s="1" t="s">
        <v>8</v>
      </c>
      <c r="HQ34" s="1" t="s">
        <v>8</v>
      </c>
      <c r="HR34" s="1" t="s">
        <v>8</v>
      </c>
      <c r="HS34" s="1" t="s">
        <v>8</v>
      </c>
      <c r="HV34" s="1" t="s">
        <v>8</v>
      </c>
      <c r="HX34" s="1" t="s">
        <v>8</v>
      </c>
      <c r="HY34" s="1" t="s">
        <v>8</v>
      </c>
      <c r="HZ34" s="1" t="s">
        <v>8</v>
      </c>
      <c r="IC34" s="1" t="s">
        <v>6</v>
      </c>
      <c r="IE34" s="1" t="s">
        <v>6</v>
      </c>
      <c r="IF34" s="1" t="s">
        <v>6</v>
      </c>
      <c r="IG34" s="1" t="s">
        <v>6</v>
      </c>
      <c r="IJ34" s="1" t="s">
        <v>6</v>
      </c>
      <c r="IL34" s="1" t="s">
        <v>6</v>
      </c>
      <c r="IM34" s="1" t="s">
        <v>6</v>
      </c>
      <c r="IN34" s="1" t="s">
        <v>6</v>
      </c>
      <c r="IQ34" s="1" t="s">
        <v>8</v>
      </c>
      <c r="IS34" s="1" t="s">
        <v>8</v>
      </c>
      <c r="IT34" s="1" t="s">
        <v>8</v>
      </c>
      <c r="IU34" s="1" t="s">
        <v>8</v>
      </c>
      <c r="IX34" s="1" t="s">
        <v>8</v>
      </c>
      <c r="IZ34" s="1" t="s">
        <v>8</v>
      </c>
      <c r="JA34" s="1" t="s">
        <v>8</v>
      </c>
      <c r="JB34" s="1" t="s">
        <v>8</v>
      </c>
      <c r="JE34" s="1" t="s">
        <v>8</v>
      </c>
      <c r="JG34" s="1" t="s">
        <v>8</v>
      </c>
      <c r="JH34" s="1" t="s">
        <v>8</v>
      </c>
      <c r="JI34" s="1" t="s">
        <v>8</v>
      </c>
      <c r="JL34" s="1" t="s">
        <v>8</v>
      </c>
      <c r="JN34" s="1" t="s">
        <v>8</v>
      </c>
      <c r="JO34" s="1" t="s">
        <v>8</v>
      </c>
      <c r="JP34" s="1" t="s">
        <v>8</v>
      </c>
      <c r="JS34" s="1" t="s">
        <v>8</v>
      </c>
      <c r="JU34" s="1" t="s">
        <v>8</v>
      </c>
      <c r="JV34" s="1" t="s">
        <v>8</v>
      </c>
      <c r="JW34" s="1" t="s">
        <v>8</v>
      </c>
      <c r="JZ34" s="1" t="s">
        <v>8</v>
      </c>
      <c r="KB34" s="1" t="s">
        <v>8</v>
      </c>
      <c r="KC34" s="1" t="s">
        <v>8</v>
      </c>
      <c r="KD34" s="1" t="s">
        <v>8</v>
      </c>
      <c r="KG34" s="1" t="s">
        <v>8</v>
      </c>
      <c r="KI34" s="1" t="s">
        <v>8</v>
      </c>
      <c r="KJ34" s="1" t="s">
        <v>8</v>
      </c>
      <c r="KK34" s="1" t="s">
        <v>8</v>
      </c>
      <c r="KN34" s="1" t="s">
        <v>8</v>
      </c>
      <c r="KP34" s="1" t="s">
        <v>8</v>
      </c>
      <c r="KQ34" s="1" t="s">
        <v>8</v>
      </c>
      <c r="KR34" s="1" t="s">
        <v>8</v>
      </c>
      <c r="KU34" s="1" t="s">
        <v>8</v>
      </c>
      <c r="KW34" s="1" t="s">
        <v>8</v>
      </c>
      <c r="KX34" s="1" t="s">
        <v>8</v>
      </c>
      <c r="KY34" s="1" t="s">
        <v>8</v>
      </c>
      <c r="LB34" s="1" t="s">
        <v>8</v>
      </c>
      <c r="LD34" s="1" t="s">
        <v>8</v>
      </c>
      <c r="LE34" s="1" t="s">
        <v>8</v>
      </c>
      <c r="LF34" s="1" t="s">
        <v>8</v>
      </c>
      <c r="LI34" s="1" t="s">
        <v>8</v>
      </c>
      <c r="LK34" s="1" t="s">
        <v>8</v>
      </c>
      <c r="LL34" s="1" t="s">
        <v>8</v>
      </c>
      <c r="LM34" s="1" t="s">
        <v>8</v>
      </c>
      <c r="LP34" s="1" t="s">
        <v>8</v>
      </c>
      <c r="LR34" s="1" t="s">
        <v>8</v>
      </c>
      <c r="LS34" s="1" t="s">
        <v>8</v>
      </c>
      <c r="LT34" s="1" t="s">
        <v>8</v>
      </c>
      <c r="LW34" s="1" t="s">
        <v>8</v>
      </c>
      <c r="LY34" s="1" t="s">
        <v>8</v>
      </c>
      <c r="LZ34" s="1" t="s">
        <v>8</v>
      </c>
      <c r="MA34" s="1" t="s">
        <v>8</v>
      </c>
      <c r="MD34" s="1" t="s">
        <v>8</v>
      </c>
      <c r="MF34" s="1" t="s">
        <v>8</v>
      </c>
      <c r="MG34" s="1" t="s">
        <v>8</v>
      </c>
      <c r="MH34" s="1" t="s">
        <v>8</v>
      </c>
      <c r="MK34" s="1" t="s">
        <v>8</v>
      </c>
      <c r="MM34" s="1" t="s">
        <v>8</v>
      </c>
      <c r="MN34" s="1" t="s">
        <v>8</v>
      </c>
      <c r="MO34" s="1" t="s">
        <v>8</v>
      </c>
      <c r="MR34" s="1" t="s">
        <v>8</v>
      </c>
      <c r="MT34" s="1" t="s">
        <v>8</v>
      </c>
      <c r="MU34" s="1" t="s">
        <v>8</v>
      </c>
      <c r="MV34" s="1" t="s">
        <v>8</v>
      </c>
      <c r="MY34" s="1" t="s">
        <v>8</v>
      </c>
      <c r="NA34" s="1" t="s">
        <v>8</v>
      </c>
      <c r="NB34" s="1" t="s">
        <v>8</v>
      </c>
      <c r="NC34" s="1" t="s">
        <v>8</v>
      </c>
    </row>
    <row r="35" spans="1:367">
      <c r="AE35" s="1" t="s">
        <v>219</v>
      </c>
      <c r="AH35" s="1" t="s">
        <v>219</v>
      </c>
      <c r="AJ35" s="1" t="s">
        <v>219</v>
      </c>
      <c r="AK35" s="1" t="s">
        <v>219</v>
      </c>
      <c r="AL35" s="1" t="s">
        <v>219</v>
      </c>
      <c r="AO35" s="1" t="s">
        <v>219</v>
      </c>
      <c r="AQ35" s="1" t="s">
        <v>219</v>
      </c>
      <c r="AR35" s="1" t="s">
        <v>219</v>
      </c>
      <c r="AS35" s="1" t="s">
        <v>219</v>
      </c>
      <c r="AV35" s="56" t="s">
        <v>6</v>
      </c>
      <c r="AW35" s="56" t="s">
        <v>6</v>
      </c>
      <c r="AX35" s="56" t="s">
        <v>6</v>
      </c>
      <c r="BA35" s="64"/>
      <c r="CV35" s="8" t="s">
        <v>220</v>
      </c>
      <c r="DG35" s="8" t="s">
        <v>221</v>
      </c>
      <c r="DX35" s="8" t="s">
        <v>222</v>
      </c>
      <c r="FA35" s="8" t="s">
        <v>222</v>
      </c>
    </row>
    <row r="36" spans="1:367">
      <c r="A36" s="1" t="s">
        <v>91</v>
      </c>
      <c r="B36" s="1" t="s">
        <v>91</v>
      </c>
      <c r="C36" s="1" t="s">
        <v>140</v>
      </c>
      <c r="F36" s="1" t="s">
        <v>8</v>
      </c>
      <c r="G36" s="1" t="s">
        <v>8</v>
      </c>
      <c r="H36" s="1" t="s">
        <v>8</v>
      </c>
      <c r="I36" s="1" t="s">
        <v>8</v>
      </c>
      <c r="J36" s="1" t="s">
        <v>0</v>
      </c>
      <c r="M36" s="1" t="s">
        <v>6</v>
      </c>
      <c r="N36" s="1" t="s">
        <v>6</v>
      </c>
      <c r="O36" s="1" t="s">
        <v>8</v>
      </c>
      <c r="P36" s="1" t="s">
        <v>8</v>
      </c>
      <c r="Q36" s="1" t="s">
        <v>8</v>
      </c>
      <c r="T36" s="1" t="s">
        <v>8</v>
      </c>
      <c r="U36" s="1" t="s">
        <v>8</v>
      </c>
      <c r="V36" s="1" t="s">
        <v>8</v>
      </c>
      <c r="W36" s="1" t="s">
        <v>8</v>
      </c>
      <c r="X36" s="1" t="s">
        <v>8</v>
      </c>
      <c r="AA36" s="1" t="s">
        <v>8</v>
      </c>
      <c r="AB36" s="1" t="s">
        <v>8</v>
      </c>
      <c r="AC36" s="1" t="s">
        <v>6</v>
      </c>
      <c r="AD36" s="1" t="s">
        <v>8</v>
      </c>
      <c r="AE36" s="1" t="s">
        <v>8</v>
      </c>
      <c r="AH36" s="1" t="s">
        <v>8</v>
      </c>
      <c r="AI36" s="1" t="s">
        <v>8</v>
      </c>
      <c r="AJ36" s="1" t="s">
        <v>8</v>
      </c>
      <c r="AK36" s="1" t="s">
        <v>8</v>
      </c>
      <c r="AL36" s="1" t="s">
        <v>8</v>
      </c>
      <c r="AO36" s="1" t="s">
        <v>8</v>
      </c>
      <c r="AP36" s="1" t="s">
        <v>8</v>
      </c>
      <c r="AQ36" s="1" t="s">
        <v>8</v>
      </c>
      <c r="AR36" s="1" t="s">
        <v>8</v>
      </c>
      <c r="AS36" s="1" t="s">
        <v>8</v>
      </c>
      <c r="AV36" s="1" t="s">
        <v>8</v>
      </c>
      <c r="AW36" s="1" t="s">
        <v>8</v>
      </c>
      <c r="AX36" s="1" t="s">
        <v>6</v>
      </c>
      <c r="AY36" s="1" t="s">
        <v>8</v>
      </c>
      <c r="AZ36" s="1" t="s">
        <v>8</v>
      </c>
      <c r="BC36" s="1" t="s">
        <v>8</v>
      </c>
      <c r="BD36" s="1" t="s">
        <v>8</v>
      </c>
      <c r="BE36" s="1" t="s">
        <v>8</v>
      </c>
      <c r="BF36" s="1" t="s">
        <v>8</v>
      </c>
      <c r="BG36" s="1" t="s">
        <v>8</v>
      </c>
      <c r="BJ36" s="1" t="s">
        <v>6</v>
      </c>
      <c r="BK36" s="1" t="s">
        <v>8</v>
      </c>
      <c r="BL36" s="1" t="s">
        <v>8</v>
      </c>
      <c r="BM36" s="1" t="s">
        <v>8</v>
      </c>
      <c r="BN36" s="1" t="s">
        <v>8</v>
      </c>
      <c r="BQ36" s="1" t="s">
        <v>8</v>
      </c>
      <c r="BR36" s="1" t="s">
        <v>8</v>
      </c>
      <c r="BS36" s="1" t="s">
        <v>8</v>
      </c>
      <c r="BT36" s="1" t="s">
        <v>8</v>
      </c>
      <c r="BU36" s="1" t="s">
        <v>8</v>
      </c>
      <c r="BX36" s="1" t="s">
        <v>8</v>
      </c>
      <c r="BY36" s="1" t="s">
        <v>8</v>
      </c>
      <c r="BZ36" s="1" t="s">
        <v>8</v>
      </c>
      <c r="CA36" s="1" t="s">
        <v>8</v>
      </c>
      <c r="CB36" s="1" t="s">
        <v>8</v>
      </c>
      <c r="CE36" s="1" t="s">
        <v>8</v>
      </c>
      <c r="CF36" s="1" t="s">
        <v>8</v>
      </c>
      <c r="CG36" s="1" t="s">
        <v>8</v>
      </c>
      <c r="CH36" s="1" t="s">
        <v>8</v>
      </c>
      <c r="CI36" s="1" t="s">
        <v>8</v>
      </c>
      <c r="CL36" s="1" t="s">
        <v>8</v>
      </c>
      <c r="CM36" s="1" t="s">
        <v>8</v>
      </c>
      <c r="CN36" s="1" t="s">
        <v>8</v>
      </c>
      <c r="CO36" s="1" t="s">
        <v>8</v>
      </c>
      <c r="CP36" s="1" t="s">
        <v>8</v>
      </c>
      <c r="CS36" s="1" t="s">
        <v>140</v>
      </c>
      <c r="CT36" s="1" t="s">
        <v>8</v>
      </c>
      <c r="CU36" s="1" t="s">
        <v>8</v>
      </c>
      <c r="CV36" s="1" t="s">
        <v>8</v>
      </c>
      <c r="CW36" s="53" t="s">
        <v>8</v>
      </c>
      <c r="CZ36" s="1" t="s">
        <v>8</v>
      </c>
      <c r="DA36" s="1" t="s">
        <v>8</v>
      </c>
      <c r="DB36" s="1" t="s">
        <v>8</v>
      </c>
      <c r="DC36" s="1" t="s">
        <v>8</v>
      </c>
      <c r="DD36" s="1" t="s">
        <v>8</v>
      </c>
      <c r="DG36" s="1" t="s">
        <v>8</v>
      </c>
      <c r="DH36" s="1" t="s">
        <v>8</v>
      </c>
      <c r="DI36" s="1" t="s">
        <v>8</v>
      </c>
      <c r="DJ36" s="1" t="s">
        <v>6</v>
      </c>
      <c r="DK36" s="1" t="s">
        <v>6</v>
      </c>
      <c r="DN36" s="1" t="s">
        <v>8</v>
      </c>
      <c r="DO36" s="1" t="s">
        <v>140</v>
      </c>
      <c r="DP36" s="1" t="s">
        <v>8</v>
      </c>
      <c r="DQ36" s="1" t="s">
        <v>8</v>
      </c>
      <c r="DR36" s="1" t="s">
        <v>8</v>
      </c>
      <c r="DU36" s="1" t="s">
        <v>8</v>
      </c>
      <c r="DV36" s="1" t="s">
        <v>8</v>
      </c>
      <c r="DW36" s="1" t="s">
        <v>8</v>
      </c>
      <c r="DX36" s="1" t="s">
        <v>8</v>
      </c>
      <c r="DY36" s="1" t="s">
        <v>8</v>
      </c>
      <c r="EB36" s="1" t="s">
        <v>8</v>
      </c>
      <c r="EC36" s="1" t="s">
        <v>8</v>
      </c>
      <c r="ED36" s="1" t="s">
        <v>8</v>
      </c>
      <c r="EE36" s="1" t="s">
        <v>140</v>
      </c>
      <c r="EF36" s="1" t="s">
        <v>8</v>
      </c>
      <c r="EI36" s="1" t="s">
        <v>8</v>
      </c>
      <c r="EJ36" s="1" t="s">
        <v>8</v>
      </c>
      <c r="EK36" s="1" t="s">
        <v>8</v>
      </c>
      <c r="EL36" s="1" t="s">
        <v>8</v>
      </c>
      <c r="EM36" s="1" t="s">
        <v>6</v>
      </c>
      <c r="EP36" s="1" t="s">
        <v>140</v>
      </c>
      <c r="EQ36" s="1" t="s">
        <v>8</v>
      </c>
      <c r="ER36" s="1" t="s">
        <v>8</v>
      </c>
      <c r="ES36" s="1" t="s">
        <v>8</v>
      </c>
      <c r="ET36" s="1" t="s">
        <v>6</v>
      </c>
      <c r="EW36" s="1" t="s">
        <v>8</v>
      </c>
      <c r="EX36" s="1" t="s">
        <v>8</v>
      </c>
      <c r="EY36" s="1" t="s">
        <v>8</v>
      </c>
      <c r="EZ36" s="1" t="s">
        <v>8</v>
      </c>
      <c r="FA36" s="1" t="s">
        <v>8</v>
      </c>
      <c r="FD36" s="1" t="s">
        <v>8</v>
      </c>
      <c r="FE36" s="1" t="s">
        <v>8</v>
      </c>
      <c r="FF36" s="1" t="s">
        <v>8</v>
      </c>
      <c r="FG36" s="1" t="s">
        <v>0</v>
      </c>
      <c r="FH36" s="1" t="s">
        <v>8</v>
      </c>
      <c r="FK36" s="1" t="s">
        <v>8</v>
      </c>
      <c r="FL36" s="1" t="s">
        <v>8</v>
      </c>
      <c r="FM36" s="1" t="s">
        <v>8</v>
      </c>
      <c r="FN36" s="1" t="s">
        <v>8</v>
      </c>
      <c r="FO36" s="1" t="s">
        <v>8</v>
      </c>
      <c r="FR36" s="1" t="s">
        <v>8</v>
      </c>
      <c r="FS36" s="1" t="s">
        <v>8</v>
      </c>
      <c r="FT36" s="1" t="s">
        <v>8</v>
      </c>
      <c r="FU36" s="1" t="s">
        <v>8</v>
      </c>
      <c r="FV36" s="1" t="s">
        <v>8</v>
      </c>
      <c r="FZ36" s="1" t="s">
        <v>8</v>
      </c>
      <c r="GA36" s="1" t="s">
        <v>8</v>
      </c>
      <c r="GB36" s="1" t="s">
        <v>8</v>
      </c>
      <c r="GC36" s="1" t="s">
        <v>8</v>
      </c>
      <c r="GG36" s="1" t="s">
        <v>8</v>
      </c>
      <c r="GI36" s="1" t="s">
        <v>8</v>
      </c>
      <c r="GJ36" s="1" t="s">
        <v>8</v>
      </c>
      <c r="GM36" s="1" t="s">
        <v>6</v>
      </c>
      <c r="GN36" s="1" t="s">
        <v>6</v>
      </c>
      <c r="GO36" s="1" t="s">
        <v>6</v>
      </c>
      <c r="GP36" s="1" t="s">
        <v>8</v>
      </c>
      <c r="GQ36" s="1" t="s">
        <v>8</v>
      </c>
      <c r="GT36" s="1" t="s">
        <v>8</v>
      </c>
      <c r="GU36" s="1" t="s">
        <v>8</v>
      </c>
      <c r="GX36" s="1" t="s">
        <v>8</v>
      </c>
      <c r="HA36" s="1" t="s">
        <v>8</v>
      </c>
      <c r="HB36" s="1" t="s">
        <v>8</v>
      </c>
      <c r="HC36" s="1" t="s">
        <v>8</v>
      </c>
      <c r="HD36" s="1" t="s">
        <v>8</v>
      </c>
      <c r="HE36" s="1" t="s">
        <v>8</v>
      </c>
      <c r="HH36" s="1" t="s">
        <v>6</v>
      </c>
      <c r="HI36" s="1" t="s">
        <v>6</v>
      </c>
      <c r="HJ36" s="1" t="s">
        <v>6</v>
      </c>
      <c r="HK36" s="1" t="s">
        <v>6</v>
      </c>
      <c r="HL36" s="1" t="s">
        <v>6</v>
      </c>
      <c r="HO36" s="1" t="s">
        <v>6</v>
      </c>
      <c r="HP36" s="1" t="s">
        <v>6</v>
      </c>
      <c r="HQ36" s="1" t="s">
        <v>6</v>
      </c>
      <c r="HR36" s="1" t="s">
        <v>6</v>
      </c>
      <c r="HS36" s="1" t="s">
        <v>6</v>
      </c>
      <c r="HV36" s="1" t="s">
        <v>8</v>
      </c>
      <c r="HW36" s="1" t="s">
        <v>8</v>
      </c>
      <c r="HX36" s="1" t="s">
        <v>8</v>
      </c>
      <c r="HY36" s="1" t="s">
        <v>8</v>
      </c>
      <c r="HZ36" s="1" t="s">
        <v>8</v>
      </c>
      <c r="IC36" s="1" t="s">
        <v>8</v>
      </c>
      <c r="ID36" s="1" t="s">
        <v>8</v>
      </c>
      <c r="IE36" s="1" t="s">
        <v>8</v>
      </c>
      <c r="IF36" s="1" t="s">
        <v>8</v>
      </c>
      <c r="IG36" s="1" t="s">
        <v>8</v>
      </c>
      <c r="IJ36" s="1" t="s">
        <v>8</v>
      </c>
      <c r="IK36" s="1" t="s">
        <v>8</v>
      </c>
      <c r="IL36" s="1" t="s">
        <v>8</v>
      </c>
      <c r="IM36" s="1" t="s">
        <v>8</v>
      </c>
      <c r="IN36" s="1" t="s">
        <v>8</v>
      </c>
      <c r="IQ36" s="1" t="s">
        <v>8</v>
      </c>
      <c r="IR36" s="1" t="s">
        <v>8</v>
      </c>
      <c r="IS36" s="1" t="s">
        <v>8</v>
      </c>
      <c r="IT36" s="1" t="s">
        <v>8</v>
      </c>
      <c r="IU36" s="1" t="s">
        <v>8</v>
      </c>
      <c r="IX36" s="1" t="s">
        <v>8</v>
      </c>
      <c r="IY36" s="1" t="s">
        <v>6</v>
      </c>
      <c r="IZ36" s="1" t="s">
        <v>8</v>
      </c>
      <c r="JA36" s="1" t="s">
        <v>8</v>
      </c>
      <c r="JB36" s="1" t="s">
        <v>8</v>
      </c>
      <c r="JE36" s="1" t="s">
        <v>8</v>
      </c>
      <c r="JF36" s="1" t="s">
        <v>8</v>
      </c>
      <c r="JG36" s="1" t="s">
        <v>8</v>
      </c>
      <c r="JH36" s="1" t="s">
        <v>8</v>
      </c>
      <c r="JI36" s="1" t="s">
        <v>8</v>
      </c>
      <c r="JL36" s="1" t="s">
        <v>8</v>
      </c>
      <c r="JM36" s="1" t="s">
        <v>8</v>
      </c>
      <c r="JN36" s="1" t="s">
        <v>8</v>
      </c>
      <c r="JO36" s="1" t="s">
        <v>223</v>
      </c>
      <c r="JP36" s="1" t="s">
        <v>8</v>
      </c>
      <c r="JS36" s="1" t="s">
        <v>8</v>
      </c>
      <c r="JT36" s="1" t="s">
        <v>8</v>
      </c>
      <c r="JU36" s="1" t="s">
        <v>8</v>
      </c>
      <c r="JV36" s="1" t="s">
        <v>8</v>
      </c>
      <c r="JW36" s="1" t="s">
        <v>8</v>
      </c>
      <c r="JZ36" s="1" t="s">
        <v>8</v>
      </c>
      <c r="KA36" s="1" t="s">
        <v>8</v>
      </c>
      <c r="KB36" s="1" t="s">
        <v>8</v>
      </c>
      <c r="KC36" s="1" t="s">
        <v>8</v>
      </c>
      <c r="KD36" s="1" t="s">
        <v>8</v>
      </c>
      <c r="KG36" s="1" t="s">
        <v>8</v>
      </c>
      <c r="KH36" s="1" t="s">
        <v>8</v>
      </c>
      <c r="KI36" s="1" t="s">
        <v>8</v>
      </c>
      <c r="KJ36" s="1" t="s">
        <v>8</v>
      </c>
      <c r="KK36" s="1" t="s">
        <v>8</v>
      </c>
      <c r="KN36" s="1" t="s">
        <v>8</v>
      </c>
      <c r="KO36" s="1" t="s">
        <v>8</v>
      </c>
      <c r="KP36" s="1" t="s">
        <v>8</v>
      </c>
      <c r="KQ36" s="1" t="s">
        <v>8</v>
      </c>
      <c r="KR36" s="1" t="s">
        <v>8</v>
      </c>
      <c r="KU36" s="1" t="s">
        <v>8</v>
      </c>
      <c r="KV36" s="1" t="s">
        <v>8</v>
      </c>
      <c r="KW36" s="1" t="s">
        <v>8</v>
      </c>
      <c r="KX36" s="1" t="s">
        <v>8</v>
      </c>
      <c r="KY36" s="1" t="s">
        <v>8</v>
      </c>
      <c r="LB36" s="1" t="s">
        <v>8</v>
      </c>
      <c r="LC36" s="1" t="s">
        <v>8</v>
      </c>
      <c r="LD36" s="1" t="s">
        <v>8</v>
      </c>
      <c r="LE36" s="1" t="s">
        <v>8</v>
      </c>
      <c r="LF36" s="1" t="s">
        <v>8</v>
      </c>
      <c r="LI36" s="1" t="s">
        <v>8</v>
      </c>
      <c r="LJ36" s="1" t="s">
        <v>8</v>
      </c>
      <c r="LK36" s="1" t="s">
        <v>8</v>
      </c>
      <c r="LL36" s="1" t="s">
        <v>8</v>
      </c>
      <c r="LM36" s="1" t="s">
        <v>8</v>
      </c>
      <c r="LP36" s="1" t="s">
        <v>8</v>
      </c>
      <c r="LQ36" s="1" t="s">
        <v>8</v>
      </c>
      <c r="LR36" s="1" t="s">
        <v>8</v>
      </c>
      <c r="LS36" s="1" t="s">
        <v>8</v>
      </c>
      <c r="LT36" s="1" t="s">
        <v>8</v>
      </c>
      <c r="LW36" s="1" t="s">
        <v>8</v>
      </c>
      <c r="LX36" s="1" t="s">
        <v>8</v>
      </c>
      <c r="LY36" s="1" t="s">
        <v>8</v>
      </c>
      <c r="LZ36" s="1" t="s">
        <v>8</v>
      </c>
      <c r="MA36" s="1" t="s">
        <v>8</v>
      </c>
      <c r="MD36" s="1" t="s">
        <v>8</v>
      </c>
      <c r="ME36" s="1" t="s">
        <v>8</v>
      </c>
      <c r="MF36" s="1" t="s">
        <v>8</v>
      </c>
      <c r="MG36" s="1" t="s">
        <v>8</v>
      </c>
      <c r="MH36" s="1" t="s">
        <v>8</v>
      </c>
      <c r="MK36" s="1" t="s">
        <v>8</v>
      </c>
      <c r="ML36" s="1" t="s">
        <v>8</v>
      </c>
      <c r="MM36" s="1" t="s">
        <v>8</v>
      </c>
      <c r="MN36" s="1" t="s">
        <v>8</v>
      </c>
      <c r="MO36" s="1" t="s">
        <v>8</v>
      </c>
      <c r="MR36" s="1" t="s">
        <v>8</v>
      </c>
      <c r="MS36" s="1" t="s">
        <v>8</v>
      </c>
      <c r="MT36" s="1" t="s">
        <v>8</v>
      </c>
      <c r="MU36" s="1" t="s">
        <v>8</v>
      </c>
      <c r="MV36" s="1" t="s">
        <v>8</v>
      </c>
      <c r="MY36" s="1" t="s">
        <v>8</v>
      </c>
      <c r="MZ36" s="1" t="s">
        <v>8</v>
      </c>
      <c r="NA36" s="1" t="s">
        <v>8</v>
      </c>
      <c r="NB36" s="1" t="s">
        <v>8</v>
      </c>
      <c r="NC36" s="1" t="s">
        <v>8</v>
      </c>
    </row>
    <row r="37" spans="1:367">
      <c r="P37" s="1" t="s">
        <v>224</v>
      </c>
      <c r="X37" s="1" t="s">
        <v>224</v>
      </c>
      <c r="AO37" s="1" t="s">
        <v>225</v>
      </c>
      <c r="AP37" s="1" t="s">
        <v>226</v>
      </c>
      <c r="BW37" s="8"/>
      <c r="CH37" s="28"/>
      <c r="CI37" s="28"/>
      <c r="CT37" s="29"/>
      <c r="CU37" s="29"/>
      <c r="CV37" s="1" t="s">
        <v>227</v>
      </c>
      <c r="DC37" s="1" t="s">
        <v>228</v>
      </c>
      <c r="DQ37" s="1" t="s">
        <v>229</v>
      </c>
      <c r="DX37" s="1" t="s">
        <v>230</v>
      </c>
      <c r="EI37" s="1" t="s">
        <v>231</v>
      </c>
      <c r="EM37" s="17"/>
      <c r="FD37" s="1" t="s">
        <v>232</v>
      </c>
      <c r="FG37" s="1" t="s">
        <v>233</v>
      </c>
      <c r="FM37" s="1" t="s">
        <v>2</v>
      </c>
      <c r="FP37" s="1" t="s">
        <v>210</v>
      </c>
      <c r="FR37" s="1" t="s">
        <v>0</v>
      </c>
      <c r="FS37" s="1" t="s">
        <v>0</v>
      </c>
      <c r="FT37" s="1" t="s">
        <v>2</v>
      </c>
      <c r="FU37" s="1" t="s">
        <v>2</v>
      </c>
      <c r="FV37" s="1" t="s">
        <v>2</v>
      </c>
      <c r="FX37" s="1" t="s">
        <v>0</v>
      </c>
      <c r="FZ37" s="1" t="s">
        <v>2</v>
      </c>
      <c r="GE37" s="1" t="s">
        <v>0</v>
      </c>
      <c r="GF37" s="1" t="s">
        <v>0</v>
      </c>
      <c r="GG37" s="1" t="s">
        <v>2</v>
      </c>
      <c r="GI37" s="1" t="s">
        <v>2</v>
      </c>
      <c r="GM37" s="17"/>
      <c r="GN37" s="17"/>
      <c r="GO37" s="17"/>
      <c r="GP37" s="1" t="s">
        <v>2</v>
      </c>
      <c r="GR37" s="1" t="s">
        <v>0</v>
      </c>
      <c r="GT37" s="1" t="s">
        <v>2</v>
      </c>
      <c r="GV37" s="1" t="s">
        <v>4</v>
      </c>
      <c r="HA37" s="1" t="s">
        <v>2</v>
      </c>
      <c r="IT37" s="1" t="s">
        <v>234</v>
      </c>
      <c r="JO37" s="1" t="s">
        <v>235</v>
      </c>
      <c r="JS37" s="1" t="s">
        <v>236</v>
      </c>
      <c r="JT37" s="1" t="s">
        <v>236</v>
      </c>
      <c r="JU37" s="1" t="s">
        <v>236</v>
      </c>
      <c r="JV37" s="1" t="s">
        <v>236</v>
      </c>
      <c r="JW37" s="1" t="s">
        <v>236</v>
      </c>
      <c r="JZ37" s="1" t="s">
        <v>236</v>
      </c>
      <c r="KA37" s="1" t="s">
        <v>236</v>
      </c>
      <c r="KB37" s="1" t="s">
        <v>236</v>
      </c>
      <c r="KC37" s="1" t="s">
        <v>236</v>
      </c>
      <c r="KD37" s="1" t="s">
        <v>236</v>
      </c>
      <c r="MB37" s="17"/>
      <c r="ME37" s="44"/>
    </row>
    <row r="39" spans="1:367">
      <c r="DO39" s="1" t="s">
        <v>237</v>
      </c>
    </row>
    <row r="42" spans="1:367">
      <c r="FD42">
        <f t="shared" ref="FD42:HF42" si="0">COUNTIF(FD14:FD38,"o")/COUNTIF(FD14:FD38,"o")+COUNTIF(FD14:FD38,"m")/COUNTIF(FD14:FD38,"m")+COUNTIF(FD14:FD38,"n")/COUNTIF(FD14:FD38,"n")</f>
        <v>3</v>
      </c>
      <c r="FE42">
        <f t="shared" si="0"/>
        <v>3</v>
      </c>
      <c r="FF42">
        <f t="shared" si="0"/>
        <v>3</v>
      </c>
      <c r="FG42">
        <f t="shared" si="0"/>
        <v>3</v>
      </c>
      <c r="FH42">
        <f t="shared" si="0"/>
        <v>3</v>
      </c>
      <c r="FI42">
        <f t="shared" si="0"/>
        <v>3</v>
      </c>
      <c r="FJ42">
        <f t="shared" si="0"/>
        <v>3</v>
      </c>
      <c r="FK42">
        <f t="shared" si="0"/>
        <v>3</v>
      </c>
      <c r="FL42">
        <f t="shared" si="0"/>
        <v>3</v>
      </c>
      <c r="FM42">
        <f t="shared" si="0"/>
        <v>3</v>
      </c>
      <c r="FN42">
        <f t="shared" si="0"/>
        <v>3</v>
      </c>
      <c r="FO42">
        <f t="shared" si="0"/>
        <v>3</v>
      </c>
      <c r="FP42">
        <f t="shared" si="0"/>
        <v>3</v>
      </c>
      <c r="FQ42" t="e">
        <f t="shared" si="0"/>
        <v>#DIV/0!</v>
      </c>
      <c r="FR42">
        <f t="shared" si="0"/>
        <v>3</v>
      </c>
      <c r="FS42">
        <f t="shared" si="0"/>
        <v>3</v>
      </c>
      <c r="FT42">
        <f t="shared" si="0"/>
        <v>3</v>
      </c>
      <c r="FU42">
        <f t="shared" si="0"/>
        <v>3</v>
      </c>
      <c r="FV42">
        <f t="shared" si="0"/>
        <v>3</v>
      </c>
      <c r="FW42">
        <f t="shared" si="0"/>
        <v>3</v>
      </c>
      <c r="FX42">
        <f t="shared" si="0"/>
        <v>3</v>
      </c>
      <c r="FY42">
        <f t="shared" si="0"/>
        <v>3</v>
      </c>
      <c r="FZ42">
        <f t="shared" si="0"/>
        <v>3</v>
      </c>
      <c r="GA42">
        <f t="shared" si="0"/>
        <v>3</v>
      </c>
      <c r="GB42">
        <f t="shared" si="0"/>
        <v>3</v>
      </c>
      <c r="GC42">
        <f t="shared" si="0"/>
        <v>3</v>
      </c>
      <c r="GD42">
        <f t="shared" si="0"/>
        <v>3</v>
      </c>
      <c r="GE42">
        <f t="shared" si="0"/>
        <v>3</v>
      </c>
      <c r="GF42">
        <f t="shared" si="0"/>
        <v>3</v>
      </c>
      <c r="GG42">
        <f t="shared" si="0"/>
        <v>3</v>
      </c>
      <c r="GH42">
        <f t="shared" si="0"/>
        <v>3</v>
      </c>
      <c r="GI42">
        <f t="shared" si="0"/>
        <v>3</v>
      </c>
      <c r="GJ42">
        <f t="shared" si="0"/>
        <v>3</v>
      </c>
      <c r="GK42">
        <f t="shared" si="0"/>
        <v>3</v>
      </c>
      <c r="GL42">
        <f t="shared" si="0"/>
        <v>3</v>
      </c>
      <c r="GM42">
        <f t="shared" si="0"/>
        <v>3</v>
      </c>
      <c r="GN42">
        <f t="shared" si="0"/>
        <v>3</v>
      </c>
      <c r="GO42">
        <f t="shared" si="0"/>
        <v>3</v>
      </c>
      <c r="GP42">
        <f t="shared" si="0"/>
        <v>3</v>
      </c>
      <c r="GQ42">
        <f t="shared" si="0"/>
        <v>3</v>
      </c>
      <c r="GR42">
        <f t="shared" si="0"/>
        <v>3</v>
      </c>
      <c r="GS42">
        <f t="shared" si="0"/>
        <v>3</v>
      </c>
      <c r="GT42">
        <f t="shared" si="0"/>
        <v>3</v>
      </c>
      <c r="GU42">
        <f t="shared" si="0"/>
        <v>3</v>
      </c>
      <c r="GV42">
        <f t="shared" si="0"/>
        <v>3</v>
      </c>
      <c r="GW42">
        <f t="shared" si="0"/>
        <v>3</v>
      </c>
      <c r="GX42">
        <f t="shared" si="0"/>
        <v>3</v>
      </c>
      <c r="GY42">
        <f t="shared" si="0"/>
        <v>3</v>
      </c>
      <c r="GZ42">
        <f t="shared" si="0"/>
        <v>3</v>
      </c>
      <c r="HA42">
        <f t="shared" si="0"/>
        <v>3</v>
      </c>
      <c r="HB42">
        <f t="shared" si="0"/>
        <v>3</v>
      </c>
      <c r="HC42">
        <f t="shared" si="0"/>
        <v>3</v>
      </c>
      <c r="HD42">
        <f t="shared" si="0"/>
        <v>3</v>
      </c>
      <c r="HE42">
        <f t="shared" si="0"/>
        <v>3</v>
      </c>
      <c r="HF42">
        <f t="shared" si="0"/>
        <v>3</v>
      </c>
      <c r="HG42">
        <f>COUNTIF(HG14:HG38,"o")/COUNTIF(HG14:HG38,"o")+COUNTIF(HG14:HG38,"m")/COUNTIF(HG14:HG38,"m")+COUNTIF(HG14:HG38,"n")/COUNTIF(HG14:HG38,"n")</f>
        <v>3</v>
      </c>
      <c r="HH42">
        <f t="shared" ref="HH42:JK42" si="1">COUNTIF(HH14:HH38,"o")/COUNTIF(HH14:HH38,"o")+COUNTIF(HH14:HH38,"m")/COUNTIF(HH14:HH38,"m")+COUNTIF(HH14:HH38,"n")/COUNTIF(HH14:HH38,"n")</f>
        <v>3</v>
      </c>
      <c r="HI42">
        <f t="shared" si="1"/>
        <v>3</v>
      </c>
      <c r="HJ42">
        <f t="shared" si="1"/>
        <v>3</v>
      </c>
      <c r="HK42">
        <f t="shared" si="1"/>
        <v>3</v>
      </c>
      <c r="HL42">
        <f t="shared" si="1"/>
        <v>3</v>
      </c>
      <c r="HM42">
        <f t="shared" si="1"/>
        <v>3</v>
      </c>
      <c r="HN42">
        <f t="shared" si="1"/>
        <v>3</v>
      </c>
      <c r="HO42">
        <f t="shared" si="1"/>
        <v>3</v>
      </c>
      <c r="HP42" t="e">
        <f t="shared" si="1"/>
        <v>#DIV/0!</v>
      </c>
      <c r="HQ42" t="e">
        <f t="shared" si="1"/>
        <v>#DIV/0!</v>
      </c>
      <c r="HR42" t="e">
        <f t="shared" si="1"/>
        <v>#DIV/0!</v>
      </c>
      <c r="HS42" t="e">
        <f t="shared" si="1"/>
        <v>#DIV/0!</v>
      </c>
      <c r="HT42" t="e">
        <f t="shared" si="1"/>
        <v>#DIV/0!</v>
      </c>
      <c r="HU42" t="e">
        <f t="shared" si="1"/>
        <v>#DIV/0!</v>
      </c>
      <c r="HV42">
        <f t="shared" si="1"/>
        <v>3</v>
      </c>
      <c r="HW42">
        <f t="shared" si="1"/>
        <v>3</v>
      </c>
      <c r="HX42" t="e">
        <f t="shared" si="1"/>
        <v>#DIV/0!</v>
      </c>
      <c r="HY42" t="e">
        <f t="shared" si="1"/>
        <v>#DIV/0!</v>
      </c>
      <c r="HZ42" t="e">
        <f t="shared" si="1"/>
        <v>#DIV/0!</v>
      </c>
      <c r="IA42" t="e">
        <f t="shared" si="1"/>
        <v>#DIV/0!</v>
      </c>
      <c r="IB42" t="e">
        <f t="shared" si="1"/>
        <v>#DIV/0!</v>
      </c>
      <c r="IC42" t="e">
        <f t="shared" si="1"/>
        <v>#DIV/0!</v>
      </c>
      <c r="ID42">
        <f t="shared" si="1"/>
        <v>3</v>
      </c>
      <c r="IE42">
        <f t="shared" si="1"/>
        <v>3</v>
      </c>
      <c r="IF42" t="e">
        <f t="shared" si="1"/>
        <v>#DIV/0!</v>
      </c>
      <c r="IG42" t="e">
        <f t="shared" si="1"/>
        <v>#DIV/0!</v>
      </c>
      <c r="IH42" t="e">
        <f t="shared" si="1"/>
        <v>#DIV/0!</v>
      </c>
      <c r="II42" t="e">
        <f t="shared" si="1"/>
        <v>#DIV/0!</v>
      </c>
      <c r="IJ42" t="e">
        <f t="shared" si="1"/>
        <v>#DIV/0!</v>
      </c>
      <c r="IK42" t="e">
        <f t="shared" si="1"/>
        <v>#DIV/0!</v>
      </c>
      <c r="IL42">
        <f t="shared" si="1"/>
        <v>3</v>
      </c>
      <c r="IM42">
        <f t="shared" si="1"/>
        <v>3</v>
      </c>
      <c r="IN42">
        <f t="shared" si="1"/>
        <v>3</v>
      </c>
      <c r="IO42" t="e">
        <f t="shared" si="1"/>
        <v>#DIV/0!</v>
      </c>
      <c r="IP42">
        <f t="shared" si="1"/>
        <v>3</v>
      </c>
      <c r="IQ42" t="e">
        <f t="shared" si="1"/>
        <v>#DIV/0!</v>
      </c>
      <c r="IR42">
        <f t="shared" si="1"/>
        <v>3</v>
      </c>
      <c r="IS42">
        <f t="shared" si="1"/>
        <v>3</v>
      </c>
      <c r="IT42">
        <f t="shared" si="1"/>
        <v>3</v>
      </c>
      <c r="IU42">
        <f t="shared" si="1"/>
        <v>3</v>
      </c>
      <c r="IV42" t="e">
        <f t="shared" si="1"/>
        <v>#DIV/0!</v>
      </c>
      <c r="IW42" t="e">
        <f t="shared" si="1"/>
        <v>#DIV/0!</v>
      </c>
      <c r="IX42" t="e">
        <f t="shared" si="1"/>
        <v>#DIV/0!</v>
      </c>
      <c r="IY42" t="e">
        <f t="shared" si="1"/>
        <v>#DIV/0!</v>
      </c>
      <c r="IZ42" t="e">
        <f t="shared" si="1"/>
        <v>#DIV/0!</v>
      </c>
      <c r="JA42" t="e">
        <f t="shared" si="1"/>
        <v>#DIV/0!</v>
      </c>
      <c r="JB42">
        <f t="shared" si="1"/>
        <v>3</v>
      </c>
      <c r="JC42">
        <f t="shared" si="1"/>
        <v>3</v>
      </c>
      <c r="JD42">
        <f t="shared" si="1"/>
        <v>3</v>
      </c>
      <c r="JE42">
        <f t="shared" si="1"/>
        <v>3</v>
      </c>
      <c r="JF42">
        <f t="shared" si="1"/>
        <v>3</v>
      </c>
      <c r="JG42">
        <f t="shared" si="1"/>
        <v>3</v>
      </c>
      <c r="JH42">
        <f t="shared" si="1"/>
        <v>3</v>
      </c>
      <c r="JI42">
        <f t="shared" si="1"/>
        <v>3</v>
      </c>
      <c r="JJ42">
        <f t="shared" si="1"/>
        <v>3</v>
      </c>
      <c r="JK42">
        <f t="shared" si="1"/>
        <v>3</v>
      </c>
    </row>
  </sheetData>
  <conditionalFormatting sqref="A5">
    <cfRule type="cellIs" dxfId="927" priority="2286" operator="equal">
      <formula>"f"</formula>
    </cfRule>
    <cfRule type="containsText" dxfId="926" priority="2287" operator="containsText" text="Feestdag">
      <formula>NOT(ISERROR(SEARCH("Feestdag",A5)))</formula>
    </cfRule>
  </conditionalFormatting>
  <conditionalFormatting sqref="A31:L33">
    <cfRule type="cellIs" dxfId="925" priority="2135" operator="equal">
      <formula>"r"</formula>
    </cfRule>
    <cfRule type="cellIs" dxfId="924" priority="2136" operator="equal">
      <formula>"z"</formula>
    </cfRule>
    <cfRule type="cellIs" dxfId="923" priority="2137" operator="equal">
      <formula>"x"</formula>
    </cfRule>
    <cfRule type="cellIs" dxfId="922" priority="2138" operator="equal">
      <formula>"v"</formula>
    </cfRule>
    <cfRule type="cellIs" dxfId="921" priority="2139" operator="equal">
      <formula>"n"</formula>
    </cfRule>
    <cfRule type="cellIs" dxfId="920" priority="2140" operator="equal">
      <formula>"m"</formula>
    </cfRule>
    <cfRule type="cellIs" dxfId="919" priority="2141" operator="equal">
      <formula>"o"</formula>
    </cfRule>
  </conditionalFormatting>
  <conditionalFormatting sqref="A34:L35">
    <cfRule type="cellIs" dxfId="918" priority="2126" operator="equal">
      <formula>"r"</formula>
    </cfRule>
    <cfRule type="cellIs" dxfId="917" priority="2127" operator="equal">
      <formula>"z"</formula>
    </cfRule>
    <cfRule type="cellIs" dxfId="916" priority="2128" operator="equal">
      <formula>"x"</formula>
    </cfRule>
    <cfRule type="cellIs" dxfId="915" priority="2129" operator="equal">
      <formula>"v"</formula>
    </cfRule>
    <cfRule type="cellIs" dxfId="914" priority="2130" operator="equal">
      <formula>"n"</formula>
    </cfRule>
    <cfRule type="cellIs" dxfId="913" priority="2131" operator="equal">
      <formula>"m"</formula>
    </cfRule>
    <cfRule type="cellIs" dxfId="912" priority="2132" operator="equal">
      <formula>"o"</formula>
    </cfRule>
  </conditionalFormatting>
  <conditionalFormatting sqref="A36:L36">
    <cfRule type="cellIs" dxfId="911" priority="2117" operator="equal">
      <formula>"r"</formula>
    </cfRule>
    <cfRule type="cellIs" dxfId="910" priority="2118" operator="equal">
      <formula>"z"</formula>
    </cfRule>
    <cfRule type="cellIs" dxfId="909" priority="2119" operator="equal">
      <formula>"x"</formula>
    </cfRule>
    <cfRule type="cellIs" dxfId="908" priority="2120" operator="equal">
      <formula>"v"</formula>
    </cfRule>
    <cfRule type="cellIs" dxfId="907" priority="2121" operator="equal">
      <formula>"n"</formula>
    </cfRule>
    <cfRule type="cellIs" dxfId="906" priority="2122" operator="equal">
      <formula>"m"</formula>
    </cfRule>
    <cfRule type="cellIs" dxfId="905" priority="2123" operator="equal">
      <formula>"o"</formula>
    </cfRule>
  </conditionalFormatting>
  <conditionalFormatting sqref="A24:CA25">
    <cfRule type="cellIs" dxfId="904" priority="3303" operator="equal">
      <formula>"r"</formula>
    </cfRule>
    <cfRule type="cellIs" dxfId="903" priority="3304" operator="equal">
      <formula>"z"</formula>
    </cfRule>
    <cfRule type="cellIs" dxfId="902" priority="3305" operator="equal">
      <formula>"x"</formula>
    </cfRule>
    <cfRule type="cellIs" dxfId="901" priority="3306" operator="equal">
      <formula>"v"</formula>
    </cfRule>
    <cfRule type="cellIs" dxfId="900" priority="3307" operator="equal">
      <formula>"n"</formula>
    </cfRule>
    <cfRule type="cellIs" dxfId="899" priority="3308" operator="equal">
      <formula>"m"</formula>
    </cfRule>
    <cfRule type="cellIs" dxfId="898" priority="3309" operator="equal">
      <formula>"o"</formula>
    </cfRule>
  </conditionalFormatting>
  <conditionalFormatting sqref="A20:CK23">
    <cfRule type="cellIs" dxfId="897" priority="2038" operator="equal">
      <formula>"r"</formula>
    </cfRule>
    <cfRule type="cellIs" dxfId="896" priority="2039" operator="equal">
      <formula>"z"</formula>
    </cfRule>
    <cfRule type="cellIs" dxfId="895" priority="2040" operator="equal">
      <formula>"x"</formula>
    </cfRule>
    <cfRule type="cellIs" dxfId="894" priority="2041" operator="equal">
      <formula>"v"</formula>
    </cfRule>
    <cfRule type="cellIs" dxfId="893" priority="2042" operator="equal">
      <formula>"n"</formula>
    </cfRule>
    <cfRule type="cellIs" dxfId="892" priority="2043" operator="equal">
      <formula>"m"</formula>
    </cfRule>
    <cfRule type="cellIs" dxfId="891" priority="2044" operator="equal">
      <formula>"o"</formula>
    </cfRule>
  </conditionalFormatting>
  <conditionalFormatting sqref="A17:DD19">
    <cfRule type="cellIs" dxfId="890" priority="1345" operator="equal">
      <formula>"r"</formula>
    </cfRule>
    <cfRule type="cellIs" dxfId="889" priority="1346" operator="equal">
      <formula>"z"</formula>
    </cfRule>
    <cfRule type="cellIs" dxfId="888" priority="1347" operator="equal">
      <formula>"x"</formula>
    </cfRule>
    <cfRule type="cellIs" dxfId="887" priority="1348" operator="equal">
      <formula>"v"</formula>
    </cfRule>
    <cfRule type="cellIs" dxfId="886" priority="1349" operator="equal">
      <formula>"n"</formula>
    </cfRule>
    <cfRule type="cellIs" dxfId="885" priority="1350" operator="equal">
      <formula>"m"</formula>
    </cfRule>
    <cfRule type="cellIs" dxfId="884" priority="1351" operator="equal">
      <formula>"o"</formula>
    </cfRule>
  </conditionalFormatting>
  <conditionalFormatting sqref="A1:XFD11 DG23 FY25:GB25 JI25:JK25 JQ25:KC25 A26:B30 CZ30:DD31 BA30:BB34 CZ32:CZ33 DB32:DD33 DH32:DH33 CZ34:DD36 BB35 BA36:BB36 A42:FC42 JL42:XFD42 A43:XFD1048576">
    <cfRule type="cellIs" dxfId="883" priority="3569" operator="equal">
      <formula>"r"</formula>
    </cfRule>
    <cfRule type="cellIs" dxfId="882" priority="3570" operator="equal">
      <formula>"z"</formula>
    </cfRule>
    <cfRule type="cellIs" dxfId="881" priority="3571" operator="equal">
      <formula>"x"</formula>
    </cfRule>
    <cfRule type="cellIs" dxfId="880" priority="3572" operator="equal">
      <formula>"v"</formula>
    </cfRule>
    <cfRule type="cellIs" dxfId="879" priority="3573" operator="equal">
      <formula>"n"</formula>
    </cfRule>
    <cfRule type="cellIs" dxfId="878" priority="3574" operator="equal">
      <formula>"m"</formula>
    </cfRule>
    <cfRule type="cellIs" dxfId="877" priority="3575" operator="equal">
      <formula>"o"</formula>
    </cfRule>
  </conditionalFormatting>
  <conditionalFormatting sqref="A12:XFD16">
    <cfRule type="cellIs" dxfId="876" priority="1478" operator="equal">
      <formula>"r"</formula>
    </cfRule>
    <cfRule type="cellIs" dxfId="875" priority="1479" operator="equal">
      <formula>"z"</formula>
    </cfRule>
    <cfRule type="cellIs" dxfId="874" priority="1480" operator="equal">
      <formula>"x"</formula>
    </cfRule>
    <cfRule type="cellIs" dxfId="873" priority="1481" operator="equal">
      <formula>"v"</formula>
    </cfRule>
    <cfRule type="cellIs" dxfId="872" priority="1482" operator="equal">
      <formula>"n"</formula>
    </cfRule>
    <cfRule type="cellIs" dxfId="871" priority="1483" operator="equal">
      <formula>"m"</formula>
    </cfRule>
    <cfRule type="cellIs" dxfId="870" priority="1484" operator="equal">
      <formula>"o"</formula>
    </cfRule>
  </conditionalFormatting>
  <conditionalFormatting sqref="A37:XFD41">
    <cfRule type="cellIs" dxfId="869" priority="1002" operator="equal">
      <formula>"r"</formula>
    </cfRule>
    <cfRule type="cellIs" dxfId="868" priority="1003" operator="equal">
      <formula>"z"</formula>
    </cfRule>
    <cfRule type="cellIs" dxfId="867" priority="1004" operator="equal">
      <formula>"x"</formula>
    </cfRule>
    <cfRule type="cellIs" dxfId="866" priority="1005" operator="equal">
      <formula>"v"</formula>
    </cfRule>
    <cfRule type="cellIs" dxfId="865" priority="1006" operator="equal">
      <formula>"n"</formula>
    </cfRule>
    <cfRule type="cellIs" dxfId="864" priority="1007" operator="equal">
      <formula>"m"</formula>
    </cfRule>
    <cfRule type="cellIs" dxfId="863" priority="1008" operator="equal">
      <formula>"o"</formula>
    </cfRule>
  </conditionalFormatting>
  <conditionalFormatting sqref="C30">
    <cfRule type="cellIs" dxfId="862" priority="2142" operator="equal">
      <formula>"f"</formula>
    </cfRule>
    <cfRule type="containsText" dxfId="861" priority="2143" operator="containsText" text="Feestdag">
      <formula>NOT(ISERROR(SEARCH("Feestdag",C30)))</formula>
    </cfRule>
  </conditionalFormatting>
  <conditionalFormatting sqref="C32">
    <cfRule type="cellIs" dxfId="860" priority="2133" operator="equal">
      <formula>"f"</formula>
    </cfRule>
    <cfRule type="containsText" dxfId="859" priority="2134" operator="containsText" text="Feestdag">
      <formula>NOT(ISERROR(SEARCH("Feestdag",C32)))</formula>
    </cfRule>
  </conditionalFormatting>
  <conditionalFormatting sqref="C34">
    <cfRule type="cellIs" dxfId="858" priority="2124" operator="equal">
      <formula>"f"</formula>
    </cfRule>
    <cfRule type="containsText" dxfId="857" priority="2125" operator="containsText" text="Feestdag">
      <formula>NOT(ISERROR(SEARCH("Feestdag",C34)))</formula>
    </cfRule>
  </conditionalFormatting>
  <conditionalFormatting sqref="C36">
    <cfRule type="cellIs" dxfId="856" priority="2115" operator="equal">
      <formula>"f"</formula>
    </cfRule>
    <cfRule type="containsText" dxfId="855" priority="2116" operator="containsText" text="Feestdag">
      <formula>NOT(ISERROR(SEARCH("Feestdag",C36)))</formula>
    </cfRule>
  </conditionalFormatting>
  <conditionalFormatting sqref="C26:J27">
    <cfRule type="cellIs" dxfId="854" priority="3212" operator="equal">
      <formula>"r"</formula>
    </cfRule>
    <cfRule type="cellIs" dxfId="853" priority="3213" operator="equal">
      <formula>"z"</formula>
    </cfRule>
    <cfRule type="cellIs" dxfId="852" priority="3214" operator="equal">
      <formula>"x"</formula>
    </cfRule>
    <cfRule type="cellIs" dxfId="851" priority="3215" operator="equal">
      <formula>"v"</formula>
    </cfRule>
    <cfRule type="cellIs" dxfId="850" priority="3216" operator="equal">
      <formula>"n"</formula>
    </cfRule>
    <cfRule type="cellIs" dxfId="849" priority="3217" operator="equal">
      <formula>"m"</formula>
    </cfRule>
    <cfRule type="cellIs" dxfId="848" priority="3218" operator="equal">
      <formula>"o"</formula>
    </cfRule>
  </conditionalFormatting>
  <conditionalFormatting sqref="C30:L30">
    <cfRule type="cellIs" dxfId="847" priority="2144" operator="equal">
      <formula>"r"</formula>
    </cfRule>
    <cfRule type="cellIs" dxfId="846" priority="2145" operator="equal">
      <formula>"z"</formula>
    </cfRule>
    <cfRule type="cellIs" dxfId="845" priority="2146" operator="equal">
      <formula>"x"</formula>
    </cfRule>
    <cfRule type="cellIs" dxfId="844" priority="2147" operator="equal">
      <formula>"v"</formula>
    </cfRule>
    <cfRule type="cellIs" dxfId="843" priority="2148" operator="equal">
      <formula>"n"</formula>
    </cfRule>
    <cfRule type="cellIs" dxfId="842" priority="2149" operator="equal">
      <formula>"m"</formula>
    </cfRule>
    <cfRule type="cellIs" dxfId="841" priority="2150" operator="equal">
      <formula>"o"</formula>
    </cfRule>
  </conditionalFormatting>
  <conditionalFormatting sqref="C28:AK29">
    <cfRule type="cellIs" dxfId="840" priority="2045" operator="equal">
      <formula>"r"</formula>
    </cfRule>
    <cfRule type="cellIs" dxfId="839" priority="2046" operator="equal">
      <formula>"z"</formula>
    </cfRule>
    <cfRule type="cellIs" dxfId="838" priority="2047" operator="equal">
      <formula>"x"</formula>
    </cfRule>
    <cfRule type="cellIs" dxfId="837" priority="2048" operator="equal">
      <formula>"v"</formula>
    </cfRule>
    <cfRule type="cellIs" dxfId="836" priority="2049" operator="equal">
      <formula>"n"</formula>
    </cfRule>
    <cfRule type="cellIs" dxfId="835" priority="2050" operator="equal">
      <formula>"m"</formula>
    </cfRule>
    <cfRule type="cellIs" dxfId="834" priority="2051" operator="equal">
      <formula>"o"</formula>
    </cfRule>
  </conditionalFormatting>
  <conditionalFormatting sqref="K27:AK27">
    <cfRule type="cellIs" dxfId="833" priority="3219" operator="equal">
      <formula>"r"</formula>
    </cfRule>
    <cfRule type="cellIs" dxfId="832" priority="3220" operator="equal">
      <formula>"z"</formula>
    </cfRule>
    <cfRule type="cellIs" dxfId="831" priority="3221" operator="equal">
      <formula>"x"</formula>
    </cfRule>
    <cfRule type="cellIs" dxfId="830" priority="3222" operator="equal">
      <formula>"v"</formula>
    </cfRule>
    <cfRule type="cellIs" dxfId="829" priority="3223" operator="equal">
      <formula>"n"</formula>
    </cfRule>
    <cfRule type="cellIs" dxfId="828" priority="3224" operator="equal">
      <formula>"m"</formula>
    </cfRule>
    <cfRule type="cellIs" dxfId="827" priority="3225" operator="equal">
      <formula>"o"</formula>
    </cfRule>
  </conditionalFormatting>
  <conditionalFormatting sqref="K26:CA26">
    <cfRule type="cellIs" dxfId="826" priority="1982" operator="equal">
      <formula>"r"</formula>
    </cfRule>
    <cfRule type="cellIs" dxfId="825" priority="1983" operator="equal">
      <formula>"z"</formula>
    </cfRule>
    <cfRule type="cellIs" dxfId="824" priority="1984" operator="equal">
      <formula>"x"</formula>
    </cfRule>
    <cfRule type="cellIs" dxfId="823" priority="1985" operator="equal">
      <formula>"v"</formula>
    </cfRule>
    <cfRule type="cellIs" dxfId="822" priority="1986" operator="equal">
      <formula>"n"</formula>
    </cfRule>
    <cfRule type="cellIs" dxfId="821" priority="1987" operator="equal">
      <formula>"m"</formula>
    </cfRule>
    <cfRule type="cellIs" dxfId="820" priority="1988" operator="equal">
      <formula>"o"</formula>
    </cfRule>
  </conditionalFormatting>
  <conditionalFormatting sqref="M30:AZ36">
    <cfRule type="cellIs" dxfId="819" priority="1667" operator="equal">
      <formula>"r"</formula>
    </cfRule>
    <cfRule type="cellIs" dxfId="818" priority="1668" operator="equal">
      <formula>"z"</formula>
    </cfRule>
    <cfRule type="cellIs" dxfId="817" priority="1669" operator="equal">
      <formula>"x"</formula>
    </cfRule>
    <cfRule type="cellIs" dxfId="816" priority="1670" operator="equal">
      <formula>"v"</formula>
    </cfRule>
    <cfRule type="cellIs" dxfId="815" priority="1671" operator="equal">
      <formula>"n"</formula>
    </cfRule>
    <cfRule type="cellIs" dxfId="814" priority="1672" operator="equal">
      <formula>"m"</formula>
    </cfRule>
    <cfRule type="cellIs" dxfId="813" priority="1673" operator="equal">
      <formula>"o"</formula>
    </cfRule>
  </conditionalFormatting>
  <conditionalFormatting sqref="AL27:DF29">
    <cfRule type="cellIs" dxfId="812" priority="1352" operator="equal">
      <formula>"r"</formula>
    </cfRule>
    <cfRule type="cellIs" dxfId="811" priority="1353" operator="equal">
      <formula>"z"</formula>
    </cfRule>
    <cfRule type="cellIs" dxfId="810" priority="1354" operator="equal">
      <formula>"x"</formula>
    </cfRule>
    <cfRule type="cellIs" dxfId="809" priority="1355" operator="equal">
      <formula>"v"</formula>
    </cfRule>
    <cfRule type="cellIs" dxfId="808" priority="1356" operator="equal">
      <formula>"n"</formula>
    </cfRule>
    <cfRule type="cellIs" dxfId="807" priority="1357" operator="equal">
      <formula>"m"</formula>
    </cfRule>
    <cfRule type="cellIs" dxfId="806" priority="1358" operator="equal">
      <formula>"o"</formula>
    </cfRule>
  </conditionalFormatting>
  <conditionalFormatting sqref="BC30:CR36">
    <cfRule type="cellIs" dxfId="805" priority="1618" operator="equal">
      <formula>"r"</formula>
    </cfRule>
    <cfRule type="cellIs" dxfId="804" priority="1619" operator="equal">
      <formula>"z"</formula>
    </cfRule>
    <cfRule type="cellIs" dxfId="803" priority="1620" operator="equal">
      <formula>"x"</formula>
    </cfRule>
    <cfRule type="cellIs" dxfId="802" priority="1621" operator="equal">
      <formula>"v"</formula>
    </cfRule>
    <cfRule type="cellIs" dxfId="801" priority="1622" operator="equal">
      <formula>"n"</formula>
    </cfRule>
    <cfRule type="cellIs" dxfId="800" priority="1623" operator="equal">
      <formula>"m"</formula>
    </cfRule>
    <cfRule type="cellIs" dxfId="799" priority="1624" operator="equal">
      <formula>"o"</formula>
    </cfRule>
  </conditionalFormatting>
  <conditionalFormatting sqref="CB24:CK24">
    <cfRule type="cellIs" dxfId="798" priority="3296" operator="equal">
      <formula>"r"</formula>
    </cfRule>
    <cfRule type="cellIs" dxfId="797" priority="3297" operator="equal">
      <formula>"z"</formula>
    </cfRule>
    <cfRule type="cellIs" dxfId="796" priority="3298" operator="equal">
      <formula>"x"</formula>
    </cfRule>
    <cfRule type="cellIs" dxfId="795" priority="3299" operator="equal">
      <formula>"v"</formula>
    </cfRule>
    <cfRule type="cellIs" dxfId="794" priority="3300" operator="equal">
      <formula>"n"</formula>
    </cfRule>
    <cfRule type="cellIs" dxfId="793" priority="3301" operator="equal">
      <formula>"m"</formula>
    </cfRule>
    <cfRule type="cellIs" dxfId="792" priority="3302" operator="equal">
      <formula>"o"</formula>
    </cfRule>
  </conditionalFormatting>
  <conditionalFormatting sqref="CB25:DF26">
    <cfRule type="cellIs" dxfId="791" priority="1310" operator="equal">
      <formula>"r"</formula>
    </cfRule>
    <cfRule type="cellIs" dxfId="790" priority="1311" operator="equal">
      <formula>"z"</formula>
    </cfRule>
    <cfRule type="cellIs" dxfId="789" priority="1312" operator="equal">
      <formula>"x"</formula>
    </cfRule>
    <cfRule type="cellIs" dxfId="788" priority="1313" operator="equal">
      <formula>"v"</formula>
    </cfRule>
    <cfRule type="cellIs" dxfId="787" priority="1314" operator="equal">
      <formula>"n"</formula>
    </cfRule>
    <cfRule type="cellIs" dxfId="786" priority="1315" operator="equal">
      <formula>"m"</formula>
    </cfRule>
    <cfRule type="cellIs" dxfId="785" priority="1316" operator="equal">
      <formula>"o"</formula>
    </cfRule>
  </conditionalFormatting>
  <conditionalFormatting sqref="CL20:DD20">
    <cfRule type="cellIs" dxfId="784" priority="1338" operator="equal">
      <formula>"r"</formula>
    </cfRule>
    <cfRule type="cellIs" dxfId="783" priority="1339" operator="equal">
      <formula>"z"</formula>
    </cfRule>
    <cfRule type="cellIs" dxfId="782" priority="1340" operator="equal">
      <formula>"x"</formula>
    </cfRule>
    <cfRule type="cellIs" dxfId="781" priority="1341" operator="equal">
      <formula>"v"</formula>
    </cfRule>
    <cfRule type="cellIs" dxfId="780" priority="1342" operator="equal">
      <formula>"n"</formula>
    </cfRule>
    <cfRule type="cellIs" dxfId="779" priority="1343" operator="equal">
      <formula>"m"</formula>
    </cfRule>
    <cfRule type="cellIs" dxfId="778" priority="1344" operator="equal">
      <formula>"o"</formula>
    </cfRule>
  </conditionalFormatting>
  <conditionalFormatting sqref="CL21:DF21">
    <cfRule type="cellIs" dxfId="777" priority="1499" operator="equal">
      <formula>"r"</formula>
    </cfRule>
    <cfRule type="cellIs" dxfId="776" priority="1500" operator="equal">
      <formula>"z"</formula>
    </cfRule>
    <cfRule type="cellIs" dxfId="775" priority="1501" operator="equal">
      <formula>"x"</formula>
    </cfRule>
    <cfRule type="cellIs" dxfId="774" priority="1502" operator="equal">
      <formula>"v"</formula>
    </cfRule>
    <cfRule type="cellIs" dxfId="773" priority="1503" operator="equal">
      <formula>"n"</formula>
    </cfRule>
    <cfRule type="cellIs" dxfId="772" priority="1504" operator="equal">
      <formula>"m"</formula>
    </cfRule>
    <cfRule type="cellIs" dxfId="771" priority="1505" operator="equal">
      <formula>"o"</formula>
    </cfRule>
  </conditionalFormatting>
  <conditionalFormatting sqref="CL23:DF24">
    <cfRule type="cellIs" dxfId="770" priority="1457" operator="equal">
      <formula>"r"</formula>
    </cfRule>
    <cfRule type="cellIs" dxfId="769" priority="1458" operator="equal">
      <formula>"z"</formula>
    </cfRule>
    <cfRule type="cellIs" dxfId="768" priority="1459" operator="equal">
      <formula>"x"</formula>
    </cfRule>
    <cfRule type="cellIs" dxfId="767" priority="1460" operator="equal">
      <formula>"v"</formula>
    </cfRule>
    <cfRule type="cellIs" dxfId="766" priority="1461" operator="equal">
      <formula>"n"</formula>
    </cfRule>
    <cfRule type="cellIs" dxfId="765" priority="1462" operator="equal">
      <formula>"m"</formula>
    </cfRule>
    <cfRule type="cellIs" dxfId="764" priority="1463" operator="equal">
      <formula>"o"</formula>
    </cfRule>
  </conditionalFormatting>
  <conditionalFormatting sqref="CL22:JY22">
    <cfRule type="cellIs" dxfId="763" priority="1331" operator="equal">
      <formula>"r"</formula>
    </cfRule>
    <cfRule type="cellIs" dxfId="762" priority="1332" operator="equal">
      <formula>"z"</formula>
    </cfRule>
    <cfRule type="cellIs" dxfId="761" priority="1333" operator="equal">
      <formula>"x"</formula>
    </cfRule>
    <cfRule type="cellIs" dxfId="760" priority="1334" operator="equal">
      <formula>"v"</formula>
    </cfRule>
    <cfRule type="cellIs" dxfId="759" priority="1335" operator="equal">
      <formula>"n"</formula>
    </cfRule>
    <cfRule type="cellIs" dxfId="758" priority="1336" operator="equal">
      <formula>"m"</formula>
    </cfRule>
    <cfRule type="cellIs" dxfId="757" priority="1337" operator="equal">
      <formula>"o"</formula>
    </cfRule>
  </conditionalFormatting>
  <conditionalFormatting sqref="CS30">
    <cfRule type="cellIs" dxfId="756" priority="2277" operator="equal">
      <formula>"f"</formula>
    </cfRule>
    <cfRule type="containsText" dxfId="755" priority="2278" operator="containsText" text="Feestdag">
      <formula>NOT(ISERROR(SEARCH("Feestdag",CS30)))</formula>
    </cfRule>
    <cfRule type="cellIs" dxfId="754" priority="2279" operator="equal">
      <formula>"r"</formula>
    </cfRule>
    <cfRule type="cellIs" dxfId="753" priority="2280" operator="equal">
      <formula>"z"</formula>
    </cfRule>
    <cfRule type="cellIs" dxfId="752" priority="2281" operator="equal">
      <formula>"x"</formula>
    </cfRule>
    <cfRule type="cellIs" dxfId="751" priority="2282" operator="equal">
      <formula>"v"</formula>
    </cfRule>
    <cfRule type="cellIs" dxfId="750" priority="2283" operator="equal">
      <formula>"n"</formula>
    </cfRule>
    <cfRule type="cellIs" dxfId="749" priority="2284" operator="equal">
      <formula>"m"</formula>
    </cfRule>
    <cfRule type="cellIs" dxfId="748" priority="2285" operator="equal">
      <formula>"o"</formula>
    </cfRule>
  </conditionalFormatting>
  <conditionalFormatting sqref="CS32">
    <cfRule type="cellIs" dxfId="747" priority="2268" operator="equal">
      <formula>"f"</formula>
    </cfRule>
    <cfRule type="containsText" dxfId="746" priority="2269" operator="containsText" text="Feestdag">
      <formula>NOT(ISERROR(SEARCH("Feestdag",CS32)))</formula>
    </cfRule>
  </conditionalFormatting>
  <conditionalFormatting sqref="CS34">
    <cfRule type="cellIs" dxfId="745" priority="2259" operator="equal">
      <formula>"f"</formula>
    </cfRule>
    <cfRule type="containsText" dxfId="744" priority="2260" operator="containsText" text="Feestdag">
      <formula>NOT(ISERROR(SEARCH("Feestdag",CS34)))</formula>
    </cfRule>
  </conditionalFormatting>
  <conditionalFormatting sqref="CS36">
    <cfRule type="cellIs" dxfId="743" priority="2250" operator="equal">
      <formula>"f"</formula>
    </cfRule>
    <cfRule type="containsText" dxfId="742" priority="2251" operator="containsText" text="Feestdag">
      <formula>NOT(ISERROR(SEARCH("Feestdag",CS36)))</formula>
    </cfRule>
  </conditionalFormatting>
  <conditionalFormatting sqref="CS32:CT32">
    <cfRule type="cellIs" dxfId="741" priority="2270" operator="equal">
      <formula>"r"</formula>
    </cfRule>
    <cfRule type="cellIs" dxfId="740" priority="2271" operator="equal">
      <formula>"z"</formula>
    </cfRule>
    <cfRule type="cellIs" dxfId="739" priority="2272" operator="equal">
      <formula>"x"</formula>
    </cfRule>
    <cfRule type="cellIs" dxfId="738" priority="2273" operator="equal">
      <formula>"v"</formula>
    </cfRule>
    <cfRule type="cellIs" dxfId="737" priority="2274" operator="equal">
      <formula>"n"</formula>
    </cfRule>
    <cfRule type="cellIs" dxfId="736" priority="2275" operator="equal">
      <formula>"m"</formula>
    </cfRule>
    <cfRule type="cellIs" dxfId="735" priority="2276" operator="equal">
      <formula>"o"</formula>
    </cfRule>
  </conditionalFormatting>
  <conditionalFormatting sqref="CS31:CW31">
    <cfRule type="cellIs" dxfId="734" priority="2820" operator="equal">
      <formula>"r"</formula>
    </cfRule>
    <cfRule type="cellIs" dxfId="733" priority="2821" operator="equal">
      <formula>"z"</formula>
    </cfRule>
    <cfRule type="cellIs" dxfId="732" priority="2822" operator="equal">
      <formula>"x"</formula>
    </cfRule>
    <cfRule type="cellIs" dxfId="731" priority="2823" operator="equal">
      <formula>"v"</formula>
    </cfRule>
    <cfRule type="cellIs" dxfId="730" priority="2824" operator="equal">
      <formula>"n"</formula>
    </cfRule>
    <cfRule type="cellIs" dxfId="729" priority="2825" operator="equal">
      <formula>"m"</formula>
    </cfRule>
    <cfRule type="cellIs" dxfId="728" priority="2826" operator="equal">
      <formula>"o"</formula>
    </cfRule>
  </conditionalFormatting>
  <conditionalFormatting sqref="CS33:CW35">
    <cfRule type="cellIs" dxfId="727" priority="2261" operator="equal">
      <formula>"r"</formula>
    </cfRule>
    <cfRule type="cellIs" dxfId="726" priority="2262" operator="equal">
      <formula>"z"</formula>
    </cfRule>
    <cfRule type="cellIs" dxfId="725" priority="2263" operator="equal">
      <formula>"x"</formula>
    </cfRule>
    <cfRule type="cellIs" dxfId="724" priority="2264" operator="equal">
      <formula>"v"</formula>
    </cfRule>
    <cfRule type="cellIs" dxfId="723" priority="2265" operator="equal">
      <formula>"n"</formula>
    </cfRule>
    <cfRule type="cellIs" dxfId="722" priority="2266" operator="equal">
      <formula>"m"</formula>
    </cfRule>
    <cfRule type="cellIs" dxfId="721" priority="2267" operator="equal">
      <formula>"o"</formula>
    </cfRule>
  </conditionalFormatting>
  <conditionalFormatting sqref="CS36:CW36">
    <cfRule type="cellIs" dxfId="720" priority="2252" operator="equal">
      <formula>"r"</formula>
    </cfRule>
    <cfRule type="cellIs" dxfId="719" priority="2253" operator="equal">
      <formula>"z"</formula>
    </cfRule>
    <cfRule type="cellIs" dxfId="718" priority="2254" operator="equal">
      <formula>"x"</formula>
    </cfRule>
    <cfRule type="cellIs" dxfId="717" priority="2255" operator="equal">
      <formula>"v"</formula>
    </cfRule>
    <cfRule type="cellIs" dxfId="716" priority="2256" operator="equal">
      <formula>"n"</formula>
    </cfRule>
    <cfRule type="cellIs" dxfId="715" priority="2257" operator="equal">
      <formula>"m"</formula>
    </cfRule>
    <cfRule type="cellIs" dxfId="714" priority="2258" operator="equal">
      <formula>"o"</formula>
    </cfRule>
  </conditionalFormatting>
  <conditionalFormatting sqref="CT30:CW30">
    <cfRule type="cellIs" dxfId="713" priority="1296" operator="equal">
      <formula>"r"</formula>
    </cfRule>
    <cfRule type="cellIs" dxfId="712" priority="1297" operator="equal">
      <formula>"z"</formula>
    </cfRule>
    <cfRule type="cellIs" dxfId="711" priority="1298" operator="equal">
      <formula>"x"</formula>
    </cfRule>
    <cfRule type="cellIs" dxfId="710" priority="1299" operator="equal">
      <formula>"v"</formula>
    </cfRule>
    <cfRule type="cellIs" dxfId="709" priority="1300" operator="equal">
      <formula>"n"</formula>
    </cfRule>
    <cfRule type="cellIs" dxfId="708" priority="1301" operator="equal">
      <formula>"m"</formula>
    </cfRule>
    <cfRule type="cellIs" dxfId="707" priority="1302" operator="equal">
      <formula>"o"</formula>
    </cfRule>
  </conditionalFormatting>
  <conditionalFormatting sqref="CT18:DA18">
    <cfRule type="cellIs" dxfId="706" priority="1373" operator="equal">
      <formula>"r"</formula>
    </cfRule>
    <cfRule type="cellIs" dxfId="705" priority="1374" operator="equal">
      <formula>"z"</formula>
    </cfRule>
    <cfRule type="cellIs" dxfId="704" priority="1375" operator="equal">
      <formula>"x"</formula>
    </cfRule>
    <cfRule type="cellIs" dxfId="703" priority="1376" operator="equal">
      <formula>"v"</formula>
    </cfRule>
    <cfRule type="cellIs" dxfId="702" priority="1377" operator="equal">
      <formula>"n"</formula>
    </cfRule>
    <cfRule type="cellIs" dxfId="701" priority="1378" operator="equal">
      <formula>"m"</formula>
    </cfRule>
    <cfRule type="cellIs" dxfId="700" priority="1379" operator="equal">
      <formula>"o"</formula>
    </cfRule>
  </conditionalFormatting>
  <conditionalFormatting sqref="CU32:CW32">
    <cfRule type="cellIs" dxfId="699" priority="1611" operator="equal">
      <formula>"r"</formula>
    </cfRule>
    <cfRule type="cellIs" dxfId="698" priority="1612" operator="equal">
      <formula>"z"</formula>
    </cfRule>
    <cfRule type="cellIs" dxfId="697" priority="1613" operator="equal">
      <formula>"x"</formula>
    </cfRule>
    <cfRule type="cellIs" dxfId="696" priority="1614" operator="equal">
      <formula>"v"</formula>
    </cfRule>
    <cfRule type="cellIs" dxfId="695" priority="1615" operator="equal">
      <formula>"n"</formula>
    </cfRule>
    <cfRule type="cellIs" dxfId="694" priority="1616" operator="equal">
      <formula>"m"</formula>
    </cfRule>
    <cfRule type="cellIs" dxfId="693" priority="1617" operator="equal">
      <formula>"o"</formula>
    </cfRule>
  </conditionalFormatting>
  <conditionalFormatting sqref="CW23">
    <cfRule type="cellIs" dxfId="692" priority="1366" operator="equal">
      <formula>"r"</formula>
    </cfRule>
    <cfRule type="cellIs" dxfId="691" priority="1367" operator="equal">
      <formula>"z"</formula>
    </cfRule>
    <cfRule type="cellIs" dxfId="690" priority="1368" operator="equal">
      <formula>"x"</formula>
    </cfRule>
    <cfRule type="cellIs" dxfId="689" priority="1369" operator="equal">
      <formula>"v"</formula>
    </cfRule>
    <cfRule type="cellIs" dxfId="688" priority="1370" operator="equal">
      <formula>"n"</formula>
    </cfRule>
    <cfRule type="cellIs" dxfId="687" priority="1371" operator="equal">
      <formula>"m"</formula>
    </cfRule>
    <cfRule type="cellIs" dxfId="686" priority="1372" operator="equal">
      <formula>"o"</formula>
    </cfRule>
  </conditionalFormatting>
  <conditionalFormatting sqref="CX30:CY36">
    <cfRule type="cellIs" dxfId="685" priority="2827" operator="equal">
      <formula>"r"</formula>
    </cfRule>
    <cfRule type="cellIs" dxfId="684" priority="2828" operator="equal">
      <formula>"z"</formula>
    </cfRule>
    <cfRule type="cellIs" dxfId="683" priority="2829" operator="equal">
      <formula>"x"</formula>
    </cfRule>
    <cfRule type="cellIs" dxfId="682" priority="2830" operator="equal">
      <formula>"v"</formula>
    </cfRule>
    <cfRule type="cellIs" dxfId="681" priority="2831" operator="equal">
      <formula>"n"</formula>
    </cfRule>
    <cfRule type="cellIs" dxfId="680" priority="2832" operator="equal">
      <formula>"m"</formula>
    </cfRule>
    <cfRule type="cellIs" dxfId="679" priority="2833" operator="equal">
      <formula>"o"</formula>
    </cfRule>
  </conditionalFormatting>
  <conditionalFormatting sqref="DA32">
    <cfRule type="cellIs" dxfId="678" priority="1289" operator="equal">
      <formula>"r"</formula>
    </cfRule>
    <cfRule type="cellIs" dxfId="677" priority="1290" operator="equal">
      <formula>"z"</formula>
    </cfRule>
    <cfRule type="cellIs" dxfId="676" priority="1291" operator="equal">
      <formula>"x"</formula>
    </cfRule>
    <cfRule type="cellIs" dxfId="675" priority="1292" operator="equal">
      <formula>"v"</formula>
    </cfRule>
    <cfRule type="cellIs" dxfId="674" priority="1293" operator="equal">
      <formula>"n"</formula>
    </cfRule>
    <cfRule type="cellIs" dxfId="673" priority="1294" operator="equal">
      <formula>"m"</formula>
    </cfRule>
    <cfRule type="cellIs" dxfId="672" priority="1295" operator="equal">
      <formula>"o"</formula>
    </cfRule>
  </conditionalFormatting>
  <conditionalFormatting sqref="DE17:DF20">
    <cfRule type="cellIs" dxfId="671" priority="1464" operator="equal">
      <formula>"r"</formula>
    </cfRule>
    <cfRule type="cellIs" dxfId="670" priority="1465" operator="equal">
      <formula>"z"</formula>
    </cfRule>
    <cfRule type="cellIs" dxfId="669" priority="1466" operator="equal">
      <formula>"x"</formula>
    </cfRule>
    <cfRule type="cellIs" dxfId="668" priority="1467" operator="equal">
      <formula>"v"</formula>
    </cfRule>
    <cfRule type="cellIs" dxfId="667" priority="1468" operator="equal">
      <formula>"n"</formula>
    </cfRule>
    <cfRule type="cellIs" dxfId="666" priority="1469" operator="equal">
      <formula>"m"</formula>
    </cfRule>
    <cfRule type="cellIs" dxfId="665" priority="1470" operator="equal">
      <formula>"o"</formula>
    </cfRule>
  </conditionalFormatting>
  <conditionalFormatting sqref="DE30:DF36">
    <cfRule type="cellIs" dxfId="664" priority="2813" operator="equal">
      <formula>"r"</formula>
    </cfRule>
    <cfRule type="cellIs" dxfId="663" priority="2814" operator="equal">
      <formula>"z"</formula>
    </cfRule>
    <cfRule type="cellIs" dxfId="662" priority="2815" operator="equal">
      <formula>"x"</formula>
    </cfRule>
    <cfRule type="cellIs" dxfId="661" priority="2816" operator="equal">
      <formula>"v"</formula>
    </cfRule>
    <cfRule type="cellIs" dxfId="660" priority="2817" operator="equal">
      <formula>"n"</formula>
    </cfRule>
    <cfRule type="cellIs" dxfId="659" priority="2818" operator="equal">
      <formula>"m"</formula>
    </cfRule>
    <cfRule type="cellIs" dxfId="658" priority="2819" operator="equal">
      <formula>"o"</formula>
    </cfRule>
  </conditionalFormatting>
  <conditionalFormatting sqref="DG24:DJ26">
    <cfRule type="cellIs" dxfId="657" priority="3170" operator="equal">
      <formula>"r"</formula>
    </cfRule>
    <cfRule type="cellIs" dxfId="656" priority="3171" operator="equal">
      <formula>"z"</formula>
    </cfRule>
    <cfRule type="cellIs" dxfId="655" priority="3172" operator="equal">
      <formula>"x"</formula>
    </cfRule>
    <cfRule type="cellIs" dxfId="654" priority="3173" operator="equal">
      <formula>"v"</formula>
    </cfRule>
    <cfRule type="cellIs" dxfId="653" priority="3174" operator="equal">
      <formula>"n"</formula>
    </cfRule>
    <cfRule type="cellIs" dxfId="652" priority="3175" operator="equal">
      <formula>"m"</formula>
    </cfRule>
    <cfRule type="cellIs" dxfId="651" priority="3176" operator="equal">
      <formula>"o"</formula>
    </cfRule>
  </conditionalFormatting>
  <conditionalFormatting sqref="DG27:DK36">
    <cfRule type="cellIs" dxfId="650" priority="2792" operator="equal">
      <formula>"r"</formula>
    </cfRule>
    <cfRule type="cellIs" dxfId="649" priority="2793" operator="equal">
      <formula>"z"</formula>
    </cfRule>
    <cfRule type="cellIs" dxfId="648" priority="2794" operator="equal">
      <formula>"x"</formula>
    </cfRule>
    <cfRule type="cellIs" dxfId="647" priority="2795" operator="equal">
      <formula>"v"</formula>
    </cfRule>
    <cfRule type="cellIs" dxfId="646" priority="2796" operator="equal">
      <formula>"n"</formula>
    </cfRule>
    <cfRule type="cellIs" dxfId="645" priority="2797" operator="equal">
      <formula>"m"</formula>
    </cfRule>
    <cfRule type="cellIs" dxfId="644" priority="2798" operator="equal">
      <formula>"o"</formula>
    </cfRule>
  </conditionalFormatting>
  <conditionalFormatting sqref="DG17:XFD21">
    <cfRule type="cellIs" dxfId="643" priority="36" operator="equal">
      <formula>"r"</formula>
    </cfRule>
    <cfRule type="cellIs" dxfId="642" priority="37" operator="equal">
      <formula>"z"</formula>
    </cfRule>
    <cfRule type="cellIs" dxfId="641" priority="38" operator="equal">
      <formula>"x"</formula>
    </cfRule>
    <cfRule type="cellIs" dxfId="640" priority="39" operator="equal">
      <formula>"v"</formula>
    </cfRule>
    <cfRule type="cellIs" dxfId="639" priority="40" operator="equal">
      <formula>"n"</formula>
    </cfRule>
    <cfRule type="cellIs" dxfId="638" priority="41" operator="equal">
      <formula>"m"</formula>
    </cfRule>
    <cfRule type="cellIs" dxfId="637" priority="42" operator="equal">
      <formula>"o"</formula>
    </cfRule>
  </conditionalFormatting>
  <conditionalFormatting sqref="DI23:JY23">
    <cfRule type="cellIs" dxfId="636" priority="15" operator="equal">
      <formula>"r"</formula>
    </cfRule>
    <cfRule type="cellIs" dxfId="635" priority="16" operator="equal">
      <formula>"z"</formula>
    </cfRule>
    <cfRule type="cellIs" dxfId="634" priority="17" operator="equal">
      <formula>"x"</formula>
    </cfRule>
    <cfRule type="cellIs" dxfId="633" priority="18" operator="equal">
      <formula>"v"</formula>
    </cfRule>
    <cfRule type="cellIs" dxfId="632" priority="19" operator="equal">
      <formula>"n"</formula>
    </cfRule>
    <cfRule type="cellIs" dxfId="631" priority="20" operator="equal">
      <formula>"m"</formula>
    </cfRule>
    <cfRule type="cellIs" dxfId="630" priority="21" operator="equal">
      <formula>"o"</formula>
    </cfRule>
  </conditionalFormatting>
  <conditionalFormatting sqref="DK25:FA26">
    <cfRule type="cellIs" dxfId="629" priority="1639" operator="equal">
      <formula>"r"</formula>
    </cfRule>
    <cfRule type="cellIs" dxfId="628" priority="1640" operator="equal">
      <formula>"z"</formula>
    </cfRule>
    <cfRule type="cellIs" dxfId="627" priority="1641" operator="equal">
      <formula>"x"</formula>
    </cfRule>
    <cfRule type="cellIs" dxfId="626" priority="1642" operator="equal">
      <formula>"v"</formula>
    </cfRule>
    <cfRule type="cellIs" dxfId="625" priority="1643" operator="equal">
      <formula>"n"</formula>
    </cfRule>
    <cfRule type="cellIs" dxfId="624" priority="1644" operator="equal">
      <formula>"m"</formula>
    </cfRule>
    <cfRule type="cellIs" dxfId="623" priority="1645" operator="equal">
      <formula>"o"</formula>
    </cfRule>
  </conditionalFormatting>
  <conditionalFormatting sqref="DK24:GB24">
    <cfRule type="cellIs" dxfId="622" priority="3282" operator="equal">
      <formula>"r"</formula>
    </cfRule>
    <cfRule type="cellIs" dxfId="621" priority="3283" operator="equal">
      <formula>"z"</formula>
    </cfRule>
    <cfRule type="cellIs" dxfId="620" priority="3284" operator="equal">
      <formula>"x"</formula>
    </cfRule>
    <cfRule type="cellIs" dxfId="619" priority="3285" operator="equal">
      <formula>"v"</formula>
    </cfRule>
    <cfRule type="cellIs" dxfId="618" priority="3286" operator="equal">
      <formula>"n"</formula>
    </cfRule>
    <cfRule type="cellIs" dxfId="617" priority="3287" operator="equal">
      <formula>"m"</formula>
    </cfRule>
    <cfRule type="cellIs" dxfId="616" priority="3288" operator="equal">
      <formula>"o"</formula>
    </cfRule>
  </conditionalFormatting>
  <conditionalFormatting sqref="DL30:DM36">
    <cfRule type="cellIs" dxfId="615" priority="2799" operator="equal">
      <formula>"r"</formula>
    </cfRule>
    <cfRule type="cellIs" dxfId="614" priority="2800" operator="equal">
      <formula>"z"</formula>
    </cfRule>
    <cfRule type="cellIs" dxfId="613" priority="2801" operator="equal">
      <formula>"x"</formula>
    </cfRule>
    <cfRule type="cellIs" dxfId="612" priority="2802" operator="equal">
      <formula>"v"</formula>
    </cfRule>
    <cfRule type="cellIs" dxfId="611" priority="2803" operator="equal">
      <formula>"n"</formula>
    </cfRule>
    <cfRule type="cellIs" dxfId="610" priority="2804" operator="equal">
      <formula>"m"</formula>
    </cfRule>
    <cfRule type="cellIs" dxfId="609" priority="2805" operator="equal">
      <formula>"o"</formula>
    </cfRule>
  </conditionalFormatting>
  <conditionalFormatting sqref="DL27:XFD29">
    <cfRule type="cellIs" dxfId="608" priority="1" operator="equal">
      <formula>"r"</formula>
    </cfRule>
    <cfRule type="cellIs" dxfId="607" priority="2" operator="equal">
      <formula>"z"</formula>
    </cfRule>
    <cfRule type="cellIs" dxfId="606" priority="3" operator="equal">
      <formula>"x"</formula>
    </cfRule>
    <cfRule type="cellIs" dxfId="605" priority="4" operator="equal">
      <formula>"v"</formula>
    </cfRule>
    <cfRule type="cellIs" dxfId="604" priority="5" operator="equal">
      <formula>"n"</formula>
    </cfRule>
    <cfRule type="cellIs" dxfId="603" priority="6" operator="equal">
      <formula>"m"</formula>
    </cfRule>
    <cfRule type="cellIs" dxfId="602" priority="7" operator="equal">
      <formula>"o"</formula>
    </cfRule>
  </conditionalFormatting>
  <conditionalFormatting sqref="DN30:DR31">
    <cfRule type="cellIs" dxfId="601" priority="2243" operator="equal">
      <formula>"r"</formula>
    </cfRule>
    <cfRule type="cellIs" dxfId="600" priority="2244" operator="equal">
      <formula>"z"</formula>
    </cfRule>
    <cfRule type="cellIs" dxfId="599" priority="2245" operator="equal">
      <formula>"x"</formula>
    </cfRule>
    <cfRule type="cellIs" dxfId="598" priority="2246" operator="equal">
      <formula>"v"</formula>
    </cfRule>
    <cfRule type="cellIs" dxfId="597" priority="2247" operator="equal">
      <formula>"n"</formula>
    </cfRule>
    <cfRule type="cellIs" dxfId="596" priority="2248" operator="equal">
      <formula>"m"</formula>
    </cfRule>
    <cfRule type="cellIs" dxfId="595" priority="2249" operator="equal">
      <formula>"o"</formula>
    </cfRule>
  </conditionalFormatting>
  <conditionalFormatting sqref="DN32:DR35">
    <cfRule type="cellIs" dxfId="594" priority="2234" operator="equal">
      <formula>"r"</formula>
    </cfRule>
    <cfRule type="cellIs" dxfId="593" priority="2235" operator="equal">
      <formula>"z"</formula>
    </cfRule>
    <cfRule type="cellIs" dxfId="592" priority="2236" operator="equal">
      <formula>"x"</formula>
    </cfRule>
    <cfRule type="cellIs" dxfId="591" priority="2237" operator="equal">
      <formula>"v"</formula>
    </cfRule>
    <cfRule type="cellIs" dxfId="590" priority="2238" operator="equal">
      <formula>"n"</formula>
    </cfRule>
    <cfRule type="cellIs" dxfId="589" priority="2239" operator="equal">
      <formula>"m"</formula>
    </cfRule>
    <cfRule type="cellIs" dxfId="588" priority="2240" operator="equal">
      <formula>"o"</formula>
    </cfRule>
  </conditionalFormatting>
  <conditionalFormatting sqref="DN36:DR36">
    <cfRule type="cellIs" dxfId="587" priority="2225" operator="equal">
      <formula>"r"</formula>
    </cfRule>
    <cfRule type="cellIs" dxfId="586" priority="2226" operator="equal">
      <formula>"z"</formula>
    </cfRule>
    <cfRule type="cellIs" dxfId="585" priority="2227" operator="equal">
      <formula>"x"</formula>
    </cfRule>
    <cfRule type="cellIs" dxfId="584" priority="2228" operator="equal">
      <formula>"v"</formula>
    </cfRule>
    <cfRule type="cellIs" dxfId="583" priority="2229" operator="equal">
      <formula>"n"</formula>
    </cfRule>
    <cfRule type="cellIs" dxfId="582" priority="2230" operator="equal">
      <formula>"m"</formula>
    </cfRule>
    <cfRule type="cellIs" dxfId="581" priority="2231" operator="equal">
      <formula>"o"</formula>
    </cfRule>
  </conditionalFormatting>
  <conditionalFormatting sqref="DO30">
    <cfRule type="cellIs" dxfId="580" priority="2241" operator="equal">
      <formula>"f"</formula>
    </cfRule>
    <cfRule type="containsText" dxfId="579" priority="2242" operator="containsText" text="Feestdag">
      <formula>NOT(ISERROR(SEARCH("Feestdag",DO30)))</formula>
    </cfRule>
  </conditionalFormatting>
  <conditionalFormatting sqref="DO32">
    <cfRule type="cellIs" dxfId="578" priority="2232" operator="equal">
      <formula>"f"</formula>
    </cfRule>
    <cfRule type="containsText" dxfId="577" priority="2233" operator="containsText" text="Feestdag">
      <formula>NOT(ISERROR(SEARCH("Feestdag",DO32)))</formula>
    </cfRule>
  </conditionalFormatting>
  <conditionalFormatting sqref="DO36">
    <cfRule type="cellIs" dxfId="576" priority="2223" operator="equal">
      <formula>"f"</formula>
    </cfRule>
    <cfRule type="containsText" dxfId="575" priority="2224" operator="containsText" text="Feestdag">
      <formula>NOT(ISERROR(SEARCH("Feestdag",DO36)))</formula>
    </cfRule>
  </conditionalFormatting>
  <conditionalFormatting sqref="DS30:EA36">
    <cfRule type="cellIs" dxfId="574" priority="1604" operator="equal">
      <formula>"r"</formula>
    </cfRule>
    <cfRule type="cellIs" dxfId="573" priority="1605" operator="equal">
      <formula>"z"</formula>
    </cfRule>
    <cfRule type="cellIs" dxfId="572" priority="1606" operator="equal">
      <formula>"x"</formula>
    </cfRule>
    <cfRule type="cellIs" dxfId="571" priority="1607" operator="equal">
      <formula>"v"</formula>
    </cfRule>
    <cfRule type="cellIs" dxfId="570" priority="1608" operator="equal">
      <formula>"n"</formula>
    </cfRule>
    <cfRule type="cellIs" dxfId="569" priority="1609" operator="equal">
      <formula>"m"</formula>
    </cfRule>
    <cfRule type="cellIs" dxfId="568" priority="1610" operator="equal">
      <formula>"o"</formula>
    </cfRule>
  </conditionalFormatting>
  <conditionalFormatting sqref="EB30:EF31">
    <cfRule type="cellIs" dxfId="567" priority="2216" operator="equal">
      <formula>"r"</formula>
    </cfRule>
    <cfRule type="cellIs" dxfId="566" priority="2217" operator="equal">
      <formula>"z"</formula>
    </cfRule>
    <cfRule type="cellIs" dxfId="565" priority="2218" operator="equal">
      <formula>"x"</formula>
    </cfRule>
    <cfRule type="cellIs" dxfId="564" priority="2219" operator="equal">
      <formula>"v"</formula>
    </cfRule>
    <cfRule type="cellIs" dxfId="563" priority="2220" operator="equal">
      <formula>"n"</formula>
    </cfRule>
    <cfRule type="cellIs" dxfId="562" priority="2221" operator="equal">
      <formula>"m"</formula>
    </cfRule>
    <cfRule type="cellIs" dxfId="561" priority="2222" operator="equal">
      <formula>"o"</formula>
    </cfRule>
  </conditionalFormatting>
  <conditionalFormatting sqref="EB32:EF33">
    <cfRule type="cellIs" dxfId="560" priority="2207" operator="equal">
      <formula>"r"</formula>
    </cfRule>
    <cfRule type="cellIs" dxfId="559" priority="2208" operator="equal">
      <formula>"z"</formula>
    </cfRule>
    <cfRule type="cellIs" dxfId="558" priority="2209" operator="equal">
      <formula>"x"</formula>
    </cfRule>
    <cfRule type="cellIs" dxfId="557" priority="2210" operator="equal">
      <formula>"v"</formula>
    </cfRule>
    <cfRule type="cellIs" dxfId="556" priority="2211" operator="equal">
      <formula>"n"</formula>
    </cfRule>
    <cfRule type="cellIs" dxfId="555" priority="2212" operator="equal">
      <formula>"m"</formula>
    </cfRule>
    <cfRule type="cellIs" dxfId="554" priority="2213" operator="equal">
      <formula>"o"</formula>
    </cfRule>
  </conditionalFormatting>
  <conditionalFormatting sqref="EB34:EF35">
    <cfRule type="cellIs" dxfId="553" priority="2198" operator="equal">
      <formula>"r"</formula>
    </cfRule>
    <cfRule type="cellIs" dxfId="552" priority="2199" operator="equal">
      <formula>"z"</formula>
    </cfRule>
    <cfRule type="cellIs" dxfId="551" priority="2200" operator="equal">
      <formula>"x"</formula>
    </cfRule>
    <cfRule type="cellIs" dxfId="550" priority="2201" operator="equal">
      <formula>"v"</formula>
    </cfRule>
    <cfRule type="cellIs" dxfId="549" priority="2202" operator="equal">
      <formula>"n"</formula>
    </cfRule>
    <cfRule type="cellIs" dxfId="548" priority="2203" operator="equal">
      <formula>"m"</formula>
    </cfRule>
    <cfRule type="cellIs" dxfId="547" priority="2204" operator="equal">
      <formula>"o"</formula>
    </cfRule>
  </conditionalFormatting>
  <conditionalFormatting sqref="EB36:EF36">
    <cfRule type="cellIs" dxfId="546" priority="2189" operator="equal">
      <formula>"r"</formula>
    </cfRule>
    <cfRule type="cellIs" dxfId="545" priority="2190" operator="equal">
      <formula>"z"</formula>
    </cfRule>
    <cfRule type="cellIs" dxfId="544" priority="2191" operator="equal">
      <formula>"x"</formula>
    </cfRule>
    <cfRule type="cellIs" dxfId="543" priority="2192" operator="equal">
      <formula>"v"</formula>
    </cfRule>
    <cfRule type="cellIs" dxfId="542" priority="2193" operator="equal">
      <formula>"n"</formula>
    </cfRule>
    <cfRule type="cellIs" dxfId="541" priority="2194" operator="equal">
      <formula>"m"</formula>
    </cfRule>
    <cfRule type="cellIs" dxfId="540" priority="2195" operator="equal">
      <formula>"o"</formula>
    </cfRule>
  </conditionalFormatting>
  <conditionalFormatting sqref="EE30">
    <cfRule type="cellIs" dxfId="539" priority="2214" operator="equal">
      <formula>"f"</formula>
    </cfRule>
    <cfRule type="containsText" dxfId="538" priority="2215" operator="containsText" text="Feestdag">
      <formula>NOT(ISERROR(SEARCH("Feestdag",EE30)))</formula>
    </cfRule>
  </conditionalFormatting>
  <conditionalFormatting sqref="EE32">
    <cfRule type="cellIs" dxfId="537" priority="2205" operator="equal">
      <formula>"f"</formula>
    </cfRule>
    <cfRule type="containsText" dxfId="536" priority="2206" operator="containsText" text="Feestdag">
      <formula>NOT(ISERROR(SEARCH("Feestdag",EE32)))</formula>
    </cfRule>
  </conditionalFormatting>
  <conditionalFormatting sqref="EE34">
    <cfRule type="cellIs" dxfId="535" priority="2196" operator="equal">
      <formula>"f"</formula>
    </cfRule>
    <cfRule type="containsText" dxfId="534" priority="2197" operator="containsText" text="Feestdag">
      <formula>NOT(ISERROR(SEARCH("Feestdag",EE34)))</formula>
    </cfRule>
  </conditionalFormatting>
  <conditionalFormatting sqref="EE36">
    <cfRule type="cellIs" dxfId="533" priority="2187" operator="equal">
      <formula>"f"</formula>
    </cfRule>
    <cfRule type="containsText" dxfId="532" priority="2188" operator="containsText" text="Feestdag">
      <formula>NOT(ISERROR(SEARCH("Feestdag",EE36)))</formula>
    </cfRule>
  </conditionalFormatting>
  <conditionalFormatting sqref="EG30:EO36">
    <cfRule type="cellIs" dxfId="531" priority="2736" operator="equal">
      <formula>"r"</formula>
    </cfRule>
    <cfRule type="cellIs" dxfId="530" priority="2737" operator="equal">
      <formula>"z"</formula>
    </cfRule>
    <cfRule type="cellIs" dxfId="529" priority="2738" operator="equal">
      <formula>"x"</formula>
    </cfRule>
    <cfRule type="cellIs" dxfId="528" priority="2739" operator="equal">
      <formula>"v"</formula>
    </cfRule>
    <cfRule type="cellIs" dxfId="527" priority="2740" operator="equal">
      <formula>"n"</formula>
    </cfRule>
    <cfRule type="cellIs" dxfId="526" priority="2741" operator="equal">
      <formula>"m"</formula>
    </cfRule>
    <cfRule type="cellIs" dxfId="525" priority="2742" operator="equal">
      <formula>"o"</formula>
    </cfRule>
  </conditionalFormatting>
  <conditionalFormatting sqref="EP30">
    <cfRule type="cellIs" dxfId="524" priority="2178" operator="equal">
      <formula>"f"</formula>
    </cfRule>
    <cfRule type="containsText" dxfId="523" priority="2179" operator="containsText" text="Feestdag">
      <formula>NOT(ISERROR(SEARCH("Feestdag",EP30)))</formula>
    </cfRule>
  </conditionalFormatting>
  <conditionalFormatting sqref="EP32">
    <cfRule type="cellIs" dxfId="522" priority="2169" operator="equal">
      <formula>"f"</formula>
    </cfRule>
    <cfRule type="containsText" dxfId="521" priority="2170" operator="containsText" text="Feestdag">
      <formula>NOT(ISERROR(SEARCH("Feestdag",EP32)))</formula>
    </cfRule>
  </conditionalFormatting>
  <conditionalFormatting sqref="EP34">
    <cfRule type="cellIs" dxfId="520" priority="2160" operator="equal">
      <formula>"f"</formula>
    </cfRule>
    <cfRule type="containsText" dxfId="519" priority="2161" operator="containsText" text="Feestdag">
      <formula>NOT(ISERROR(SEARCH("Feestdag",EP34)))</formula>
    </cfRule>
  </conditionalFormatting>
  <conditionalFormatting sqref="EP36">
    <cfRule type="cellIs" dxfId="518" priority="2151" operator="equal">
      <formula>"f"</formula>
    </cfRule>
    <cfRule type="containsText" dxfId="517" priority="2152" operator="containsText" text="Feestdag">
      <formula>NOT(ISERROR(SEARCH("Feestdag",EP36)))</formula>
    </cfRule>
  </conditionalFormatting>
  <conditionalFormatting sqref="EP30:ET31">
    <cfRule type="cellIs" dxfId="516" priority="2180" operator="equal">
      <formula>"r"</formula>
    </cfRule>
    <cfRule type="cellIs" dxfId="515" priority="2181" operator="equal">
      <formula>"z"</formula>
    </cfRule>
    <cfRule type="cellIs" dxfId="514" priority="2182" operator="equal">
      <formula>"x"</formula>
    </cfRule>
    <cfRule type="cellIs" dxfId="513" priority="2183" operator="equal">
      <formula>"v"</formula>
    </cfRule>
    <cfRule type="cellIs" dxfId="512" priority="2184" operator="equal">
      <formula>"n"</formula>
    </cfRule>
    <cfRule type="cellIs" dxfId="511" priority="2185" operator="equal">
      <formula>"m"</formula>
    </cfRule>
    <cfRule type="cellIs" dxfId="510" priority="2186" operator="equal">
      <formula>"o"</formula>
    </cfRule>
  </conditionalFormatting>
  <conditionalFormatting sqref="EP32:ET33">
    <cfRule type="cellIs" dxfId="509" priority="2171" operator="equal">
      <formula>"r"</formula>
    </cfRule>
    <cfRule type="cellIs" dxfId="508" priority="2172" operator="equal">
      <formula>"z"</formula>
    </cfRule>
    <cfRule type="cellIs" dxfId="507" priority="2173" operator="equal">
      <formula>"x"</formula>
    </cfRule>
    <cfRule type="cellIs" dxfId="506" priority="2174" operator="equal">
      <formula>"v"</formula>
    </cfRule>
    <cfRule type="cellIs" dxfId="505" priority="2175" operator="equal">
      <formula>"n"</formula>
    </cfRule>
    <cfRule type="cellIs" dxfId="504" priority="2176" operator="equal">
      <formula>"m"</formula>
    </cfRule>
    <cfRule type="cellIs" dxfId="503" priority="2177" operator="equal">
      <formula>"o"</formula>
    </cfRule>
  </conditionalFormatting>
  <conditionalFormatting sqref="EP34:ET35">
    <cfRule type="cellIs" dxfId="502" priority="2162" operator="equal">
      <formula>"r"</formula>
    </cfRule>
    <cfRule type="cellIs" dxfId="501" priority="2163" operator="equal">
      <formula>"z"</formula>
    </cfRule>
    <cfRule type="cellIs" dxfId="500" priority="2164" operator="equal">
      <formula>"x"</formula>
    </cfRule>
    <cfRule type="cellIs" dxfId="499" priority="2165" operator="equal">
      <formula>"v"</formula>
    </cfRule>
    <cfRule type="cellIs" dxfId="498" priority="2166" operator="equal">
      <formula>"n"</formula>
    </cfRule>
    <cfRule type="cellIs" dxfId="497" priority="2167" operator="equal">
      <formula>"m"</formula>
    </cfRule>
    <cfRule type="cellIs" dxfId="496" priority="2168" operator="equal">
      <formula>"o"</formula>
    </cfRule>
  </conditionalFormatting>
  <conditionalFormatting sqref="EP36:ET36">
    <cfRule type="cellIs" dxfId="495" priority="2153" operator="equal">
      <formula>"r"</formula>
    </cfRule>
    <cfRule type="cellIs" dxfId="494" priority="2154" operator="equal">
      <formula>"z"</formula>
    </cfRule>
    <cfRule type="cellIs" dxfId="493" priority="2155" operator="equal">
      <formula>"x"</formula>
    </cfRule>
    <cfRule type="cellIs" dxfId="492" priority="2156" operator="equal">
      <formula>"v"</formula>
    </cfRule>
    <cfRule type="cellIs" dxfId="491" priority="2157" operator="equal">
      <formula>"n"</formula>
    </cfRule>
    <cfRule type="cellIs" dxfId="490" priority="2158" operator="equal">
      <formula>"m"</formula>
    </cfRule>
    <cfRule type="cellIs" dxfId="489" priority="2159" operator="equal">
      <formula>"o"</formula>
    </cfRule>
  </conditionalFormatting>
  <conditionalFormatting sqref="EU30:XFD36">
    <cfRule type="cellIs" dxfId="488" priority="1513" operator="equal">
      <formula>"r"</formula>
    </cfRule>
    <cfRule type="cellIs" dxfId="487" priority="1514" operator="equal">
      <formula>"z"</formula>
    </cfRule>
    <cfRule type="cellIs" dxfId="486" priority="1515" operator="equal">
      <formula>"x"</formula>
    </cfRule>
    <cfRule type="cellIs" dxfId="485" priority="1516" operator="equal">
      <formula>"v"</formula>
    </cfRule>
    <cfRule type="cellIs" dxfId="484" priority="1517" operator="equal">
      <formula>"n"</formula>
    </cfRule>
    <cfRule type="cellIs" dxfId="483" priority="1518" operator="equal">
      <formula>"m"</formula>
    </cfRule>
    <cfRule type="cellIs" dxfId="482" priority="1519" operator="equal">
      <formula>"o"</formula>
    </cfRule>
  </conditionalFormatting>
  <conditionalFormatting sqref="FB25:FS25">
    <cfRule type="cellIs" dxfId="481" priority="1625" operator="equal">
      <formula>"r"</formula>
    </cfRule>
    <cfRule type="cellIs" dxfId="480" priority="1626" operator="equal">
      <formula>"z"</formula>
    </cfRule>
    <cfRule type="cellIs" dxfId="479" priority="1627" operator="equal">
      <formula>"x"</formula>
    </cfRule>
    <cfRule type="cellIs" dxfId="478" priority="1628" operator="equal">
      <formula>"v"</formula>
    </cfRule>
    <cfRule type="cellIs" dxfId="477" priority="1629" operator="equal">
      <formula>"n"</formula>
    </cfRule>
    <cfRule type="cellIs" dxfId="476" priority="1630" operator="equal">
      <formula>"m"</formula>
    </cfRule>
    <cfRule type="cellIs" dxfId="475" priority="1631" operator="equal">
      <formula>"o"</formula>
    </cfRule>
  </conditionalFormatting>
  <conditionalFormatting sqref="FB26:XFD26">
    <cfRule type="cellIs" dxfId="474" priority="547" operator="equal">
      <formula>"r"</formula>
    </cfRule>
    <cfRule type="cellIs" dxfId="473" priority="548" operator="equal">
      <formula>"z"</formula>
    </cfRule>
    <cfRule type="cellIs" dxfId="472" priority="549" operator="equal">
      <formula>"x"</formula>
    </cfRule>
    <cfRule type="cellIs" dxfId="471" priority="550" operator="equal">
      <formula>"v"</formula>
    </cfRule>
    <cfRule type="cellIs" dxfId="470" priority="551" operator="equal">
      <formula>"n"</formula>
    </cfRule>
    <cfRule type="cellIs" dxfId="469" priority="552" operator="equal">
      <formula>"m"</formula>
    </cfRule>
    <cfRule type="cellIs" dxfId="468" priority="553" operator="equal">
      <formula>"o"</formula>
    </cfRule>
  </conditionalFormatting>
  <conditionalFormatting sqref="GC24:HK25">
    <cfRule type="cellIs" dxfId="467" priority="3275" operator="equal">
      <formula>"r"</formula>
    </cfRule>
    <cfRule type="cellIs" dxfId="466" priority="3276" operator="equal">
      <formula>"z"</formula>
    </cfRule>
    <cfRule type="cellIs" dxfId="465" priority="3277" operator="equal">
      <formula>"x"</formula>
    </cfRule>
    <cfRule type="cellIs" dxfId="464" priority="3278" operator="equal">
      <formula>"v"</formula>
    </cfRule>
    <cfRule type="cellIs" dxfId="463" priority="3279" operator="equal">
      <formula>"n"</formula>
    </cfRule>
    <cfRule type="cellIs" dxfId="462" priority="3280" operator="equal">
      <formula>"m"</formula>
    </cfRule>
    <cfRule type="cellIs" dxfId="461" priority="3281" operator="equal">
      <formula>"o"</formula>
    </cfRule>
  </conditionalFormatting>
  <conditionalFormatting sqref="GU26:GU27">
    <cfRule type="cellIs" dxfId="460" priority="834" operator="equal">
      <formula>"r"</formula>
    </cfRule>
    <cfRule type="cellIs" dxfId="459" priority="835" operator="equal">
      <formula>"z"</formula>
    </cfRule>
    <cfRule type="cellIs" dxfId="458" priority="836" operator="equal">
      <formula>"x"</formula>
    </cfRule>
    <cfRule type="cellIs" dxfId="457" priority="837" operator="equal">
      <formula>"v"</formula>
    </cfRule>
    <cfRule type="cellIs" dxfId="456" priority="838" operator="equal">
      <formula>"n"</formula>
    </cfRule>
    <cfRule type="cellIs" dxfId="455" priority="839" operator="equal">
      <formula>"m"</formula>
    </cfRule>
    <cfRule type="cellIs" dxfId="454" priority="840" operator="equal">
      <formula>"o"</formula>
    </cfRule>
  </conditionalFormatting>
  <conditionalFormatting sqref="GX26:GY27">
    <cfRule type="cellIs" dxfId="453" priority="827" operator="equal">
      <formula>"r"</formula>
    </cfRule>
    <cfRule type="cellIs" dxfId="452" priority="828" operator="equal">
      <formula>"z"</formula>
    </cfRule>
    <cfRule type="cellIs" dxfId="451" priority="829" operator="equal">
      <formula>"x"</formula>
    </cfRule>
    <cfRule type="cellIs" dxfId="450" priority="830" operator="equal">
      <formula>"v"</formula>
    </cfRule>
    <cfRule type="cellIs" dxfId="449" priority="831" operator="equal">
      <formula>"n"</formula>
    </cfRule>
    <cfRule type="cellIs" dxfId="448" priority="832" operator="equal">
      <formula>"m"</formula>
    </cfRule>
    <cfRule type="cellIs" dxfId="447" priority="833" operator="equal">
      <formula>"o"</formula>
    </cfRule>
  </conditionalFormatting>
  <conditionalFormatting sqref="HL25:JB25">
    <cfRule type="cellIs" dxfId="446" priority="3268" operator="equal">
      <formula>"r"</formula>
    </cfRule>
    <cfRule type="cellIs" dxfId="445" priority="3269" operator="equal">
      <formula>"z"</formula>
    </cfRule>
    <cfRule type="cellIs" dxfId="444" priority="3270" operator="equal">
      <formula>"x"</formula>
    </cfRule>
    <cfRule type="cellIs" dxfId="443" priority="3271" operator="equal">
      <formula>"v"</formula>
    </cfRule>
    <cfRule type="cellIs" dxfId="442" priority="3272" operator="equal">
      <formula>"n"</formula>
    </cfRule>
    <cfRule type="cellIs" dxfId="441" priority="3273" operator="equal">
      <formula>"m"</formula>
    </cfRule>
    <cfRule type="cellIs" dxfId="440" priority="3274" operator="equal">
      <formula>"o"</formula>
    </cfRule>
  </conditionalFormatting>
  <conditionalFormatting sqref="HL24:KC24">
    <cfRule type="cellIs" dxfId="439" priority="778" operator="equal">
      <formula>"r"</formula>
    </cfRule>
    <cfRule type="cellIs" dxfId="438" priority="779" operator="equal">
      <formula>"z"</formula>
    </cfRule>
    <cfRule type="cellIs" dxfId="437" priority="780" operator="equal">
      <formula>"x"</formula>
    </cfRule>
    <cfRule type="cellIs" dxfId="436" priority="781" operator="equal">
      <formula>"v"</formula>
    </cfRule>
    <cfRule type="cellIs" dxfId="435" priority="782" operator="equal">
      <formula>"n"</formula>
    </cfRule>
    <cfRule type="cellIs" dxfId="434" priority="783" operator="equal">
      <formula>"m"</formula>
    </cfRule>
    <cfRule type="cellIs" dxfId="433" priority="784" operator="equal">
      <formula>"o"</formula>
    </cfRule>
  </conditionalFormatting>
  <conditionalFormatting sqref="JZ22:XFD23">
    <cfRule type="cellIs" dxfId="432" priority="3408" operator="equal">
      <formula>"r"</formula>
    </cfRule>
    <cfRule type="cellIs" dxfId="431" priority="3409" operator="equal">
      <formula>"z"</formula>
    </cfRule>
    <cfRule type="cellIs" dxfId="430" priority="3410" operator="equal">
      <formula>"x"</formula>
    </cfRule>
    <cfRule type="cellIs" dxfId="429" priority="3411" operator="equal">
      <formula>"v"</formula>
    </cfRule>
    <cfRule type="cellIs" dxfId="428" priority="3412" operator="equal">
      <formula>"n"</formula>
    </cfRule>
    <cfRule type="cellIs" dxfId="427" priority="3413" operator="equal">
      <formula>"m"</formula>
    </cfRule>
    <cfRule type="cellIs" dxfId="426" priority="3414" operator="equal">
      <formula>"o"</formula>
    </cfRule>
  </conditionalFormatting>
  <conditionalFormatting sqref="KD24:XFD25">
    <cfRule type="cellIs" dxfId="425" priority="3240" operator="equal">
      <formula>"r"</formula>
    </cfRule>
    <cfRule type="cellIs" dxfId="424" priority="3241" operator="equal">
      <formula>"z"</formula>
    </cfRule>
    <cfRule type="cellIs" dxfId="423" priority="3242" operator="equal">
      <formula>"x"</formula>
    </cfRule>
    <cfRule type="cellIs" dxfId="422" priority="3243" operator="equal">
      <formula>"v"</formula>
    </cfRule>
    <cfRule type="cellIs" dxfId="421" priority="3244" operator="equal">
      <formula>"n"</formula>
    </cfRule>
    <cfRule type="cellIs" dxfId="420" priority="3245" operator="equal">
      <formula>"m"</formula>
    </cfRule>
    <cfRule type="cellIs" dxfId="419" priority="3246" operator="equal">
      <formula>"o"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4F382-83BA-4286-B6CC-A2F385917640}">
  <dimension ref="A1:BL66"/>
  <sheetViews>
    <sheetView topLeftCell="A36" workbookViewId="0">
      <pane xSplit="1" ySplit="2" topLeftCell="V38" activePane="bottomRight" state="frozen"/>
      <selection pane="bottomRight"/>
      <selection pane="bottomLeft"/>
      <selection pane="topRight"/>
    </sheetView>
  </sheetViews>
  <sheetFormatPr defaultRowHeight="13.15"/>
  <sheetData>
    <row r="1" spans="1:64">
      <c r="A1" t="s">
        <v>238</v>
      </c>
    </row>
    <row r="3" spans="1:64">
      <c r="A3" s="4"/>
      <c r="B3" s="4" t="s">
        <v>165</v>
      </c>
      <c r="C3" s="4"/>
      <c r="D3" s="4"/>
      <c r="E3" s="4"/>
      <c r="F3" s="4"/>
      <c r="G3" s="4"/>
      <c r="H3" s="4"/>
      <c r="I3" s="4" t="s">
        <v>166</v>
      </c>
      <c r="J3" s="4"/>
      <c r="K3" s="4"/>
      <c r="L3" s="4"/>
      <c r="M3" s="4"/>
      <c r="N3" s="4"/>
      <c r="O3" s="4"/>
      <c r="P3" s="4" t="s">
        <v>167</v>
      </c>
      <c r="Q3" s="4"/>
      <c r="R3" s="4"/>
      <c r="S3" s="4"/>
      <c r="T3" s="4"/>
      <c r="U3" s="4"/>
      <c r="V3" s="4"/>
      <c r="W3" s="4" t="s">
        <v>168</v>
      </c>
      <c r="X3" s="4"/>
      <c r="Y3" s="4"/>
      <c r="Z3" s="4"/>
      <c r="AA3" s="4"/>
      <c r="AB3" s="4"/>
      <c r="AC3" s="4"/>
      <c r="AD3" s="4" t="s">
        <v>169</v>
      </c>
      <c r="AE3" s="4"/>
      <c r="AF3" s="4"/>
      <c r="AG3" s="4"/>
      <c r="AH3" s="4"/>
      <c r="AI3" s="4"/>
      <c r="AJ3" s="4"/>
      <c r="AK3" s="4" t="s">
        <v>170</v>
      </c>
      <c r="AL3" s="4"/>
      <c r="AM3" s="4"/>
      <c r="AN3" s="4"/>
      <c r="AO3" s="4"/>
      <c r="AP3" s="4"/>
      <c r="AQ3" s="4"/>
      <c r="AR3" s="4" t="s">
        <v>171</v>
      </c>
      <c r="AS3" s="4"/>
      <c r="AT3" s="4"/>
      <c r="AU3" s="4"/>
      <c r="AV3" s="4"/>
      <c r="AW3" s="4"/>
      <c r="AX3" s="4"/>
      <c r="AY3" s="4" t="s">
        <v>172</v>
      </c>
      <c r="AZ3" s="4"/>
      <c r="BA3" s="4"/>
      <c r="BB3" s="4"/>
      <c r="BC3" s="4"/>
      <c r="BD3" s="4"/>
      <c r="BE3" s="4"/>
      <c r="BF3" s="4" t="s">
        <v>173</v>
      </c>
      <c r="BG3" s="4"/>
      <c r="BH3" s="4"/>
      <c r="BI3" s="4"/>
      <c r="BJ3" s="4"/>
      <c r="BK3" s="4"/>
      <c r="BL3" s="4"/>
    </row>
    <row r="4" spans="1:64">
      <c r="A4" s="2"/>
      <c r="B4" s="2" t="s">
        <v>71</v>
      </c>
      <c r="C4" s="2" t="s">
        <v>72</v>
      </c>
      <c r="D4" s="2" t="s">
        <v>66</v>
      </c>
      <c r="E4" s="2" t="s">
        <v>73</v>
      </c>
      <c r="F4" s="2" t="s">
        <v>68</v>
      </c>
      <c r="G4" s="2" t="s">
        <v>69</v>
      </c>
      <c r="H4" s="2" t="s">
        <v>70</v>
      </c>
      <c r="I4" s="2" t="s">
        <v>71</v>
      </c>
      <c r="J4" s="2" t="s">
        <v>72</v>
      </c>
      <c r="K4" s="2" t="s">
        <v>66</v>
      </c>
      <c r="L4" s="2" t="s">
        <v>73</v>
      </c>
      <c r="M4" s="2" t="s">
        <v>68</v>
      </c>
      <c r="N4" s="2" t="s">
        <v>69</v>
      </c>
      <c r="O4" s="2" t="s">
        <v>70</v>
      </c>
      <c r="P4" s="2" t="s">
        <v>71</v>
      </c>
      <c r="Q4" s="2" t="s">
        <v>72</v>
      </c>
      <c r="R4" s="2" t="s">
        <v>66</v>
      </c>
      <c r="S4" s="2" t="s">
        <v>73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  <c r="Y4" s="2" t="s">
        <v>66</v>
      </c>
      <c r="Z4" s="2" t="s">
        <v>73</v>
      </c>
      <c r="AA4" s="2" t="s">
        <v>68</v>
      </c>
      <c r="AB4" s="2" t="s">
        <v>69</v>
      </c>
      <c r="AC4" s="2" t="s">
        <v>70</v>
      </c>
      <c r="AD4" s="2" t="s">
        <v>71</v>
      </c>
      <c r="AE4" s="2" t="s">
        <v>72</v>
      </c>
      <c r="AF4" s="2" t="s">
        <v>66</v>
      </c>
      <c r="AG4" s="2" t="s">
        <v>73</v>
      </c>
      <c r="AH4" s="2" t="s">
        <v>68</v>
      </c>
      <c r="AI4" s="2" t="s">
        <v>69</v>
      </c>
      <c r="AJ4" s="2" t="s">
        <v>70</v>
      </c>
      <c r="AK4" s="2" t="s">
        <v>71</v>
      </c>
      <c r="AL4" s="2" t="s">
        <v>72</v>
      </c>
      <c r="AM4" s="2" t="s">
        <v>66</v>
      </c>
      <c r="AN4" s="2" t="s">
        <v>73</v>
      </c>
      <c r="AO4" s="2" t="s">
        <v>68</v>
      </c>
      <c r="AP4" s="2" t="s">
        <v>69</v>
      </c>
      <c r="AQ4" s="2" t="s">
        <v>70</v>
      </c>
      <c r="AR4" s="2" t="s">
        <v>71</v>
      </c>
      <c r="AS4" s="2" t="s">
        <v>72</v>
      </c>
      <c r="AT4" s="2" t="s">
        <v>66</v>
      </c>
      <c r="AU4" s="2" t="s">
        <v>73</v>
      </c>
      <c r="AV4" s="2" t="s">
        <v>68</v>
      </c>
      <c r="AW4" s="2" t="s">
        <v>69</v>
      </c>
      <c r="AX4" s="2" t="s">
        <v>70</v>
      </c>
      <c r="AY4" s="2" t="s">
        <v>71</v>
      </c>
      <c r="AZ4" s="2" t="s">
        <v>72</v>
      </c>
      <c r="BA4" s="2" t="s">
        <v>66</v>
      </c>
      <c r="BB4" s="2" t="s">
        <v>73</v>
      </c>
      <c r="BC4" s="2" t="s">
        <v>68</v>
      </c>
      <c r="BD4" s="2" t="s">
        <v>69</v>
      </c>
      <c r="BE4" s="2" t="s">
        <v>70</v>
      </c>
      <c r="BF4" s="2" t="s">
        <v>71</v>
      </c>
      <c r="BG4" s="2" t="s">
        <v>72</v>
      </c>
      <c r="BH4" s="2" t="s">
        <v>66</v>
      </c>
      <c r="BI4" s="2" t="s">
        <v>73</v>
      </c>
      <c r="BJ4" s="2" t="s">
        <v>68</v>
      </c>
      <c r="BK4" s="2" t="s">
        <v>69</v>
      </c>
      <c r="BL4" s="2" t="s">
        <v>70</v>
      </c>
    </row>
    <row r="5" spans="1:64">
      <c r="A5" s="3"/>
      <c r="B5" s="45">
        <v>43616</v>
      </c>
      <c r="C5" s="45">
        <v>43617</v>
      </c>
      <c r="D5" s="45">
        <v>43618</v>
      </c>
      <c r="E5" s="45">
        <v>43619</v>
      </c>
      <c r="F5" s="45">
        <v>43620</v>
      </c>
      <c r="G5" s="45">
        <v>43621</v>
      </c>
      <c r="H5" s="45">
        <v>43622</v>
      </c>
      <c r="I5" s="45">
        <v>43623</v>
      </c>
      <c r="J5" s="45">
        <v>43624</v>
      </c>
      <c r="K5" s="45">
        <v>43625</v>
      </c>
      <c r="L5" s="45">
        <v>43626</v>
      </c>
      <c r="M5" s="45">
        <v>43627</v>
      </c>
      <c r="N5" s="45">
        <v>43628</v>
      </c>
      <c r="O5" s="45">
        <v>43995</v>
      </c>
      <c r="P5" s="45">
        <v>44361</v>
      </c>
      <c r="Q5" s="45">
        <v>43631</v>
      </c>
      <c r="R5" s="45">
        <v>43632</v>
      </c>
      <c r="S5" s="45">
        <v>43633</v>
      </c>
      <c r="T5" s="45">
        <v>43634</v>
      </c>
      <c r="U5" s="45">
        <v>43635</v>
      </c>
      <c r="V5" s="45">
        <v>43636</v>
      </c>
      <c r="W5" s="45">
        <v>43637</v>
      </c>
      <c r="X5" s="45">
        <v>43638</v>
      </c>
      <c r="Y5" s="45">
        <v>43639</v>
      </c>
      <c r="Z5" s="45">
        <v>43640</v>
      </c>
      <c r="AA5" s="45">
        <v>43641</v>
      </c>
      <c r="AB5" s="45">
        <v>43642</v>
      </c>
      <c r="AC5" s="45">
        <v>43643</v>
      </c>
      <c r="AD5" s="45">
        <v>43644</v>
      </c>
      <c r="AE5" s="45">
        <v>43645</v>
      </c>
      <c r="AF5" s="45">
        <v>43646</v>
      </c>
      <c r="AG5" s="45">
        <v>43647</v>
      </c>
      <c r="AH5" s="45">
        <v>43648</v>
      </c>
      <c r="AI5" s="45">
        <v>43649</v>
      </c>
      <c r="AJ5" s="45">
        <v>43650</v>
      </c>
      <c r="AK5" s="45">
        <v>43651</v>
      </c>
      <c r="AL5" s="45">
        <v>43652</v>
      </c>
      <c r="AM5" s="45">
        <v>43653</v>
      </c>
      <c r="AN5" s="45">
        <v>43654</v>
      </c>
      <c r="AO5" s="45">
        <v>43655</v>
      </c>
      <c r="AP5" s="45">
        <v>43656</v>
      </c>
      <c r="AQ5" s="45">
        <v>43657</v>
      </c>
      <c r="AR5" s="45">
        <v>43658</v>
      </c>
      <c r="AS5" s="45">
        <v>43659</v>
      </c>
      <c r="AT5" s="45">
        <v>43660</v>
      </c>
      <c r="AU5" s="45">
        <v>43661</v>
      </c>
      <c r="AV5" s="45">
        <v>43662</v>
      </c>
      <c r="AW5" s="45">
        <v>43663</v>
      </c>
      <c r="AX5" s="45">
        <v>43664</v>
      </c>
      <c r="AY5" s="45">
        <v>43665</v>
      </c>
      <c r="AZ5" s="45">
        <v>43666</v>
      </c>
      <c r="BA5" s="45">
        <v>43667</v>
      </c>
      <c r="BB5" s="45">
        <v>43668</v>
      </c>
      <c r="BC5" s="45">
        <v>43669</v>
      </c>
      <c r="BD5" s="45">
        <v>43670</v>
      </c>
      <c r="BE5" s="45">
        <v>43671</v>
      </c>
      <c r="BF5" s="45">
        <v>43672</v>
      </c>
      <c r="BG5" s="45">
        <v>43673</v>
      </c>
      <c r="BH5" s="45">
        <v>43674</v>
      </c>
      <c r="BI5" s="45">
        <v>43675</v>
      </c>
      <c r="BJ5" s="45">
        <v>43676</v>
      </c>
      <c r="BK5" s="45">
        <v>43677</v>
      </c>
      <c r="BL5" s="45">
        <v>43678</v>
      </c>
    </row>
    <row r="6" spans="1:64">
      <c r="A6" s="12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</row>
    <row r="7" spans="1:64">
      <c r="A7" s="12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</row>
    <row r="8" spans="1:64">
      <c r="A8" s="1" t="s">
        <v>202</v>
      </c>
      <c r="B8" s="1" t="s">
        <v>0</v>
      </c>
      <c r="C8" s="1" t="s">
        <v>0</v>
      </c>
      <c r="D8" s="1" t="s">
        <v>2</v>
      </c>
      <c r="E8" s="1" t="s">
        <v>2</v>
      </c>
      <c r="F8" s="1" t="s">
        <v>4</v>
      </c>
      <c r="G8" s="1" t="s">
        <v>4</v>
      </c>
      <c r="H8" s="1"/>
      <c r="I8" s="1"/>
      <c r="J8" s="11"/>
      <c r="K8" s="11" t="s">
        <v>0</v>
      </c>
      <c r="L8" s="11" t="s">
        <v>2</v>
      </c>
      <c r="M8" s="11" t="s">
        <v>2</v>
      </c>
      <c r="N8" s="1" t="s">
        <v>4</v>
      </c>
      <c r="O8" s="1" t="s">
        <v>4</v>
      </c>
      <c r="P8" s="11"/>
      <c r="Q8" s="11"/>
      <c r="R8" s="11"/>
      <c r="S8" s="11" t="s">
        <v>0</v>
      </c>
      <c r="T8" s="11" t="s">
        <v>0</v>
      </c>
      <c r="U8" s="11" t="s">
        <v>0</v>
      </c>
      <c r="V8" s="11" t="s">
        <v>2</v>
      </c>
      <c r="W8" s="11" t="s">
        <v>4</v>
      </c>
      <c r="X8" s="11" t="s">
        <v>4</v>
      </c>
      <c r="Y8" s="11"/>
      <c r="Z8" s="11"/>
      <c r="AA8" s="11"/>
      <c r="AB8" s="1" t="s">
        <v>0</v>
      </c>
      <c r="AC8" s="1" t="s">
        <v>2</v>
      </c>
      <c r="AD8" s="1" t="s">
        <v>2</v>
      </c>
      <c r="AE8" s="1" t="s">
        <v>4</v>
      </c>
      <c r="AF8" s="1" t="s">
        <v>4</v>
      </c>
      <c r="AG8" s="1"/>
      <c r="AH8" s="1"/>
      <c r="AI8" s="1"/>
      <c r="AJ8" s="1"/>
      <c r="AK8" s="53" t="s">
        <v>0</v>
      </c>
      <c r="AL8" s="53" t="s">
        <v>0</v>
      </c>
      <c r="AM8" s="53" t="s">
        <v>2</v>
      </c>
      <c r="AN8" s="53" t="s">
        <v>2</v>
      </c>
      <c r="AO8" s="53" t="s">
        <v>4</v>
      </c>
      <c r="AP8" s="1"/>
      <c r="AQ8" s="1"/>
      <c r="AR8" s="1"/>
      <c r="AS8" s="1"/>
      <c r="AT8" s="1" t="s">
        <v>0</v>
      </c>
      <c r="AU8" s="1" t="s">
        <v>0</v>
      </c>
      <c r="AV8" s="1" t="s">
        <v>2</v>
      </c>
      <c r="AW8" s="1" t="s">
        <v>4</v>
      </c>
      <c r="AX8" s="1" t="s">
        <v>4</v>
      </c>
      <c r="AY8" s="1"/>
      <c r="AZ8" s="1"/>
      <c r="BA8" s="1"/>
      <c r="BB8" s="1"/>
      <c r="BC8" s="1" t="s">
        <v>0</v>
      </c>
      <c r="BD8" s="1" t="s">
        <v>2</v>
      </c>
      <c r="BE8" s="1" t="s">
        <v>2</v>
      </c>
      <c r="BF8" s="1" t="s">
        <v>4</v>
      </c>
      <c r="BG8" s="1" t="s">
        <v>4</v>
      </c>
      <c r="BH8" s="1"/>
      <c r="BI8" s="1"/>
      <c r="BJ8" s="1"/>
      <c r="BK8" s="1" t="s">
        <v>0</v>
      </c>
      <c r="BL8" s="1" t="s">
        <v>0</v>
      </c>
    </row>
    <row r="9" spans="1:64">
      <c r="A9" s="1"/>
      <c r="B9" s="1"/>
      <c r="C9" s="1"/>
      <c r="D9" s="1"/>
      <c r="E9" s="1"/>
      <c r="F9" s="1"/>
      <c r="G9" s="1"/>
      <c r="H9" s="1"/>
      <c r="I9" s="1"/>
      <c r="J9" s="11"/>
      <c r="K9" s="11"/>
      <c r="L9" s="11"/>
      <c r="M9" s="11"/>
      <c r="N9" s="11"/>
      <c r="O9" s="11"/>
      <c r="P9" s="11"/>
      <c r="Q9" s="11"/>
      <c r="R9" s="11"/>
      <c r="S9" s="1" t="s">
        <v>215</v>
      </c>
      <c r="T9" s="1" t="s">
        <v>215</v>
      </c>
      <c r="U9" s="11"/>
      <c r="V9" s="11"/>
      <c r="W9" s="11"/>
      <c r="X9" s="11"/>
      <c r="Y9" s="11"/>
      <c r="Z9" s="11"/>
      <c r="AA9" s="11"/>
      <c r="AB9" s="1"/>
      <c r="AC9" s="1"/>
      <c r="AD9" s="1"/>
      <c r="AE9" s="1"/>
      <c r="AF9" s="1"/>
      <c r="AG9" s="1"/>
      <c r="AH9" s="52" t="s">
        <v>209</v>
      </c>
      <c r="AI9" s="52" t="s">
        <v>209</v>
      </c>
      <c r="AJ9" s="52" t="s">
        <v>209</v>
      </c>
      <c r="AK9" s="52" t="s">
        <v>209</v>
      </c>
      <c r="AL9" s="52" t="s">
        <v>209</v>
      </c>
      <c r="AM9" s="52" t="s">
        <v>209</v>
      </c>
      <c r="AN9" s="52" t="s">
        <v>209</v>
      </c>
      <c r="AO9" s="52" t="s">
        <v>209</v>
      </c>
      <c r="AP9" s="52" t="s">
        <v>209</v>
      </c>
      <c r="AQ9" s="52" t="s">
        <v>209</v>
      </c>
      <c r="AR9" s="52" t="s">
        <v>209</v>
      </c>
      <c r="AS9" s="52" t="s">
        <v>209</v>
      </c>
      <c r="AT9" s="52" t="s">
        <v>209</v>
      </c>
      <c r="AU9" s="52" t="s">
        <v>209</v>
      </c>
      <c r="AV9" s="52" t="s">
        <v>209</v>
      </c>
      <c r="AW9" s="52" t="s">
        <v>209</v>
      </c>
      <c r="AX9" s="52" t="s">
        <v>209</v>
      </c>
      <c r="AY9" s="52" t="s">
        <v>209</v>
      </c>
      <c r="AZ9" s="52" t="s">
        <v>209</v>
      </c>
      <c r="BA9" s="52" t="s">
        <v>209</v>
      </c>
      <c r="BB9" s="52" t="s">
        <v>209</v>
      </c>
      <c r="BC9" s="52" t="s">
        <v>209</v>
      </c>
      <c r="BD9" s="52" t="s">
        <v>209</v>
      </c>
      <c r="BE9" s="52" t="s">
        <v>209</v>
      </c>
      <c r="BF9" s="52" t="s">
        <v>209</v>
      </c>
      <c r="BG9" s="52" t="s">
        <v>209</v>
      </c>
      <c r="BH9" s="1"/>
      <c r="BI9" s="1"/>
      <c r="BJ9" s="1"/>
      <c r="BK9" s="1"/>
      <c r="BL9" s="1"/>
    </row>
    <row r="10" spans="1:64">
      <c r="A10" s="1"/>
      <c r="B10" s="1"/>
      <c r="C10" s="1"/>
      <c r="D10" s="1"/>
      <c r="E10" s="1"/>
      <c r="F10" s="1"/>
      <c r="G10" s="1"/>
      <c r="H10" s="1"/>
      <c r="I10" s="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</row>
    <row r="11" spans="1:64">
      <c r="A11" s="1" t="s">
        <v>79</v>
      </c>
      <c r="B11" s="1"/>
      <c r="C11" s="1"/>
      <c r="D11" s="1"/>
      <c r="E11" s="1"/>
      <c r="F11" s="11" t="s">
        <v>0</v>
      </c>
      <c r="G11" s="11" t="s">
        <v>0</v>
      </c>
      <c r="H11" s="1" t="s">
        <v>2</v>
      </c>
      <c r="I11" s="1" t="s">
        <v>4</v>
      </c>
      <c r="J11" s="11" t="s">
        <v>4</v>
      </c>
      <c r="K11" s="11"/>
      <c r="L11" s="11"/>
      <c r="M11" s="11"/>
      <c r="N11" s="11" t="s">
        <v>0</v>
      </c>
      <c r="O11" s="11" t="s">
        <v>0</v>
      </c>
      <c r="P11" s="11" t="s">
        <v>2</v>
      </c>
      <c r="Q11" s="11" t="s">
        <v>2</v>
      </c>
      <c r="R11" s="1" t="s">
        <v>4</v>
      </c>
      <c r="S11" s="1" t="s">
        <v>4</v>
      </c>
      <c r="T11" s="11"/>
      <c r="U11" s="11"/>
      <c r="V11" s="11" t="s">
        <v>0</v>
      </c>
      <c r="W11" s="11" t="s">
        <v>2</v>
      </c>
      <c r="X11" s="11" t="s">
        <v>2</v>
      </c>
      <c r="Y11" s="11" t="s">
        <v>4</v>
      </c>
      <c r="Z11" s="11" t="s">
        <v>4</v>
      </c>
      <c r="AA11" s="1"/>
      <c r="AB11" s="1"/>
      <c r="AC11" s="1" t="s">
        <v>0</v>
      </c>
      <c r="AD11" s="1" t="s">
        <v>0</v>
      </c>
      <c r="AE11" s="1" t="s">
        <v>2</v>
      </c>
      <c r="AF11" s="1" t="s">
        <v>2</v>
      </c>
      <c r="AG11" s="1" t="s">
        <v>4</v>
      </c>
      <c r="AH11" s="1" t="s">
        <v>4</v>
      </c>
      <c r="AI11" s="1"/>
      <c r="AJ11" s="1"/>
      <c r="AK11" s="1" t="s">
        <v>0</v>
      </c>
      <c r="AL11" s="1" t="s">
        <v>0</v>
      </c>
      <c r="AM11" s="1" t="s">
        <v>2</v>
      </c>
      <c r="AN11" s="1" t="s">
        <v>2</v>
      </c>
      <c r="AO11" s="1" t="s">
        <v>4</v>
      </c>
      <c r="AP11" s="1"/>
      <c r="AQ11" s="1"/>
      <c r="AR11" s="1" t="s">
        <v>0</v>
      </c>
      <c r="AS11" s="1" t="s">
        <v>0</v>
      </c>
      <c r="AT11" s="1" t="s">
        <v>2</v>
      </c>
      <c r="AU11" s="1" t="s">
        <v>2</v>
      </c>
      <c r="AV11" s="1" t="s">
        <v>4</v>
      </c>
      <c r="AW11" s="1"/>
      <c r="AX11" s="1"/>
      <c r="AY11" s="1"/>
      <c r="AZ11" s="1" t="s">
        <v>0</v>
      </c>
      <c r="BA11" s="1" t="s">
        <v>0</v>
      </c>
      <c r="BB11" s="1" t="s">
        <v>4</v>
      </c>
      <c r="BC11" s="1" t="s">
        <v>4</v>
      </c>
      <c r="BD11" s="1"/>
      <c r="BE11" s="1"/>
      <c r="BF11" s="1" t="s">
        <v>0</v>
      </c>
      <c r="BG11" s="1" t="s">
        <v>0</v>
      </c>
      <c r="BH11" s="1" t="s">
        <v>2</v>
      </c>
      <c r="BI11" s="1" t="s">
        <v>2</v>
      </c>
      <c r="BJ11" s="1" t="s">
        <v>4</v>
      </c>
      <c r="BK11" s="1"/>
      <c r="BL11" s="1"/>
    </row>
    <row r="12" spans="1:64">
      <c r="A12" s="1"/>
      <c r="B12" s="1"/>
      <c r="C12" s="1"/>
      <c r="D12" s="1"/>
      <c r="E12" s="1"/>
      <c r="F12" s="1"/>
      <c r="G12" s="1"/>
      <c r="H12" s="1"/>
      <c r="I12" s="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 t="s">
        <v>215</v>
      </c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</row>
    <row r="13" spans="1:64">
      <c r="A13" s="1" t="s">
        <v>77</v>
      </c>
      <c r="B13" s="1"/>
      <c r="C13" s="1"/>
      <c r="D13" s="1" t="s">
        <v>0</v>
      </c>
      <c r="E13" s="1" t="s">
        <v>0</v>
      </c>
      <c r="F13" s="1" t="s">
        <v>2</v>
      </c>
      <c r="G13" s="1" t="s">
        <v>2</v>
      </c>
      <c r="H13" s="1" t="s">
        <v>4</v>
      </c>
      <c r="I13" s="11"/>
      <c r="J13" s="11"/>
      <c r="K13" s="11"/>
      <c r="L13" s="11" t="s">
        <v>0</v>
      </c>
      <c r="M13" s="11" t="s">
        <v>0</v>
      </c>
      <c r="N13" s="11" t="s">
        <v>2</v>
      </c>
      <c r="O13" s="11" t="s">
        <v>2</v>
      </c>
      <c r="P13" s="1" t="s">
        <v>4</v>
      </c>
      <c r="Q13" s="1" t="s">
        <v>4</v>
      </c>
      <c r="R13" s="11"/>
      <c r="S13" s="11"/>
      <c r="T13" s="1" t="s">
        <v>4</v>
      </c>
      <c r="U13" s="1" t="s">
        <v>4</v>
      </c>
      <c r="V13" s="11"/>
      <c r="W13" s="11"/>
      <c r="X13" s="11"/>
      <c r="Y13" s="11"/>
      <c r="Z13" s="11"/>
      <c r="AA13" s="1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 t="s">
        <v>2</v>
      </c>
      <c r="AM13" s="1" t="s">
        <v>4</v>
      </c>
      <c r="AN13" s="1" t="s">
        <v>4</v>
      </c>
      <c r="AO13" s="1"/>
      <c r="AP13" s="1" t="s">
        <v>0</v>
      </c>
      <c r="AQ13" s="1" t="s">
        <v>0</v>
      </c>
      <c r="AR13" s="1" t="s">
        <v>2</v>
      </c>
      <c r="AS13" s="1" t="s">
        <v>2</v>
      </c>
      <c r="AT13" s="1" t="s">
        <v>4</v>
      </c>
      <c r="AU13" s="1"/>
      <c r="AV13" s="1"/>
      <c r="AW13" s="1" t="s">
        <v>0</v>
      </c>
      <c r="AX13" s="1" t="s">
        <v>0</v>
      </c>
      <c r="AY13" s="1" t="s">
        <v>0</v>
      </c>
      <c r="AZ13" s="1" t="s">
        <v>2</v>
      </c>
      <c r="BA13" s="1" t="s">
        <v>4</v>
      </c>
      <c r="BB13" s="1"/>
      <c r="BC13" s="1"/>
      <c r="BD13" s="1"/>
      <c r="BE13" s="1" t="s">
        <v>0</v>
      </c>
      <c r="BF13" s="1" t="s">
        <v>2</v>
      </c>
      <c r="BG13" s="1" t="s">
        <v>2</v>
      </c>
      <c r="BH13" s="1" t="s">
        <v>4</v>
      </c>
      <c r="BI13" s="1" t="s">
        <v>4</v>
      </c>
      <c r="BJ13" s="1"/>
      <c r="BK13" s="1"/>
      <c r="BL13" s="1"/>
    </row>
    <row r="14" spans="1:6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49" t="s">
        <v>209</v>
      </c>
      <c r="W14" s="49" t="s">
        <v>209</v>
      </c>
      <c r="X14" s="49" t="s">
        <v>209</v>
      </c>
      <c r="Y14" s="49" t="s">
        <v>209</v>
      </c>
      <c r="Z14" s="49" t="s">
        <v>209</v>
      </c>
      <c r="AA14" s="49" t="s">
        <v>209</v>
      </c>
      <c r="AB14" s="49" t="s">
        <v>209</v>
      </c>
      <c r="AC14" s="49" t="s">
        <v>209</v>
      </c>
      <c r="AD14" s="49" t="s">
        <v>209</v>
      </c>
      <c r="AE14" s="49" t="s">
        <v>209</v>
      </c>
      <c r="AF14" s="49" t="s">
        <v>209</v>
      </c>
      <c r="AG14" s="49" t="s">
        <v>209</v>
      </c>
      <c r="AH14" s="49" t="s">
        <v>209</v>
      </c>
      <c r="AI14" s="49" t="s">
        <v>209</v>
      </c>
      <c r="AJ14" s="49" t="s">
        <v>209</v>
      </c>
      <c r="AK14" s="49" t="s">
        <v>209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 t="s">
        <v>215</v>
      </c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</row>
    <row r="15" spans="1:64">
      <c r="A15" s="1" t="s">
        <v>85</v>
      </c>
      <c r="B15" s="1" t="s">
        <v>4</v>
      </c>
      <c r="C15" s="1" t="s">
        <v>4</v>
      </c>
      <c r="D15" s="1"/>
      <c r="E15" s="1"/>
      <c r="F15" s="1"/>
      <c r="G15" s="53" t="s">
        <v>0</v>
      </c>
      <c r="H15" s="53" t="s">
        <v>0</v>
      </c>
      <c r="I15" s="53" t="s">
        <v>2</v>
      </c>
      <c r="J15" s="53" t="s">
        <v>2</v>
      </c>
      <c r="K15" s="53" t="s">
        <v>4</v>
      </c>
      <c r="L15" s="53" t="s">
        <v>4</v>
      </c>
      <c r="M15" s="1"/>
      <c r="N15" s="1"/>
      <c r="O15" s="1"/>
      <c r="P15" s="53" t="s">
        <v>0</v>
      </c>
      <c r="Q15" s="53" t="s">
        <v>0</v>
      </c>
      <c r="R15" s="53" t="s">
        <v>2</v>
      </c>
      <c r="S15" s="53" t="s">
        <v>2</v>
      </c>
      <c r="T15" s="53" t="s">
        <v>4</v>
      </c>
      <c r="U15" s="1"/>
      <c r="V15" s="1"/>
      <c r="W15" s="1"/>
      <c r="X15" s="1"/>
      <c r="Y15" s="53" t="s">
        <v>0</v>
      </c>
      <c r="Z15" s="53" t="s">
        <v>0</v>
      </c>
      <c r="AA15" s="53" t="s">
        <v>2</v>
      </c>
      <c r="AB15" s="53" t="s">
        <v>4</v>
      </c>
      <c r="AC15" s="53" t="s">
        <v>4</v>
      </c>
      <c r="AD15" s="1"/>
      <c r="AE15" s="1"/>
      <c r="AF15" s="1"/>
      <c r="AG15" s="1"/>
      <c r="AH15" s="53" t="s">
        <v>0</v>
      </c>
      <c r="AI15" s="53" t="s">
        <v>2</v>
      </c>
      <c r="AJ15" s="53" t="s">
        <v>2</v>
      </c>
      <c r="AK15" s="53" t="s">
        <v>4</v>
      </c>
      <c r="AL15" s="53" t="s">
        <v>4</v>
      </c>
      <c r="AM15" s="1"/>
      <c r="AN15" s="1"/>
      <c r="AO15" s="1"/>
      <c r="AP15" s="53" t="s">
        <v>0</v>
      </c>
      <c r="AQ15" s="53" t="s">
        <v>0</v>
      </c>
      <c r="AR15" s="53" t="s">
        <v>2</v>
      </c>
      <c r="AS15" s="53" t="s">
        <v>2</v>
      </c>
      <c r="AT15" s="53" t="s">
        <v>4</v>
      </c>
      <c r="AU15" s="53" t="s">
        <v>4</v>
      </c>
      <c r="AV15" s="1"/>
      <c r="AW15" s="1"/>
      <c r="AX15" s="1"/>
      <c r="AY15" s="53" t="s">
        <v>0</v>
      </c>
      <c r="AZ15" s="53" t="s">
        <v>0</v>
      </c>
      <c r="BA15" s="53" t="s">
        <v>2</v>
      </c>
      <c r="BB15" s="53" t="s">
        <v>2</v>
      </c>
      <c r="BC15" s="53" t="s">
        <v>4</v>
      </c>
      <c r="BD15" s="1"/>
      <c r="BE15" s="1"/>
      <c r="BF15" s="1"/>
      <c r="BG15" s="1"/>
      <c r="BH15" s="1" t="s">
        <v>0</v>
      </c>
      <c r="BI15" s="1" t="s">
        <v>0</v>
      </c>
      <c r="BJ15" s="1" t="s">
        <v>2</v>
      </c>
      <c r="BK15" s="1" t="s">
        <v>4</v>
      </c>
      <c r="BL15" s="1" t="s">
        <v>4</v>
      </c>
    </row>
    <row r="16" spans="1:64">
      <c r="A16" s="1"/>
      <c r="B16" s="49" t="s">
        <v>214</v>
      </c>
      <c r="C16" s="49" t="s">
        <v>214</v>
      </c>
      <c r="D16" s="1"/>
      <c r="E16" s="1"/>
      <c r="F16" s="1"/>
      <c r="G16" s="1" t="s">
        <v>10</v>
      </c>
      <c r="H16" s="1" t="s">
        <v>10</v>
      </c>
      <c r="I16" s="1" t="s">
        <v>10</v>
      </c>
      <c r="J16" s="1" t="s">
        <v>10</v>
      </c>
      <c r="K16" s="1" t="s">
        <v>10</v>
      </c>
      <c r="L16" s="1" t="s">
        <v>10</v>
      </c>
      <c r="M16" s="1"/>
      <c r="N16" s="1"/>
      <c r="O16" s="1"/>
      <c r="P16" s="1" t="s">
        <v>10</v>
      </c>
      <c r="Q16" s="1" t="s">
        <v>10</v>
      </c>
      <c r="R16" s="1" t="s">
        <v>10</v>
      </c>
      <c r="S16" s="1" t="s">
        <v>10</v>
      </c>
      <c r="T16" s="1" t="s">
        <v>10</v>
      </c>
      <c r="U16" s="1"/>
      <c r="V16" s="1"/>
      <c r="W16" s="1"/>
      <c r="X16" s="1"/>
      <c r="Y16" s="1" t="s">
        <v>10</v>
      </c>
      <c r="Z16" s="1" t="s">
        <v>10</v>
      </c>
      <c r="AA16" s="1" t="s">
        <v>10</v>
      </c>
      <c r="AB16" s="1" t="s">
        <v>10</v>
      </c>
      <c r="AC16" s="1" t="s">
        <v>10</v>
      </c>
      <c r="AD16" s="1"/>
      <c r="AE16" s="1"/>
      <c r="AF16" s="1"/>
      <c r="AG16" s="1"/>
      <c r="AH16" s="1" t="s">
        <v>10</v>
      </c>
      <c r="AI16" s="1" t="s">
        <v>10</v>
      </c>
      <c r="AJ16" s="1" t="s">
        <v>10</v>
      </c>
      <c r="AK16" s="1" t="s">
        <v>10</v>
      </c>
      <c r="AL16" s="1" t="s">
        <v>10</v>
      </c>
      <c r="AM16" s="1"/>
      <c r="AN16" s="1"/>
      <c r="AO16" s="1"/>
      <c r="AP16" s="1" t="s">
        <v>10</v>
      </c>
      <c r="AQ16" s="1" t="s">
        <v>10</v>
      </c>
      <c r="AR16" s="1" t="s">
        <v>10</v>
      </c>
      <c r="AS16" s="1" t="s">
        <v>10</v>
      </c>
      <c r="AT16" s="1" t="s">
        <v>10</v>
      </c>
      <c r="AU16" s="1" t="s">
        <v>10</v>
      </c>
      <c r="AV16" s="1"/>
      <c r="AW16" s="1"/>
      <c r="AX16" s="1"/>
      <c r="AY16" s="1" t="s">
        <v>10</v>
      </c>
      <c r="AZ16" s="1" t="s">
        <v>10</v>
      </c>
      <c r="BA16" s="1" t="s">
        <v>10</v>
      </c>
      <c r="BB16" s="1" t="s">
        <v>10</v>
      </c>
      <c r="BC16" s="1" t="s">
        <v>10</v>
      </c>
      <c r="BD16" s="1"/>
      <c r="BE16" s="1"/>
      <c r="BF16" s="1"/>
      <c r="BG16" s="1"/>
      <c r="BH16" s="1" t="s">
        <v>10</v>
      </c>
      <c r="BI16" s="1" t="s">
        <v>10</v>
      </c>
      <c r="BJ16" s="1" t="s">
        <v>10</v>
      </c>
      <c r="BK16" s="1" t="s">
        <v>10</v>
      </c>
      <c r="BL16" s="1" t="s">
        <v>10</v>
      </c>
    </row>
    <row r="17" spans="1:64">
      <c r="A17" s="1" t="s">
        <v>78</v>
      </c>
      <c r="B17" s="1" t="s">
        <v>4</v>
      </c>
      <c r="C17" s="1" t="s">
        <v>4</v>
      </c>
      <c r="D17" s="1"/>
      <c r="E17" s="1"/>
      <c r="F17" s="1"/>
      <c r="G17" s="1" t="s">
        <v>0</v>
      </c>
      <c r="H17" s="1" t="s">
        <v>0</v>
      </c>
      <c r="I17" s="1" t="s">
        <v>2</v>
      </c>
      <c r="J17" s="1" t="s">
        <v>2</v>
      </c>
      <c r="K17" s="11" t="s">
        <v>4</v>
      </c>
      <c r="L17" s="1"/>
      <c r="M17" s="1"/>
      <c r="N17" s="1"/>
      <c r="O17" s="1"/>
      <c r="P17" s="11" t="s">
        <v>0</v>
      </c>
      <c r="Q17" s="11" t="s">
        <v>0</v>
      </c>
      <c r="R17" s="11" t="s">
        <v>0</v>
      </c>
      <c r="S17" s="1"/>
      <c r="T17" s="1"/>
      <c r="U17" s="11" t="s">
        <v>2</v>
      </c>
      <c r="V17" s="11" t="s">
        <v>2</v>
      </c>
      <c r="W17" s="1"/>
      <c r="X17" s="1"/>
      <c r="Y17" s="1" t="s">
        <v>0</v>
      </c>
      <c r="Z17" s="1" t="s">
        <v>0</v>
      </c>
      <c r="AA17" s="1" t="s">
        <v>0</v>
      </c>
      <c r="AB17" s="1" t="s">
        <v>2</v>
      </c>
      <c r="AC17" s="1" t="s">
        <v>4</v>
      </c>
      <c r="AD17" s="1" t="s">
        <v>4</v>
      </c>
      <c r="AE17" s="1"/>
      <c r="AF17" s="1"/>
      <c r="AG17" s="1"/>
      <c r="AH17" s="1" t="s">
        <v>0</v>
      </c>
      <c r="AI17" s="1" t="s">
        <v>0</v>
      </c>
      <c r="AJ17" s="1" t="s">
        <v>0</v>
      </c>
      <c r="AK17" s="1" t="s">
        <v>4</v>
      </c>
      <c r="AL17" s="1" t="s">
        <v>4</v>
      </c>
      <c r="AM17" s="1"/>
      <c r="AN17" s="1"/>
      <c r="AO17" s="1" t="s">
        <v>0</v>
      </c>
      <c r="AP17" s="1" t="s">
        <v>2</v>
      </c>
      <c r="AQ17" s="1" t="s">
        <v>2</v>
      </c>
      <c r="AR17" s="1" t="s">
        <v>4</v>
      </c>
      <c r="AS17" s="1" t="s">
        <v>4</v>
      </c>
      <c r="AT17" s="1"/>
      <c r="AU17" s="1"/>
      <c r="AV17" s="1" t="s">
        <v>0</v>
      </c>
      <c r="AW17" s="1" t="s">
        <v>2</v>
      </c>
      <c r="AX17" s="1" t="s">
        <v>2</v>
      </c>
      <c r="AY17" s="1" t="s">
        <v>4</v>
      </c>
      <c r="AZ17" s="1" t="s">
        <v>4</v>
      </c>
      <c r="BA17" s="1"/>
      <c r="BB17" s="1"/>
      <c r="BC17" s="1"/>
      <c r="BD17" s="1" t="s">
        <v>0</v>
      </c>
      <c r="BE17" s="1"/>
      <c r="BF17" s="1"/>
      <c r="BG17" s="1"/>
      <c r="BH17" s="1" t="s">
        <v>0</v>
      </c>
      <c r="BI17" s="1" t="s">
        <v>0</v>
      </c>
      <c r="BJ17" s="1" t="s">
        <v>2</v>
      </c>
      <c r="BK17" s="1" t="s">
        <v>4</v>
      </c>
      <c r="BL17" s="1" t="s">
        <v>4</v>
      </c>
    </row>
    <row r="18" spans="1:6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 t="s">
        <v>215</v>
      </c>
      <c r="S18" s="1"/>
      <c r="T18" s="1"/>
      <c r="U18" s="1"/>
      <c r="V18" s="1"/>
      <c r="W18" s="1"/>
      <c r="X18" s="1"/>
      <c r="Y18" s="1"/>
      <c r="Z18" s="1"/>
      <c r="AA18" s="1" t="s">
        <v>215</v>
      </c>
      <c r="AB18" s="1"/>
      <c r="AC18" s="1"/>
      <c r="AD18" s="1"/>
      <c r="AE18" s="1"/>
      <c r="AF18" s="1"/>
      <c r="AG18" s="1"/>
      <c r="AH18" s="1" t="s">
        <v>215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</row>
    <row r="19" spans="1:64">
      <c r="A19" s="1" t="s">
        <v>203</v>
      </c>
      <c r="B19" s="1" t="s">
        <v>2</v>
      </c>
      <c r="C19" s="1" t="s">
        <v>2</v>
      </c>
      <c r="D19" s="1" t="s">
        <v>4</v>
      </c>
      <c r="E19" s="1" t="s">
        <v>4</v>
      </c>
      <c r="F19" s="1"/>
      <c r="G19" s="1"/>
      <c r="H19" s="1"/>
      <c r="I19" s="1" t="s">
        <v>0</v>
      </c>
      <c r="J19" s="1" t="s">
        <v>0</v>
      </c>
      <c r="K19" s="1" t="s">
        <v>2</v>
      </c>
      <c r="L19" s="1" t="s">
        <v>4</v>
      </c>
      <c r="M19" s="1" t="s">
        <v>4</v>
      </c>
      <c r="N19" s="1"/>
      <c r="O19" s="1"/>
      <c r="P19" s="1"/>
      <c r="Q19" s="1"/>
      <c r="R19" s="1"/>
      <c r="S19" s="1"/>
      <c r="T19" s="1"/>
      <c r="U19" s="1"/>
      <c r="V19" s="1"/>
      <c r="W19" s="1" t="s">
        <v>0</v>
      </c>
      <c r="X19" s="1" t="s">
        <v>0</v>
      </c>
      <c r="Y19" s="1" t="s">
        <v>2</v>
      </c>
      <c r="Z19" s="1" t="s">
        <v>2</v>
      </c>
      <c r="AA19" s="1" t="s">
        <v>4</v>
      </c>
      <c r="AB19" s="1" t="s">
        <v>4</v>
      </c>
      <c r="AC19" s="1"/>
      <c r="AD19" s="1"/>
      <c r="AE19" s="1" t="s">
        <v>0</v>
      </c>
      <c r="AF19" s="1" t="s">
        <v>0</v>
      </c>
      <c r="AG19" s="1" t="s">
        <v>0</v>
      </c>
      <c r="AH19" s="1" t="s">
        <v>2</v>
      </c>
      <c r="AI19" s="1" t="s">
        <v>4</v>
      </c>
      <c r="AJ19" s="1" t="s">
        <v>4</v>
      </c>
      <c r="AK19" s="1"/>
      <c r="AL19" s="1"/>
      <c r="AM19" s="1" t="s">
        <v>0</v>
      </c>
      <c r="AN19" s="1" t="s">
        <v>0</v>
      </c>
      <c r="AO19" s="1" t="s">
        <v>2</v>
      </c>
      <c r="AP19" s="1" t="s">
        <v>4</v>
      </c>
      <c r="AQ19" s="1" t="s">
        <v>4</v>
      </c>
      <c r="AR19" s="1"/>
      <c r="AS19" s="1"/>
      <c r="AT19" s="1" t="s">
        <v>0</v>
      </c>
      <c r="AU19" s="1" t="s">
        <v>0</v>
      </c>
      <c r="AV19" s="1" t="s">
        <v>2</v>
      </c>
      <c r="AW19" s="1" t="s">
        <v>4</v>
      </c>
      <c r="AX19" s="1" t="s">
        <v>4</v>
      </c>
      <c r="AY19" s="1"/>
      <c r="AZ19" s="1"/>
      <c r="BA19" s="1"/>
      <c r="BB19" s="1" t="s">
        <v>0</v>
      </c>
      <c r="BC19" s="1" t="s">
        <v>0</v>
      </c>
      <c r="BD19" s="1" t="s">
        <v>4</v>
      </c>
      <c r="BE19" s="1" t="s">
        <v>4</v>
      </c>
      <c r="BF19" s="1"/>
      <c r="BG19" s="1"/>
      <c r="BH19" s="1"/>
      <c r="BI19" s="1"/>
      <c r="BJ19" s="1" t="s">
        <v>0</v>
      </c>
      <c r="BK19" s="1" t="s">
        <v>2</v>
      </c>
      <c r="BL19" s="1" t="s">
        <v>2</v>
      </c>
    </row>
    <row r="20" spans="1:6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49" t="s">
        <v>209</v>
      </c>
      <c r="S20" s="49" t="s">
        <v>209</v>
      </c>
      <c r="T20" s="49" t="s">
        <v>209</v>
      </c>
      <c r="U20" s="49" t="s">
        <v>209</v>
      </c>
      <c r="V20" s="49" t="s">
        <v>209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 t="s">
        <v>215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 t="s">
        <v>239</v>
      </c>
      <c r="BC20" s="1" t="s">
        <v>215</v>
      </c>
      <c r="BD20" s="1"/>
      <c r="BE20" s="1"/>
      <c r="BF20" s="1"/>
      <c r="BG20" s="1"/>
      <c r="BH20" s="1"/>
      <c r="BI20" s="1"/>
      <c r="BJ20" s="1"/>
      <c r="BK20" s="1"/>
      <c r="BL20" s="1"/>
    </row>
    <row r="21" spans="1:64">
      <c r="A21" s="1" t="s">
        <v>88</v>
      </c>
      <c r="B21" s="1" t="s">
        <v>8</v>
      </c>
      <c r="C21" s="1" t="s">
        <v>8</v>
      </c>
      <c r="D21" s="1" t="s">
        <v>8</v>
      </c>
      <c r="E21" s="1" t="s">
        <v>8</v>
      </c>
      <c r="F21" s="1" t="s">
        <v>8</v>
      </c>
      <c r="G21" s="1"/>
      <c r="H21" s="1"/>
      <c r="I21" s="1" t="s">
        <v>8</v>
      </c>
      <c r="J21" s="1" t="s">
        <v>8</v>
      </c>
      <c r="K21" s="1" t="s">
        <v>8</v>
      </c>
      <c r="L21" s="1" t="s">
        <v>8</v>
      </c>
      <c r="M21" s="1" t="s">
        <v>8</v>
      </c>
      <c r="N21" s="1"/>
      <c r="O21" s="1"/>
      <c r="P21" s="1" t="s">
        <v>8</v>
      </c>
      <c r="Q21" s="1" t="s">
        <v>8</v>
      </c>
      <c r="R21" s="1" t="s">
        <v>8</v>
      </c>
      <c r="S21" s="1" t="s">
        <v>8</v>
      </c>
      <c r="T21" s="1" t="s">
        <v>8</v>
      </c>
      <c r="U21" s="1"/>
      <c r="V21" s="1"/>
      <c r="W21" s="1" t="s">
        <v>8</v>
      </c>
      <c r="X21" s="1" t="s">
        <v>8</v>
      </c>
      <c r="Y21" s="1" t="s">
        <v>8</v>
      </c>
      <c r="Z21" s="1" t="s">
        <v>8</v>
      </c>
      <c r="AA21" s="1" t="s">
        <v>8</v>
      </c>
      <c r="AB21" s="1"/>
      <c r="AC21" s="1"/>
      <c r="AD21" s="1" t="s">
        <v>8</v>
      </c>
      <c r="AE21" s="1" t="s">
        <v>8</v>
      </c>
      <c r="AF21" s="1" t="s">
        <v>8</v>
      </c>
      <c r="AG21" s="1" t="s">
        <v>8</v>
      </c>
      <c r="AH21" s="1" t="s">
        <v>8</v>
      </c>
      <c r="AI21" s="1"/>
      <c r="AJ21" s="1"/>
      <c r="AK21" s="1" t="s">
        <v>8</v>
      </c>
      <c r="AL21" s="1" t="s">
        <v>8</v>
      </c>
      <c r="AM21" s="1" t="s">
        <v>8</v>
      </c>
      <c r="AN21" s="1" t="s">
        <v>8</v>
      </c>
      <c r="AO21" s="1" t="s">
        <v>8</v>
      </c>
      <c r="AP21" s="1"/>
      <c r="AQ21" s="1"/>
      <c r="AR21" s="1" t="s">
        <v>8</v>
      </c>
      <c r="AS21" s="1" t="s">
        <v>8</v>
      </c>
      <c r="AT21" s="1" t="s">
        <v>8</v>
      </c>
      <c r="AU21" s="1" t="s">
        <v>8</v>
      </c>
      <c r="AV21" s="1" t="s">
        <v>8</v>
      </c>
      <c r="AW21" s="1"/>
      <c r="AX21" s="1"/>
      <c r="AY21" s="1" t="s">
        <v>8</v>
      </c>
      <c r="AZ21" s="1" t="s">
        <v>8</v>
      </c>
      <c r="BA21" s="1" t="s">
        <v>8</v>
      </c>
      <c r="BB21" s="1" t="s">
        <v>8</v>
      </c>
      <c r="BC21" s="1" t="s">
        <v>8</v>
      </c>
      <c r="BD21" s="1"/>
      <c r="BE21" s="1"/>
      <c r="BF21" s="1" t="s">
        <v>8</v>
      </c>
      <c r="BG21" s="1" t="s">
        <v>8</v>
      </c>
      <c r="BH21" s="1" t="s">
        <v>8</v>
      </c>
      <c r="BI21" s="1" t="s">
        <v>8</v>
      </c>
      <c r="BJ21" s="1" t="s">
        <v>8</v>
      </c>
      <c r="BK21" s="1"/>
      <c r="BL21" s="1"/>
    </row>
    <row r="22" spans="1:6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</row>
    <row r="23" spans="1:64">
      <c r="A23" s="1" t="s">
        <v>89</v>
      </c>
      <c r="B23" s="1" t="s">
        <v>8</v>
      </c>
      <c r="C23" s="1" t="s">
        <v>8</v>
      </c>
      <c r="D23" s="1" t="s">
        <v>8</v>
      </c>
      <c r="E23" s="1" t="s">
        <v>8</v>
      </c>
      <c r="F23" s="1"/>
      <c r="G23" s="1"/>
      <c r="H23" s="1"/>
      <c r="I23" s="1" t="s">
        <v>8</v>
      </c>
      <c r="J23" s="1" t="s">
        <v>8</v>
      </c>
      <c r="K23" s="1" t="s">
        <v>8</v>
      </c>
      <c r="L23" s="1" t="s">
        <v>8</v>
      </c>
      <c r="M23" s="1"/>
      <c r="N23" s="1"/>
      <c r="O23" s="1"/>
      <c r="P23" s="1" t="s">
        <v>8</v>
      </c>
      <c r="Q23" s="1" t="s">
        <v>8</v>
      </c>
      <c r="R23" s="1" t="s">
        <v>8</v>
      </c>
      <c r="S23" s="1" t="s">
        <v>8</v>
      </c>
      <c r="T23" s="1"/>
      <c r="U23" s="1"/>
      <c r="V23" s="1"/>
      <c r="W23" s="1" t="s">
        <v>8</v>
      </c>
      <c r="X23" s="1" t="s">
        <v>8</v>
      </c>
      <c r="Y23" s="1" t="s">
        <v>8</v>
      </c>
      <c r="Z23" s="1" t="s">
        <v>8</v>
      </c>
      <c r="AA23" s="1"/>
      <c r="AB23" s="1"/>
      <c r="AC23" s="1"/>
      <c r="AD23" s="1" t="s">
        <v>8</v>
      </c>
      <c r="AE23" s="1" t="s">
        <v>8</v>
      </c>
      <c r="AF23" s="1" t="s">
        <v>8</v>
      </c>
      <c r="AG23" s="1" t="s">
        <v>8</v>
      </c>
      <c r="AH23" s="1"/>
      <c r="AI23" s="1"/>
      <c r="AJ23" s="1"/>
      <c r="AK23" s="1" t="s">
        <v>8</v>
      </c>
      <c r="AL23" s="1" t="s">
        <v>8</v>
      </c>
      <c r="AM23" s="1" t="s">
        <v>8</v>
      </c>
      <c r="AN23" s="1" t="s">
        <v>8</v>
      </c>
      <c r="AO23" s="1"/>
      <c r="AP23" s="1"/>
      <c r="AQ23" s="1"/>
      <c r="AR23" s="1" t="s">
        <v>8</v>
      </c>
      <c r="AS23" s="1" t="s">
        <v>8</v>
      </c>
      <c r="AT23" s="1" t="s">
        <v>8</v>
      </c>
      <c r="AU23" s="1" t="s">
        <v>8</v>
      </c>
      <c r="AV23" s="1"/>
      <c r="AW23" s="1"/>
      <c r="AX23" s="1"/>
      <c r="AY23" s="1" t="s">
        <v>8</v>
      </c>
      <c r="AZ23" s="1" t="s">
        <v>8</v>
      </c>
      <c r="BA23" s="1" t="s">
        <v>8</v>
      </c>
      <c r="BB23" s="1" t="s">
        <v>8</v>
      </c>
      <c r="BC23" s="1"/>
      <c r="BD23" s="1"/>
      <c r="BE23" s="1"/>
      <c r="BF23" s="1" t="s">
        <v>8</v>
      </c>
      <c r="BG23" s="1" t="s">
        <v>8</v>
      </c>
      <c r="BH23" s="1" t="s">
        <v>8</v>
      </c>
      <c r="BI23" s="1" t="s">
        <v>8</v>
      </c>
      <c r="BJ23" s="1"/>
      <c r="BK23" s="1"/>
      <c r="BL23" s="1"/>
    </row>
    <row r="24" spans="1:6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</row>
    <row r="25" spans="1:64">
      <c r="A25" s="1" t="s">
        <v>90</v>
      </c>
      <c r="B25" s="1" t="s">
        <v>8</v>
      </c>
      <c r="C25" s="1"/>
      <c r="D25" s="1" t="s">
        <v>8</v>
      </c>
      <c r="E25" s="1" t="s">
        <v>8</v>
      </c>
      <c r="F25" s="1" t="s">
        <v>8</v>
      </c>
      <c r="G25" s="1"/>
      <c r="H25" s="1"/>
      <c r="I25" s="1" t="s">
        <v>8</v>
      </c>
      <c r="J25" s="1"/>
      <c r="K25" s="1" t="s">
        <v>8</v>
      </c>
      <c r="L25" s="1" t="s">
        <v>8</v>
      </c>
      <c r="M25" s="1" t="s">
        <v>8</v>
      </c>
      <c r="N25" s="1"/>
      <c r="O25" s="1"/>
      <c r="P25" s="1" t="s">
        <v>8</v>
      </c>
      <c r="Q25" s="1"/>
      <c r="R25" s="1" t="s">
        <v>8</v>
      </c>
      <c r="S25" s="1" t="s">
        <v>8</v>
      </c>
      <c r="T25" s="1" t="s">
        <v>8</v>
      </c>
      <c r="U25" s="1"/>
      <c r="V25" s="1"/>
      <c r="W25" s="1" t="s">
        <v>8</v>
      </c>
      <c r="X25" s="1"/>
      <c r="Y25" s="1" t="s">
        <v>8</v>
      </c>
      <c r="Z25" s="1" t="s">
        <v>8</v>
      </c>
      <c r="AA25" s="1" t="s">
        <v>8</v>
      </c>
      <c r="AB25" s="1"/>
      <c r="AC25" s="1"/>
      <c r="AD25" s="1" t="s">
        <v>8</v>
      </c>
      <c r="AE25" s="1"/>
      <c r="AF25" s="1" t="s">
        <v>8</v>
      </c>
      <c r="AG25" s="1" t="s">
        <v>8</v>
      </c>
      <c r="AH25" s="1" t="s">
        <v>8</v>
      </c>
      <c r="AI25" s="1"/>
      <c r="AJ25" s="1"/>
      <c r="AK25" s="1" t="s">
        <v>8</v>
      </c>
      <c r="AL25" s="1"/>
      <c r="AM25" s="1" t="s">
        <v>8</v>
      </c>
      <c r="AN25" s="1" t="s">
        <v>8</v>
      </c>
      <c r="AO25" s="1" t="s">
        <v>8</v>
      </c>
      <c r="AP25" s="1"/>
      <c r="AQ25" s="1"/>
      <c r="AR25" s="1" t="s">
        <v>8</v>
      </c>
      <c r="AS25" s="1"/>
      <c r="AT25" s="1" t="s">
        <v>8</v>
      </c>
      <c r="AU25" s="1" t="s">
        <v>8</v>
      </c>
      <c r="AV25" s="1" t="s">
        <v>8</v>
      </c>
      <c r="AW25" s="1"/>
      <c r="AX25" s="1"/>
      <c r="AY25" s="1" t="s">
        <v>8</v>
      </c>
      <c r="AZ25" s="1"/>
      <c r="BA25" s="1" t="s">
        <v>8</v>
      </c>
      <c r="BB25" s="1" t="s">
        <v>8</v>
      </c>
      <c r="BC25" s="1" t="s">
        <v>8</v>
      </c>
      <c r="BD25" s="1"/>
      <c r="BE25" s="1"/>
      <c r="BF25" s="1" t="s">
        <v>8</v>
      </c>
      <c r="BG25" s="1"/>
      <c r="BH25" s="1" t="s">
        <v>8</v>
      </c>
      <c r="BI25" s="1" t="s">
        <v>8</v>
      </c>
      <c r="BJ25" s="1" t="s">
        <v>8</v>
      </c>
      <c r="BK25" s="1"/>
      <c r="BL25" s="1"/>
    </row>
    <row r="26" spans="1:6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</row>
    <row r="27" spans="1:64">
      <c r="A27" s="1" t="s">
        <v>91</v>
      </c>
      <c r="B27" s="1" t="s">
        <v>8</v>
      </c>
      <c r="C27" s="1" t="s">
        <v>8</v>
      </c>
      <c r="D27" s="1" t="s">
        <v>8</v>
      </c>
      <c r="E27" s="1" t="s">
        <v>8</v>
      </c>
      <c r="F27" s="1" t="s">
        <v>8</v>
      </c>
      <c r="G27" s="1"/>
      <c r="H27" s="1"/>
      <c r="I27" s="1" t="s">
        <v>8</v>
      </c>
      <c r="J27" s="1" t="s">
        <v>8</v>
      </c>
      <c r="K27" s="1" t="s">
        <v>8</v>
      </c>
      <c r="L27" s="1" t="s">
        <v>8</v>
      </c>
      <c r="M27" s="1" t="s">
        <v>8</v>
      </c>
      <c r="N27" s="1"/>
      <c r="O27" s="1"/>
      <c r="P27" s="1" t="s">
        <v>8</v>
      </c>
      <c r="Q27" s="1" t="s">
        <v>8</v>
      </c>
      <c r="R27" s="1" t="s">
        <v>8</v>
      </c>
      <c r="S27" s="1" t="s">
        <v>8</v>
      </c>
      <c r="T27" s="1" t="s">
        <v>8</v>
      </c>
      <c r="U27" s="1"/>
      <c r="V27" s="1"/>
      <c r="W27" s="1" t="s">
        <v>8</v>
      </c>
      <c r="X27" s="1" t="s">
        <v>8</v>
      </c>
      <c r="Y27" s="1" t="s">
        <v>8</v>
      </c>
      <c r="Z27" s="1" t="s">
        <v>8</v>
      </c>
      <c r="AA27" s="1" t="s">
        <v>8</v>
      </c>
      <c r="AB27" s="1"/>
      <c r="AC27" s="1"/>
      <c r="AD27" s="1" t="s">
        <v>8</v>
      </c>
      <c r="AE27" s="1" t="s">
        <v>8</v>
      </c>
      <c r="AF27" s="1" t="s">
        <v>8</v>
      </c>
      <c r="AG27" s="1" t="s">
        <v>8</v>
      </c>
      <c r="AH27" s="1" t="s">
        <v>8</v>
      </c>
      <c r="AI27" s="1"/>
      <c r="AJ27" s="1"/>
      <c r="AK27" s="1" t="s">
        <v>8</v>
      </c>
      <c r="AL27" s="1" t="s">
        <v>8</v>
      </c>
      <c r="AM27" s="1" t="s">
        <v>8</v>
      </c>
      <c r="AN27" s="1" t="s">
        <v>8</v>
      </c>
      <c r="AO27" s="1" t="s">
        <v>8</v>
      </c>
      <c r="AP27" s="1"/>
      <c r="AQ27" s="1"/>
      <c r="AR27" s="1" t="s">
        <v>6</v>
      </c>
      <c r="AS27" s="1" t="s">
        <v>6</v>
      </c>
      <c r="AT27" s="1" t="s">
        <v>6</v>
      </c>
      <c r="AU27" s="1" t="s">
        <v>8</v>
      </c>
      <c r="AV27" s="1" t="s">
        <v>8</v>
      </c>
      <c r="AW27" s="1"/>
      <c r="AX27" s="1"/>
      <c r="AY27" s="1" t="s">
        <v>8</v>
      </c>
      <c r="AZ27" s="1" t="s">
        <v>8</v>
      </c>
      <c r="BA27" s="1" t="s">
        <v>8</v>
      </c>
      <c r="BB27" s="1" t="s">
        <v>8</v>
      </c>
      <c r="BC27" s="1" t="s">
        <v>8</v>
      </c>
      <c r="BD27" s="1"/>
      <c r="BE27" s="1"/>
      <c r="BF27" s="1" t="s">
        <v>8</v>
      </c>
      <c r="BG27" s="1" t="s">
        <v>8</v>
      </c>
      <c r="BH27" s="1" t="s">
        <v>8</v>
      </c>
      <c r="BI27" s="1" t="s">
        <v>8</v>
      </c>
      <c r="BJ27" s="1" t="s">
        <v>8</v>
      </c>
      <c r="BK27" s="1"/>
      <c r="BL27" s="1"/>
    </row>
    <row r="28" spans="1:6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 t="s">
        <v>2</v>
      </c>
      <c r="S28" s="11" t="s">
        <v>2</v>
      </c>
      <c r="T28" s="11" t="s">
        <v>2</v>
      </c>
      <c r="U28" s="1"/>
      <c r="V28" s="1"/>
      <c r="W28" s="1"/>
      <c r="X28" s="1"/>
      <c r="Y28" s="1"/>
      <c r="Z28" s="1"/>
      <c r="AA28" s="11" t="s">
        <v>2</v>
      </c>
      <c r="AB28" s="1"/>
      <c r="AC28" s="1"/>
      <c r="AD28" s="1"/>
      <c r="AE28" s="1"/>
      <c r="AF28" s="1"/>
      <c r="AG28" s="1" t="s">
        <v>2</v>
      </c>
      <c r="AH28" s="1" t="s">
        <v>2</v>
      </c>
      <c r="AI28" s="1" t="s">
        <v>2</v>
      </c>
      <c r="AJ28" s="1" t="s">
        <v>2</v>
      </c>
      <c r="AK28" s="1" t="s">
        <v>2</v>
      </c>
      <c r="AL28" s="1"/>
      <c r="AM28" s="1"/>
      <c r="AN28" s="1"/>
      <c r="AO28" s="1"/>
      <c r="AP28" s="1"/>
      <c r="AQ28" s="1"/>
      <c r="AR28" s="17"/>
      <c r="AS28" s="17"/>
      <c r="AT28" s="17"/>
      <c r="AU28" s="1"/>
      <c r="AV28" s="1"/>
      <c r="AW28" s="1"/>
      <c r="AX28" s="1"/>
      <c r="AY28" s="1" t="s">
        <v>2</v>
      </c>
      <c r="AZ28" s="1"/>
      <c r="BA28" s="1" t="s">
        <v>2</v>
      </c>
      <c r="BB28" s="1" t="s">
        <v>2</v>
      </c>
      <c r="BC28" s="1" t="s">
        <v>2</v>
      </c>
      <c r="BD28" s="1"/>
      <c r="BE28" s="1"/>
      <c r="BF28" s="1"/>
      <c r="BG28" s="1"/>
      <c r="BH28" s="1"/>
      <c r="BI28" s="1"/>
      <c r="BJ28" s="1"/>
      <c r="BK28" s="1"/>
      <c r="BL28" s="1"/>
    </row>
    <row r="33" spans="1:50">
      <c r="A33" t="s">
        <v>240</v>
      </c>
    </row>
    <row r="35" spans="1:50">
      <c r="B35" s="4" t="s">
        <v>167</v>
      </c>
      <c r="C35" s="4"/>
      <c r="D35" s="4"/>
      <c r="E35" s="4"/>
      <c r="F35" s="4"/>
      <c r="G35" s="4"/>
      <c r="H35" s="4"/>
      <c r="I35" s="4" t="s">
        <v>168</v>
      </c>
      <c r="J35" s="4"/>
      <c r="K35" s="4"/>
      <c r="L35" s="4"/>
      <c r="M35" s="4"/>
      <c r="N35" s="4"/>
      <c r="O35" s="4"/>
      <c r="P35" s="4" t="s">
        <v>169</v>
      </c>
      <c r="Q35" s="4"/>
      <c r="R35" s="4"/>
      <c r="S35" s="4"/>
      <c r="T35" s="4"/>
      <c r="U35" s="4"/>
      <c r="V35" s="4"/>
      <c r="W35" s="4" t="s">
        <v>170</v>
      </c>
      <c r="X35" s="4"/>
      <c r="Y35" s="4"/>
      <c r="Z35" s="4"/>
      <c r="AA35" s="4"/>
      <c r="AB35" s="4"/>
      <c r="AC35" s="4"/>
      <c r="AD35" s="4" t="s">
        <v>171</v>
      </c>
      <c r="AE35" s="4"/>
      <c r="AF35" s="4"/>
      <c r="AG35" s="4"/>
      <c r="AH35" s="4"/>
      <c r="AI35" s="4"/>
      <c r="AJ35" s="4"/>
      <c r="AK35" s="4" t="s">
        <v>172</v>
      </c>
      <c r="AL35" s="4"/>
      <c r="AM35" s="4"/>
      <c r="AN35" s="4"/>
      <c r="AO35" s="4"/>
      <c r="AP35" s="4"/>
      <c r="AQ35" s="4"/>
      <c r="AR35" s="4" t="s">
        <v>173</v>
      </c>
      <c r="AS35" s="4"/>
      <c r="AT35" s="4"/>
      <c r="AU35" s="4"/>
      <c r="AV35" s="4"/>
      <c r="AW35" s="4"/>
      <c r="AX35" s="4"/>
    </row>
    <row r="36" spans="1:50">
      <c r="A36" s="2"/>
      <c r="B36" s="2" t="s">
        <v>71</v>
      </c>
      <c r="C36" s="2" t="s">
        <v>72</v>
      </c>
      <c r="D36" s="2" t="s">
        <v>66</v>
      </c>
      <c r="E36" s="2" t="s">
        <v>73</v>
      </c>
      <c r="F36" s="2" t="s">
        <v>68</v>
      </c>
      <c r="G36" s="2" t="s">
        <v>69</v>
      </c>
      <c r="H36" s="2" t="s">
        <v>70</v>
      </c>
      <c r="I36" s="2" t="s">
        <v>71</v>
      </c>
      <c r="J36" s="2" t="s">
        <v>72</v>
      </c>
      <c r="K36" s="2" t="s">
        <v>66</v>
      </c>
      <c r="L36" s="2" t="s">
        <v>73</v>
      </c>
      <c r="M36" s="2" t="s">
        <v>68</v>
      </c>
      <c r="N36" s="2" t="s">
        <v>69</v>
      </c>
      <c r="O36" s="2" t="s">
        <v>70</v>
      </c>
      <c r="P36" s="2" t="s">
        <v>71</v>
      </c>
      <c r="Q36" s="2" t="s">
        <v>72</v>
      </c>
      <c r="R36" s="2" t="s">
        <v>66</v>
      </c>
      <c r="S36" s="2" t="s">
        <v>73</v>
      </c>
      <c r="T36" s="2" t="s">
        <v>68</v>
      </c>
      <c r="U36" s="2" t="s">
        <v>69</v>
      </c>
      <c r="V36" s="2" t="s">
        <v>70</v>
      </c>
      <c r="W36" s="2" t="s">
        <v>71</v>
      </c>
      <c r="X36" s="2" t="s">
        <v>72</v>
      </c>
      <c r="Y36" s="2" t="s">
        <v>66</v>
      </c>
      <c r="Z36" s="2" t="s">
        <v>73</v>
      </c>
      <c r="AA36" s="2" t="s">
        <v>68</v>
      </c>
      <c r="AB36" s="2" t="s">
        <v>69</v>
      </c>
      <c r="AC36" s="2" t="s">
        <v>70</v>
      </c>
      <c r="AD36" s="2" t="s">
        <v>71</v>
      </c>
      <c r="AE36" s="2" t="s">
        <v>72</v>
      </c>
      <c r="AF36" s="2" t="s">
        <v>66</v>
      </c>
      <c r="AG36" s="2" t="s">
        <v>73</v>
      </c>
      <c r="AH36" s="2" t="s">
        <v>68</v>
      </c>
      <c r="AI36" s="2" t="s">
        <v>69</v>
      </c>
      <c r="AJ36" s="2" t="s">
        <v>70</v>
      </c>
      <c r="AK36" s="2" t="s">
        <v>71</v>
      </c>
      <c r="AL36" s="2" t="s">
        <v>72</v>
      </c>
      <c r="AM36" s="2" t="s">
        <v>66</v>
      </c>
      <c r="AN36" s="2" t="s">
        <v>73</v>
      </c>
      <c r="AO36" s="2" t="s">
        <v>68</v>
      </c>
      <c r="AP36" s="2" t="s">
        <v>69</v>
      </c>
      <c r="AQ36" s="2" t="s">
        <v>70</v>
      </c>
      <c r="AR36" s="2" t="s">
        <v>71</v>
      </c>
      <c r="AS36" s="2" t="s">
        <v>72</v>
      </c>
      <c r="AT36" s="2" t="s">
        <v>66</v>
      </c>
      <c r="AU36" s="2" t="s">
        <v>73</v>
      </c>
      <c r="AV36" s="2" t="s">
        <v>68</v>
      </c>
      <c r="AW36" s="2" t="s">
        <v>69</v>
      </c>
      <c r="AX36" s="2" t="s">
        <v>70</v>
      </c>
    </row>
    <row r="37" spans="1:50">
      <c r="A37" s="3"/>
      <c r="B37" s="45">
        <v>44361</v>
      </c>
      <c r="C37" s="45">
        <v>43631</v>
      </c>
      <c r="D37" s="45">
        <v>43632</v>
      </c>
      <c r="E37" s="45">
        <v>43633</v>
      </c>
      <c r="F37" s="45">
        <v>43634</v>
      </c>
      <c r="G37" s="45">
        <v>43635</v>
      </c>
      <c r="H37" s="45">
        <v>43636</v>
      </c>
      <c r="I37" s="45">
        <v>43637</v>
      </c>
      <c r="J37" s="45">
        <v>43638</v>
      </c>
      <c r="K37" s="45">
        <v>43639</v>
      </c>
      <c r="L37" s="45">
        <v>43640</v>
      </c>
      <c r="M37" s="45">
        <v>43641</v>
      </c>
      <c r="N37" s="45">
        <v>43642</v>
      </c>
      <c r="O37" s="45">
        <v>43643</v>
      </c>
      <c r="P37" s="45">
        <v>43644</v>
      </c>
      <c r="Q37" s="45">
        <v>43645</v>
      </c>
      <c r="R37" s="45">
        <v>43646</v>
      </c>
      <c r="S37" s="45">
        <v>43647</v>
      </c>
      <c r="T37" s="45">
        <v>43648</v>
      </c>
      <c r="U37" s="45">
        <v>43649</v>
      </c>
      <c r="V37" s="45">
        <v>43650</v>
      </c>
      <c r="W37" s="45">
        <v>43651</v>
      </c>
      <c r="X37" s="45">
        <v>43652</v>
      </c>
      <c r="Y37" s="45">
        <v>43653</v>
      </c>
      <c r="Z37" s="45">
        <v>43654</v>
      </c>
      <c r="AA37" s="45">
        <v>43655</v>
      </c>
      <c r="AB37" s="45">
        <v>43656</v>
      </c>
      <c r="AC37" s="45">
        <v>43657</v>
      </c>
      <c r="AD37" s="45">
        <v>43658</v>
      </c>
      <c r="AE37" s="45">
        <v>43659</v>
      </c>
      <c r="AF37" s="45">
        <v>43660</v>
      </c>
      <c r="AG37" s="45">
        <v>43661</v>
      </c>
      <c r="AH37" s="45">
        <v>43662</v>
      </c>
      <c r="AI37" s="45">
        <v>43663</v>
      </c>
      <c r="AJ37" s="45">
        <v>43664</v>
      </c>
      <c r="AK37" s="45">
        <v>43665</v>
      </c>
      <c r="AL37" s="45">
        <v>43666</v>
      </c>
      <c r="AM37" s="45">
        <v>43667</v>
      </c>
      <c r="AN37" s="45">
        <v>43668</v>
      </c>
      <c r="AO37" s="45">
        <v>43669</v>
      </c>
      <c r="AP37" s="45">
        <v>43670</v>
      </c>
      <c r="AQ37" s="45">
        <v>43671</v>
      </c>
      <c r="AR37" s="45">
        <v>43672</v>
      </c>
      <c r="AS37" s="45">
        <v>43673</v>
      </c>
      <c r="AT37" s="45">
        <v>43674</v>
      </c>
      <c r="AU37" s="45">
        <v>43675</v>
      </c>
      <c r="AV37" s="45">
        <v>43676</v>
      </c>
      <c r="AW37" s="45">
        <v>43677</v>
      </c>
      <c r="AX37" s="45">
        <v>43678</v>
      </c>
    </row>
    <row r="38" spans="1:50">
      <c r="A38" s="12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</row>
    <row r="39" spans="1:50">
      <c r="A39" s="12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</row>
    <row r="40" spans="1:50">
      <c r="A40" s="1" t="s">
        <v>202</v>
      </c>
      <c r="B40" s="1"/>
      <c r="C40" s="1"/>
      <c r="D40" s="1"/>
      <c r="E40" s="1"/>
      <c r="F40" s="53" t="s">
        <v>206</v>
      </c>
      <c r="G40" s="53" t="s">
        <v>207</v>
      </c>
      <c r="H40" s="53" t="s">
        <v>207</v>
      </c>
      <c r="I40" s="53" t="s">
        <v>208</v>
      </c>
      <c r="J40" s="53" t="s">
        <v>208</v>
      </c>
      <c r="K40" s="1"/>
      <c r="L40" s="1"/>
      <c r="M40" s="1"/>
      <c r="N40" s="53" t="s">
        <v>206</v>
      </c>
      <c r="O40" s="53" t="s">
        <v>206</v>
      </c>
      <c r="P40" s="53" t="s">
        <v>207</v>
      </c>
      <c r="Q40" s="53" t="s">
        <v>207</v>
      </c>
      <c r="R40" s="53" t="s">
        <v>208</v>
      </c>
      <c r="S40" s="53" t="s">
        <v>208</v>
      </c>
      <c r="T40" s="1"/>
      <c r="U40" s="1"/>
      <c r="V40" s="1"/>
      <c r="W40" s="53" t="s">
        <v>206</v>
      </c>
      <c r="X40" s="53" t="s">
        <v>206</v>
      </c>
      <c r="Y40" s="53" t="s">
        <v>207</v>
      </c>
      <c r="Z40" s="53" t="s">
        <v>207</v>
      </c>
      <c r="AA40" s="53" t="s">
        <v>208</v>
      </c>
      <c r="AB40" s="1"/>
      <c r="AC40" s="1"/>
      <c r="AD40" s="1"/>
      <c r="AE40" s="1"/>
      <c r="AF40" s="53" t="s">
        <v>206</v>
      </c>
      <c r="AG40" s="53" t="s">
        <v>206</v>
      </c>
      <c r="AH40" s="53" t="s">
        <v>207</v>
      </c>
      <c r="AI40" s="53" t="s">
        <v>208</v>
      </c>
      <c r="AJ40" s="53" t="s">
        <v>208</v>
      </c>
      <c r="AK40" s="1"/>
      <c r="AL40" s="1"/>
      <c r="AM40" s="1"/>
      <c r="AN40" s="1"/>
      <c r="AO40" s="53" t="s">
        <v>206</v>
      </c>
      <c r="AP40" s="53" t="s">
        <v>207</v>
      </c>
      <c r="AQ40" s="53" t="s">
        <v>207</v>
      </c>
      <c r="AR40" s="53" t="s">
        <v>208</v>
      </c>
      <c r="AS40" s="53" t="s">
        <v>208</v>
      </c>
      <c r="AT40" s="1"/>
      <c r="AU40" s="1"/>
      <c r="AV40" s="1"/>
      <c r="AW40" s="1" t="s">
        <v>206</v>
      </c>
      <c r="AX40" s="1" t="s">
        <v>206</v>
      </c>
    </row>
    <row r="41" spans="1:50">
      <c r="A41" s="1"/>
      <c r="B41" s="1"/>
      <c r="C41" s="1"/>
      <c r="D41" s="1"/>
      <c r="E41" s="1" t="s">
        <v>0</v>
      </c>
      <c r="F41" s="1" t="s">
        <v>0</v>
      </c>
      <c r="G41" s="1" t="s">
        <v>2</v>
      </c>
      <c r="H41" s="1" t="s">
        <v>4</v>
      </c>
      <c r="I41" s="1" t="s">
        <v>4</v>
      </c>
      <c r="J41" s="1" t="s">
        <v>4</v>
      </c>
      <c r="K41" s="1"/>
      <c r="L41" s="1"/>
      <c r="M41" s="1"/>
      <c r="N41" s="1" t="s">
        <v>0</v>
      </c>
      <c r="O41" s="1" t="s">
        <v>2</v>
      </c>
      <c r="P41" s="1" t="s">
        <v>2</v>
      </c>
      <c r="Q41" s="1" t="s">
        <v>4</v>
      </c>
      <c r="R41" s="1" t="s">
        <v>4</v>
      </c>
      <c r="S41" s="1" t="s">
        <v>4</v>
      </c>
      <c r="T41" s="52" t="s">
        <v>209</v>
      </c>
      <c r="U41" s="52" t="s">
        <v>209</v>
      </c>
      <c r="V41" s="52" t="s">
        <v>209</v>
      </c>
      <c r="W41" s="52" t="s">
        <v>209</v>
      </c>
      <c r="X41" s="52" t="s">
        <v>209</v>
      </c>
      <c r="Y41" s="52" t="s">
        <v>209</v>
      </c>
      <c r="Z41" s="52" t="s">
        <v>209</v>
      </c>
      <c r="AA41" s="52" t="s">
        <v>209</v>
      </c>
      <c r="AB41" s="52" t="s">
        <v>209</v>
      </c>
      <c r="AC41" s="52" t="s">
        <v>209</v>
      </c>
      <c r="AD41" s="52" t="s">
        <v>209</v>
      </c>
      <c r="AE41" s="52" t="s">
        <v>209</v>
      </c>
      <c r="AF41" s="52" t="s">
        <v>209</v>
      </c>
      <c r="AG41" s="52" t="s">
        <v>209</v>
      </c>
      <c r="AH41" s="52" t="s">
        <v>209</v>
      </c>
      <c r="AI41" s="52" t="s">
        <v>209</v>
      </c>
      <c r="AJ41" s="52" t="s">
        <v>209</v>
      </c>
      <c r="AK41" s="52" t="s">
        <v>209</v>
      </c>
      <c r="AL41" s="52" t="s">
        <v>209</v>
      </c>
      <c r="AM41" s="52" t="s">
        <v>209</v>
      </c>
      <c r="AN41" s="52" t="s">
        <v>209</v>
      </c>
      <c r="AO41" s="52" t="s">
        <v>209</v>
      </c>
      <c r="AP41" s="52" t="s">
        <v>209</v>
      </c>
      <c r="AQ41" s="52" t="s">
        <v>209</v>
      </c>
      <c r="AR41" s="52" t="s">
        <v>209</v>
      </c>
      <c r="AS41" s="52" t="s">
        <v>209</v>
      </c>
      <c r="AT41" s="1" t="s">
        <v>2</v>
      </c>
      <c r="AU41" s="1" t="s">
        <v>4</v>
      </c>
      <c r="AV41" s="1" t="s">
        <v>4</v>
      </c>
      <c r="AW41" s="1"/>
      <c r="AX41" s="1"/>
    </row>
    <row r="42" spans="1:5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>
      <c r="A43" s="1" t="s">
        <v>79</v>
      </c>
      <c r="B43" s="1" t="s">
        <v>2</v>
      </c>
      <c r="C43" s="1" t="s">
        <v>2</v>
      </c>
      <c r="D43" s="1" t="s">
        <v>4</v>
      </c>
      <c r="E43" s="1" t="s">
        <v>4</v>
      </c>
      <c r="F43" s="1"/>
      <c r="G43" s="1"/>
      <c r="H43" s="1" t="s">
        <v>2</v>
      </c>
      <c r="I43" s="1" t="s">
        <v>2</v>
      </c>
      <c r="J43" s="1" t="s">
        <v>2</v>
      </c>
      <c r="K43" s="1" t="s">
        <v>4</v>
      </c>
      <c r="L43" s="1" t="s">
        <v>4</v>
      </c>
      <c r="M43" s="1"/>
      <c r="N43" s="1"/>
      <c r="O43" s="1"/>
      <c r="P43" s="1"/>
      <c r="Q43" s="1"/>
      <c r="R43" s="53" t="s">
        <v>206</v>
      </c>
      <c r="S43" s="53" t="s">
        <v>206</v>
      </c>
      <c r="T43" s="53" t="s">
        <v>207</v>
      </c>
      <c r="U43" s="1" t="s">
        <v>208</v>
      </c>
      <c r="V43" s="53" t="s">
        <v>208</v>
      </c>
      <c r="W43" s="1"/>
      <c r="X43" s="1"/>
      <c r="Y43" s="1"/>
      <c r="Z43" s="1"/>
      <c r="AA43" s="53" t="s">
        <v>206</v>
      </c>
      <c r="AB43" s="53" t="s">
        <v>207</v>
      </c>
      <c r="AC43" s="53" t="s">
        <v>207</v>
      </c>
      <c r="AD43" s="53" t="s">
        <v>208</v>
      </c>
      <c r="AE43" s="53" t="s">
        <v>208</v>
      </c>
      <c r="AF43" s="1"/>
      <c r="AG43" s="1"/>
      <c r="AH43" s="1"/>
      <c r="AI43" s="53" t="s">
        <v>206</v>
      </c>
      <c r="AJ43" s="53" t="s">
        <v>206</v>
      </c>
      <c r="AK43" s="53" t="s">
        <v>207</v>
      </c>
      <c r="AL43" s="53" t="s">
        <v>207</v>
      </c>
      <c r="AM43" s="53" t="s">
        <v>208</v>
      </c>
      <c r="AN43" s="53" t="s">
        <v>208</v>
      </c>
      <c r="AO43" s="1"/>
      <c r="AP43" s="1"/>
      <c r="AQ43" s="1"/>
      <c r="AR43" s="1" t="s">
        <v>206</v>
      </c>
      <c r="AS43" s="1" t="s">
        <v>206</v>
      </c>
      <c r="AT43" s="1" t="s">
        <v>207</v>
      </c>
      <c r="AU43" s="1" t="s">
        <v>207</v>
      </c>
      <c r="AV43" s="1" t="s">
        <v>208</v>
      </c>
      <c r="AW43" s="1"/>
      <c r="AX43" s="1"/>
    </row>
    <row r="44" spans="1:5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 t="s">
        <v>0</v>
      </c>
      <c r="Q44" s="1" t="s">
        <v>0</v>
      </c>
      <c r="R44" s="1" t="s">
        <v>2</v>
      </c>
      <c r="S44" s="1" t="s">
        <v>2</v>
      </c>
      <c r="T44" s="1" t="s">
        <v>4</v>
      </c>
      <c r="U44" s="1" t="s">
        <v>4</v>
      </c>
      <c r="V44" s="1"/>
      <c r="W44" s="1"/>
      <c r="X44" s="1"/>
      <c r="Y44" s="1" t="s">
        <v>0</v>
      </c>
      <c r="Z44" s="1" t="s">
        <v>0</v>
      </c>
      <c r="AA44" s="1" t="s">
        <v>2</v>
      </c>
      <c r="AB44" s="1" t="s">
        <v>2</v>
      </c>
      <c r="AC44" s="1" t="s">
        <v>4</v>
      </c>
      <c r="AD44" s="1" t="s">
        <v>4</v>
      </c>
      <c r="AE44" s="1"/>
      <c r="AF44" s="1"/>
      <c r="AG44" s="1"/>
      <c r="AH44" s="1" t="s">
        <v>0</v>
      </c>
      <c r="AI44" s="1" t="s">
        <v>2</v>
      </c>
      <c r="AJ44" s="1" t="s">
        <v>2</v>
      </c>
      <c r="AK44" s="1" t="s">
        <v>4</v>
      </c>
      <c r="AL44" s="1" t="s">
        <v>4</v>
      </c>
      <c r="AM44" s="1"/>
      <c r="AN44" s="1"/>
      <c r="AO44" s="1"/>
      <c r="AP44" s="1" t="s">
        <v>0</v>
      </c>
      <c r="AQ44" s="1" t="s">
        <v>0</v>
      </c>
      <c r="AR44" s="1" t="s">
        <v>0</v>
      </c>
      <c r="AS44" s="1" t="s">
        <v>2</v>
      </c>
      <c r="AT44" s="1" t="s">
        <v>4</v>
      </c>
      <c r="AU44" s="1"/>
      <c r="AV44" s="1"/>
      <c r="AW44" s="1"/>
      <c r="AX44" s="1"/>
    </row>
    <row r="45" spans="1:50">
      <c r="A45" s="1" t="s">
        <v>77</v>
      </c>
      <c r="B45" s="1" t="s">
        <v>4</v>
      </c>
      <c r="C45" s="1" t="s">
        <v>4</v>
      </c>
      <c r="D45" s="1"/>
      <c r="E45" s="1"/>
      <c r="F45" s="1"/>
      <c r="G45" s="1" t="s">
        <v>0</v>
      </c>
      <c r="H45" s="1" t="s">
        <v>0</v>
      </c>
      <c r="I45" s="53" t="s">
        <v>207</v>
      </c>
      <c r="J45" s="53" t="s">
        <v>207</v>
      </c>
      <c r="K45" s="53" t="s">
        <v>208</v>
      </c>
      <c r="L45" s="53" t="s">
        <v>208</v>
      </c>
      <c r="M45" s="1"/>
      <c r="N45" s="1"/>
      <c r="O45" s="1"/>
      <c r="P45" s="53" t="s">
        <v>206</v>
      </c>
      <c r="Q45" s="1" t="s">
        <v>215</v>
      </c>
      <c r="R45" s="53" t="s">
        <v>207</v>
      </c>
      <c r="S45" s="53" t="s">
        <v>207</v>
      </c>
      <c r="T45" s="53" t="s">
        <v>208</v>
      </c>
      <c r="U45" s="1"/>
      <c r="V45" s="1"/>
      <c r="W45" s="1"/>
      <c r="X45" s="1"/>
      <c r="Y45" s="53" t="s">
        <v>206</v>
      </c>
      <c r="Z45" s="53" t="s">
        <v>206</v>
      </c>
      <c r="AA45" s="53" t="s">
        <v>207</v>
      </c>
      <c r="AB45" s="53" t="s">
        <v>208</v>
      </c>
      <c r="AC45" s="53" t="s">
        <v>208</v>
      </c>
      <c r="AD45" s="1"/>
      <c r="AE45" s="1"/>
      <c r="AF45" s="1"/>
      <c r="AG45" s="1"/>
      <c r="AH45" s="53" t="s">
        <v>206</v>
      </c>
      <c r="AI45" s="53" t="s">
        <v>207</v>
      </c>
      <c r="AJ45" s="53" t="s">
        <v>207</v>
      </c>
      <c r="AK45" s="53" t="s">
        <v>208</v>
      </c>
      <c r="AL45" s="53" t="s">
        <v>208</v>
      </c>
      <c r="AM45" s="1"/>
      <c r="AN45" s="1"/>
      <c r="AO45" s="1"/>
      <c r="AP45" s="53" t="s">
        <v>206</v>
      </c>
      <c r="AQ45" s="53" t="s">
        <v>206</v>
      </c>
      <c r="AR45" s="1" t="s">
        <v>215</v>
      </c>
      <c r="AS45" s="53" t="s">
        <v>207</v>
      </c>
      <c r="AT45" s="53" t="s">
        <v>208</v>
      </c>
      <c r="AU45" s="53" t="s">
        <v>208</v>
      </c>
      <c r="AV45" s="1"/>
      <c r="AW45" s="1"/>
      <c r="AX45" s="1"/>
    </row>
    <row r="46" spans="1:50">
      <c r="A46" s="1"/>
      <c r="B46" s="1"/>
      <c r="C46" s="1"/>
      <c r="D46" s="1"/>
      <c r="E46" s="1"/>
      <c r="F46" s="1" t="s">
        <v>2</v>
      </c>
      <c r="G46" s="1"/>
      <c r="H46" s="49" t="s">
        <v>209</v>
      </c>
      <c r="I46" s="49" t="s">
        <v>209</v>
      </c>
      <c r="J46" s="49" t="s">
        <v>209</v>
      </c>
      <c r="K46" s="49" t="s">
        <v>209</v>
      </c>
      <c r="L46" s="49" t="s">
        <v>209</v>
      </c>
      <c r="M46" s="49" t="s">
        <v>209</v>
      </c>
      <c r="N46" s="49" t="s">
        <v>209</v>
      </c>
      <c r="O46" s="49" t="s">
        <v>209</v>
      </c>
      <c r="P46" s="49" t="s">
        <v>209</v>
      </c>
      <c r="Q46" s="49" t="s">
        <v>209</v>
      </c>
      <c r="R46" s="49" t="s">
        <v>209</v>
      </c>
      <c r="S46" s="49" t="s">
        <v>209</v>
      </c>
      <c r="T46" s="49" t="s">
        <v>209</v>
      </c>
      <c r="U46" s="49" t="s">
        <v>209</v>
      </c>
      <c r="V46" s="49" t="s">
        <v>209</v>
      </c>
      <c r="W46" s="49" t="s">
        <v>209</v>
      </c>
      <c r="X46" s="1" t="s">
        <v>0</v>
      </c>
      <c r="Y46" s="1" t="s">
        <v>2</v>
      </c>
      <c r="Z46" s="1" t="s">
        <v>4</v>
      </c>
      <c r="AA46" s="1" t="s">
        <v>4</v>
      </c>
      <c r="AB46" s="1" t="s">
        <v>4</v>
      </c>
      <c r="AC46" s="1"/>
      <c r="AD46" s="1"/>
      <c r="AE46" s="1" t="s">
        <v>0</v>
      </c>
      <c r="AF46" s="1" t="s">
        <v>0</v>
      </c>
      <c r="AG46" s="1" t="s">
        <v>0</v>
      </c>
      <c r="AH46" s="1" t="s">
        <v>2</v>
      </c>
      <c r="AI46" s="1" t="s">
        <v>4</v>
      </c>
      <c r="AJ46" s="1" t="s">
        <v>4</v>
      </c>
      <c r="AK46" s="1"/>
      <c r="AL46" s="1"/>
      <c r="AM46" s="1"/>
      <c r="AN46" s="1" t="s">
        <v>0</v>
      </c>
      <c r="AO46" s="1" t="s">
        <v>0</v>
      </c>
      <c r="AP46" s="1" t="s">
        <v>2</v>
      </c>
      <c r="AQ46" s="1" t="s">
        <v>2</v>
      </c>
      <c r="AR46" s="1" t="s">
        <v>4</v>
      </c>
      <c r="AS46" s="1" t="s">
        <v>4</v>
      </c>
      <c r="AT46" s="1"/>
      <c r="AU46" s="1"/>
      <c r="AV46" s="1"/>
      <c r="AW46" s="1" t="s">
        <v>0</v>
      </c>
      <c r="AX46" s="1" t="s">
        <v>0</v>
      </c>
    </row>
    <row r="47" spans="1:50">
      <c r="A47" s="1" t="s">
        <v>85</v>
      </c>
      <c r="B47" s="53" t="s">
        <v>206</v>
      </c>
      <c r="C47" s="53" t="s">
        <v>206</v>
      </c>
      <c r="D47" s="53" t="s">
        <v>207</v>
      </c>
      <c r="E47" s="53" t="s">
        <v>207</v>
      </c>
      <c r="F47" s="53" t="s">
        <v>208</v>
      </c>
      <c r="G47" s="1"/>
      <c r="H47" s="1"/>
      <c r="I47" s="1"/>
      <c r="J47" s="1"/>
      <c r="K47" s="53" t="s">
        <v>206</v>
      </c>
      <c r="L47" s="53" t="s">
        <v>206</v>
      </c>
      <c r="M47" s="53" t="s">
        <v>207</v>
      </c>
      <c r="N47" s="53" t="s">
        <v>208</v>
      </c>
      <c r="O47" s="53" t="s">
        <v>208</v>
      </c>
      <c r="P47" s="1"/>
      <c r="Q47" s="1"/>
      <c r="R47" s="1"/>
      <c r="S47" s="1"/>
      <c r="T47" s="53" t="s">
        <v>206</v>
      </c>
      <c r="U47" s="53" t="s">
        <v>207</v>
      </c>
      <c r="V47" s="53" t="s">
        <v>207</v>
      </c>
      <c r="W47" s="53" t="s">
        <v>208</v>
      </c>
      <c r="X47" s="1" t="s">
        <v>215</v>
      </c>
      <c r="Y47" s="1"/>
      <c r="Z47" s="1"/>
      <c r="AA47" s="1"/>
      <c r="AB47" s="53" t="s">
        <v>206</v>
      </c>
      <c r="AC47" s="53" t="s">
        <v>206</v>
      </c>
      <c r="AD47" s="53" t="s">
        <v>207</v>
      </c>
      <c r="AE47" s="53" t="s">
        <v>207</v>
      </c>
      <c r="AF47" s="53" t="s">
        <v>208</v>
      </c>
      <c r="AG47" s="1" t="s">
        <v>215</v>
      </c>
      <c r="AH47" s="1"/>
      <c r="AI47" s="1"/>
      <c r="AJ47" s="1"/>
      <c r="AK47" s="53" t="s">
        <v>206</v>
      </c>
      <c r="AL47" s="53" t="s">
        <v>206</v>
      </c>
      <c r="AM47" s="53" t="s">
        <v>207</v>
      </c>
      <c r="AN47" s="53" t="s">
        <v>207</v>
      </c>
      <c r="AO47" s="53" t="s">
        <v>208</v>
      </c>
      <c r="AP47" s="1"/>
      <c r="AQ47" s="1"/>
      <c r="AR47" s="1"/>
      <c r="AS47" s="1"/>
      <c r="AT47" s="1" t="s">
        <v>206</v>
      </c>
      <c r="AU47" s="1" t="s">
        <v>206</v>
      </c>
      <c r="AV47" s="1" t="s">
        <v>207</v>
      </c>
      <c r="AW47" s="1" t="s">
        <v>208</v>
      </c>
      <c r="AX47" s="1" t="s">
        <v>208</v>
      </c>
    </row>
    <row r="48" spans="1:50">
      <c r="A48" s="1"/>
      <c r="B48" s="1" t="s">
        <v>10</v>
      </c>
      <c r="C48" s="1" t="s">
        <v>10</v>
      </c>
      <c r="D48" s="1" t="s">
        <v>10</v>
      </c>
      <c r="E48" s="1" t="s">
        <v>10</v>
      </c>
      <c r="F48" s="1" t="s">
        <v>10</v>
      </c>
      <c r="G48" s="1"/>
      <c r="H48" s="1"/>
      <c r="I48" s="1"/>
      <c r="J48" s="1"/>
      <c r="K48" s="1" t="s">
        <v>10</v>
      </c>
      <c r="L48" s="1" t="s">
        <v>10</v>
      </c>
      <c r="M48" s="1" t="s">
        <v>10</v>
      </c>
      <c r="N48" s="1" t="s">
        <v>10</v>
      </c>
      <c r="O48" s="1" t="s">
        <v>10</v>
      </c>
      <c r="P48" s="1"/>
      <c r="Q48" s="1"/>
      <c r="R48" s="1"/>
      <c r="S48" s="1"/>
      <c r="T48" s="1" t="s">
        <v>10</v>
      </c>
      <c r="U48" s="1" t="s">
        <v>10</v>
      </c>
      <c r="V48" s="1" t="s">
        <v>10</v>
      </c>
      <c r="W48" s="1" t="s">
        <v>10</v>
      </c>
      <c r="X48" s="1" t="s">
        <v>10</v>
      </c>
      <c r="Y48" s="1"/>
      <c r="Z48" s="1"/>
      <c r="AA48" s="1"/>
      <c r="AB48" s="1" t="s">
        <v>10</v>
      </c>
      <c r="AC48" s="1" t="s">
        <v>10</v>
      </c>
      <c r="AD48" s="1" t="s">
        <v>10</v>
      </c>
      <c r="AE48" s="1" t="s">
        <v>10</v>
      </c>
      <c r="AF48" s="1" t="s">
        <v>10</v>
      </c>
      <c r="AG48" s="1" t="s">
        <v>10</v>
      </c>
      <c r="AH48" s="1"/>
      <c r="AI48" s="1"/>
      <c r="AJ48" s="1"/>
      <c r="AK48" s="1" t="s">
        <v>10</v>
      </c>
      <c r="AL48" s="1" t="s">
        <v>10</v>
      </c>
      <c r="AM48" s="1" t="s">
        <v>10</v>
      </c>
      <c r="AN48" s="1" t="s">
        <v>10</v>
      </c>
      <c r="AO48" s="1" t="s">
        <v>10</v>
      </c>
      <c r="AP48" s="1"/>
      <c r="AQ48" s="1"/>
      <c r="AR48" s="1"/>
      <c r="AS48" s="1"/>
      <c r="AT48" s="1" t="s">
        <v>10</v>
      </c>
      <c r="AU48" s="1" t="s">
        <v>10</v>
      </c>
      <c r="AV48" s="1" t="s">
        <v>10</v>
      </c>
      <c r="AW48" s="1" t="s">
        <v>10</v>
      </c>
      <c r="AX48" s="1" t="s">
        <v>10</v>
      </c>
    </row>
    <row r="49" spans="1:50">
      <c r="A49" s="1" t="s">
        <v>78</v>
      </c>
      <c r="B49" s="1" t="s">
        <v>0</v>
      </c>
      <c r="C49" s="1" t="s">
        <v>0</v>
      </c>
      <c r="D49" s="1" t="s">
        <v>0</v>
      </c>
      <c r="E49" s="1" t="s">
        <v>2</v>
      </c>
      <c r="F49" s="1" t="s">
        <v>4</v>
      </c>
      <c r="G49" s="1" t="s">
        <v>4</v>
      </c>
      <c r="H49" s="1"/>
      <c r="I49" s="1"/>
      <c r="J49" s="1"/>
      <c r="K49" s="1" t="s">
        <v>0</v>
      </c>
      <c r="L49" s="1" t="s">
        <v>0</v>
      </c>
      <c r="M49" s="1" t="s">
        <v>0</v>
      </c>
      <c r="N49" s="53" t="s">
        <v>208</v>
      </c>
      <c r="O49" s="1" t="s">
        <v>4</v>
      </c>
      <c r="P49" s="1" t="s">
        <v>4</v>
      </c>
      <c r="Q49" s="1"/>
      <c r="R49" s="1"/>
      <c r="S49" s="1"/>
      <c r="T49" s="1" t="s">
        <v>0</v>
      </c>
      <c r="U49" s="1" t="s">
        <v>0</v>
      </c>
      <c r="V49" s="1" t="s">
        <v>2</v>
      </c>
      <c r="W49" s="1" t="s">
        <v>2</v>
      </c>
      <c r="X49" s="1" t="s">
        <v>4</v>
      </c>
      <c r="Y49" s="1"/>
      <c r="Z49" s="1"/>
      <c r="AA49" s="1"/>
      <c r="AB49" s="53" t="s">
        <v>206</v>
      </c>
      <c r="AC49" s="53" t="s">
        <v>206</v>
      </c>
      <c r="AD49" s="53" t="s">
        <v>207</v>
      </c>
      <c r="AE49" s="53" t="s">
        <v>207</v>
      </c>
      <c r="AF49" s="53" t="s">
        <v>208</v>
      </c>
      <c r="AG49" s="53" t="s">
        <v>208</v>
      </c>
      <c r="AH49" s="1"/>
      <c r="AI49" s="1"/>
      <c r="AJ49" s="1"/>
      <c r="AK49" s="1"/>
      <c r="AL49" s="1" t="s">
        <v>0</v>
      </c>
      <c r="AM49" s="1" t="s">
        <v>0</v>
      </c>
      <c r="AN49" s="1" t="s">
        <v>2</v>
      </c>
      <c r="AO49" s="1" t="s">
        <v>2</v>
      </c>
      <c r="AP49" s="1" t="s">
        <v>4</v>
      </c>
      <c r="AQ49" s="1"/>
      <c r="AR49" s="1"/>
      <c r="AS49" s="1"/>
      <c r="AT49" s="1" t="s">
        <v>206</v>
      </c>
      <c r="AU49" s="1" t="s">
        <v>0</v>
      </c>
      <c r="AV49" s="1" t="s">
        <v>207</v>
      </c>
      <c r="AW49" s="1" t="s">
        <v>4</v>
      </c>
      <c r="AX49" s="1" t="s">
        <v>4</v>
      </c>
    </row>
    <row r="50" spans="1:50">
      <c r="A50" s="1"/>
      <c r="B50" s="1"/>
      <c r="C50" s="1"/>
      <c r="D50" s="1" t="s">
        <v>215</v>
      </c>
      <c r="E50" s="1"/>
      <c r="F50" s="1"/>
      <c r="G50" s="1"/>
      <c r="H50" s="1"/>
      <c r="I50" s="1"/>
      <c r="J50" s="1"/>
      <c r="K50" s="1">
        <v>1600</v>
      </c>
      <c r="L50" s="1">
        <v>1600</v>
      </c>
      <c r="M50" s="1" t="s">
        <v>215</v>
      </c>
      <c r="N50" s="1" t="s">
        <v>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 t="s">
        <v>4</v>
      </c>
      <c r="Z50" s="1"/>
      <c r="AA50" s="1"/>
      <c r="AB50" s="1"/>
      <c r="AC50" s="1" t="s">
        <v>0</v>
      </c>
      <c r="AD50" s="1" t="s">
        <v>0</v>
      </c>
      <c r="AE50" s="1" t="s">
        <v>2</v>
      </c>
      <c r="AF50" s="1" t="s">
        <v>2</v>
      </c>
      <c r="AG50" s="1" t="s">
        <v>4</v>
      </c>
      <c r="AH50" s="1" t="s">
        <v>4</v>
      </c>
      <c r="AI50" s="1"/>
      <c r="AJ50" s="1"/>
      <c r="AK50" s="1"/>
      <c r="AL50" s="1"/>
      <c r="AM50" s="1"/>
      <c r="AN50" s="1"/>
      <c r="AO50" s="1"/>
      <c r="AP50" s="1"/>
      <c r="AQ50" s="1" t="s">
        <v>4</v>
      </c>
      <c r="AR50" s="1"/>
      <c r="AS50" s="1"/>
      <c r="AT50" s="1"/>
      <c r="AU50" s="1"/>
      <c r="AV50" s="1" t="s">
        <v>0</v>
      </c>
      <c r="AW50" s="1"/>
      <c r="AX50" s="1"/>
    </row>
    <row r="51" spans="1:50">
      <c r="A51" s="1" t="s">
        <v>203</v>
      </c>
      <c r="B51" s="1"/>
      <c r="C51" s="1"/>
      <c r="D51" s="1" t="s">
        <v>206</v>
      </c>
      <c r="E51" s="1" t="s">
        <v>206</v>
      </c>
      <c r="F51" s="1" t="s">
        <v>207</v>
      </c>
      <c r="G51" s="1" t="s">
        <v>208</v>
      </c>
      <c r="H51" s="1" t="s">
        <v>208</v>
      </c>
      <c r="I51" s="1"/>
      <c r="J51" s="1"/>
      <c r="K51" s="1"/>
      <c r="L51" s="1"/>
      <c r="M51" s="53" t="s">
        <v>206</v>
      </c>
      <c r="N51" s="53" t="s">
        <v>207</v>
      </c>
      <c r="O51" s="53" t="s">
        <v>207</v>
      </c>
      <c r="P51" s="53" t="s">
        <v>208</v>
      </c>
      <c r="Q51" s="53" t="s">
        <v>208</v>
      </c>
      <c r="R51" s="1"/>
      <c r="S51" s="1"/>
      <c r="T51" s="1"/>
      <c r="U51" s="53" t="s">
        <v>206</v>
      </c>
      <c r="V51" s="53" t="s">
        <v>206</v>
      </c>
      <c r="W51" s="53" t="s">
        <v>207</v>
      </c>
      <c r="X51" s="53" t="s">
        <v>207</v>
      </c>
      <c r="Y51" s="53" t="s">
        <v>208</v>
      </c>
      <c r="Z51" s="53" t="s">
        <v>208</v>
      </c>
      <c r="AA51" s="1"/>
      <c r="AB51" s="1"/>
      <c r="AC51" s="1"/>
      <c r="AD51" s="53" t="s">
        <v>206</v>
      </c>
      <c r="AE51" s="53" t="s">
        <v>206</v>
      </c>
      <c r="AF51" s="53" t="s">
        <v>207</v>
      </c>
      <c r="AG51" s="53" t="s">
        <v>207</v>
      </c>
      <c r="AH51" s="53" t="s">
        <v>208</v>
      </c>
      <c r="AI51" s="1"/>
      <c r="AJ51" s="1"/>
      <c r="AK51" s="1"/>
      <c r="AL51" s="1"/>
      <c r="AM51" s="53" t="s">
        <v>206</v>
      </c>
      <c r="AN51" s="53" t="s">
        <v>206</v>
      </c>
      <c r="AO51" s="53" t="s">
        <v>207</v>
      </c>
      <c r="AP51" s="53" t="s">
        <v>208</v>
      </c>
      <c r="AQ51" s="53" t="s">
        <v>208</v>
      </c>
      <c r="AR51" s="1"/>
      <c r="AS51" s="1"/>
      <c r="AT51" s="1"/>
      <c r="AU51" s="1"/>
      <c r="AV51" s="1" t="s">
        <v>206</v>
      </c>
      <c r="AW51" s="1" t="s">
        <v>2</v>
      </c>
      <c r="AX51" s="1" t="s">
        <v>2</v>
      </c>
    </row>
    <row r="52" spans="1:50">
      <c r="A52" s="1"/>
      <c r="B52" s="1"/>
      <c r="C52" s="1"/>
      <c r="D52" s="49" t="s">
        <v>209</v>
      </c>
      <c r="E52" s="49" t="s">
        <v>209</v>
      </c>
      <c r="F52" s="49" t="s">
        <v>209</v>
      </c>
      <c r="G52" s="49" t="s">
        <v>209</v>
      </c>
      <c r="H52" s="49" t="s">
        <v>209</v>
      </c>
      <c r="I52" s="1"/>
      <c r="J52" s="1"/>
      <c r="K52" s="1"/>
      <c r="L52" s="1"/>
      <c r="M52" s="1" t="s">
        <v>4</v>
      </c>
      <c r="N52" s="1" t="s">
        <v>4</v>
      </c>
      <c r="O52" s="1"/>
      <c r="P52" s="1"/>
      <c r="Q52" s="1"/>
      <c r="R52" s="1" t="s">
        <v>0</v>
      </c>
      <c r="S52" s="1" t="s">
        <v>0</v>
      </c>
      <c r="T52" s="1" t="s">
        <v>2</v>
      </c>
      <c r="U52" s="1" t="s">
        <v>2</v>
      </c>
      <c r="V52" s="1" t="s">
        <v>4</v>
      </c>
      <c r="W52" s="1" t="s">
        <v>4</v>
      </c>
      <c r="X52" s="1"/>
      <c r="Y52" s="1"/>
      <c r="Z52" s="1"/>
      <c r="AA52" s="1" t="s">
        <v>0</v>
      </c>
      <c r="AB52" s="1" t="s">
        <v>0</v>
      </c>
      <c r="AC52" s="1" t="s">
        <v>2</v>
      </c>
      <c r="AD52" s="1" t="s">
        <v>2</v>
      </c>
      <c r="AE52" s="1" t="s">
        <v>4</v>
      </c>
      <c r="AF52" s="1" t="s">
        <v>4</v>
      </c>
      <c r="AG52" s="1"/>
      <c r="AH52" s="1"/>
      <c r="AI52" s="1"/>
      <c r="AJ52" s="1" t="s">
        <v>0</v>
      </c>
      <c r="AK52" s="1" t="s">
        <v>0</v>
      </c>
      <c r="AL52" s="1" t="s">
        <v>2</v>
      </c>
      <c r="AM52" s="1" t="s">
        <v>2</v>
      </c>
      <c r="AN52" s="1" t="s">
        <v>4</v>
      </c>
      <c r="AO52" s="1" t="s">
        <v>4</v>
      </c>
      <c r="AP52" s="1"/>
      <c r="AQ52" s="1"/>
      <c r="AR52" s="1"/>
      <c r="AS52" s="1" t="s">
        <v>0</v>
      </c>
      <c r="AT52" s="1" t="s">
        <v>0</v>
      </c>
      <c r="AU52" s="1" t="s">
        <v>2</v>
      </c>
      <c r="AV52" s="1" t="s">
        <v>2</v>
      </c>
      <c r="AW52" s="1"/>
      <c r="AX52" s="1"/>
    </row>
    <row r="53" spans="1:5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>
      <c r="A54" s="1" t="s">
        <v>88</v>
      </c>
      <c r="B54" s="1" t="s">
        <v>8</v>
      </c>
      <c r="C54" s="1" t="s">
        <v>8</v>
      </c>
      <c r="D54" s="1" t="s">
        <v>8</v>
      </c>
      <c r="E54" s="1" t="s">
        <v>8</v>
      </c>
      <c r="F54" s="1" t="s">
        <v>8</v>
      </c>
      <c r="G54" s="1"/>
      <c r="H54" s="1"/>
      <c r="I54" s="1" t="s">
        <v>8</v>
      </c>
      <c r="J54" s="1" t="s">
        <v>8</v>
      </c>
      <c r="K54" s="1" t="s">
        <v>8</v>
      </c>
      <c r="L54" s="1" t="s">
        <v>8</v>
      </c>
      <c r="M54" s="1" t="s">
        <v>8</v>
      </c>
      <c r="N54" s="1"/>
      <c r="O54" s="1"/>
      <c r="P54" s="1" t="s">
        <v>8</v>
      </c>
      <c r="Q54" s="1" t="s">
        <v>8</v>
      </c>
      <c r="R54" s="1" t="s">
        <v>8</v>
      </c>
      <c r="S54" s="1" t="s">
        <v>8</v>
      </c>
      <c r="T54" s="1" t="s">
        <v>8</v>
      </c>
      <c r="U54" s="1"/>
      <c r="V54" s="1"/>
      <c r="W54" s="1" t="s">
        <v>8</v>
      </c>
      <c r="X54" s="1" t="s">
        <v>8</v>
      </c>
      <c r="Y54" s="1" t="s">
        <v>8</v>
      </c>
      <c r="Z54" s="1" t="s">
        <v>8</v>
      </c>
      <c r="AA54" s="1" t="s">
        <v>8</v>
      </c>
      <c r="AB54" s="1"/>
      <c r="AC54" s="1"/>
      <c r="AD54" s="1" t="s">
        <v>8</v>
      </c>
      <c r="AE54" s="1" t="s">
        <v>8</v>
      </c>
      <c r="AF54" s="1" t="s">
        <v>8</v>
      </c>
      <c r="AG54" s="1" t="s">
        <v>8</v>
      </c>
      <c r="AH54" s="1" t="s">
        <v>8</v>
      </c>
      <c r="AI54" s="1"/>
      <c r="AJ54" s="1"/>
      <c r="AK54" s="1" t="s">
        <v>8</v>
      </c>
      <c r="AL54" s="1" t="s">
        <v>8</v>
      </c>
      <c r="AM54" s="1" t="s">
        <v>8</v>
      </c>
      <c r="AN54" s="1" t="s">
        <v>8</v>
      </c>
      <c r="AO54" s="1" t="s">
        <v>8</v>
      </c>
      <c r="AP54" s="1"/>
      <c r="AQ54" s="1"/>
      <c r="AR54" s="1" t="s">
        <v>8</v>
      </c>
      <c r="AS54" s="1" t="s">
        <v>8</v>
      </c>
      <c r="AT54" s="1" t="s">
        <v>8</v>
      </c>
      <c r="AU54" s="1" t="s">
        <v>8</v>
      </c>
      <c r="AV54" s="1" t="s">
        <v>8</v>
      </c>
      <c r="AW54" s="1"/>
      <c r="AX54" s="1"/>
    </row>
    <row r="55" spans="1:5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>
      <c r="A56" s="1" t="s">
        <v>89</v>
      </c>
      <c r="B56" s="1" t="s">
        <v>8</v>
      </c>
      <c r="C56" s="1" t="s">
        <v>8</v>
      </c>
      <c r="D56" s="1" t="s">
        <v>8</v>
      </c>
      <c r="E56" s="1" t="s">
        <v>8</v>
      </c>
      <c r="F56" s="1"/>
      <c r="G56" s="1"/>
      <c r="H56" s="1"/>
      <c r="I56" s="1" t="s">
        <v>8</v>
      </c>
      <c r="J56" s="1" t="s">
        <v>8</v>
      </c>
      <c r="K56" s="1" t="s">
        <v>8</v>
      </c>
      <c r="L56" s="1" t="s">
        <v>8</v>
      </c>
      <c r="M56" s="1"/>
      <c r="N56" s="1"/>
      <c r="O56" s="1"/>
      <c r="P56" s="1" t="s">
        <v>8</v>
      </c>
      <c r="Q56" s="1" t="s">
        <v>8</v>
      </c>
      <c r="R56" s="1" t="s">
        <v>8</v>
      </c>
      <c r="S56" s="1" t="s">
        <v>8</v>
      </c>
      <c r="T56" s="1"/>
      <c r="U56" s="1"/>
      <c r="V56" s="1"/>
      <c r="W56" s="1" t="s">
        <v>8</v>
      </c>
      <c r="X56" s="1" t="s">
        <v>8</v>
      </c>
      <c r="Y56" s="1" t="s">
        <v>8</v>
      </c>
      <c r="Z56" s="1" t="s">
        <v>8</v>
      </c>
      <c r="AA56" s="1"/>
      <c r="AB56" s="1"/>
      <c r="AC56" s="1"/>
      <c r="AD56" s="1" t="s">
        <v>8</v>
      </c>
      <c r="AE56" s="1" t="s">
        <v>8</v>
      </c>
      <c r="AF56" s="1" t="s">
        <v>8</v>
      </c>
      <c r="AG56" s="1" t="s">
        <v>8</v>
      </c>
      <c r="AH56" s="1"/>
      <c r="AI56" s="1"/>
      <c r="AJ56" s="1"/>
      <c r="AK56" s="1" t="s">
        <v>8</v>
      </c>
      <c r="AL56" s="1" t="s">
        <v>8</v>
      </c>
      <c r="AM56" s="1" t="s">
        <v>8</v>
      </c>
      <c r="AN56" s="1" t="s">
        <v>8</v>
      </c>
      <c r="AO56" s="1"/>
      <c r="AP56" s="1"/>
      <c r="AQ56" s="1"/>
      <c r="AR56" s="1" t="s">
        <v>8</v>
      </c>
      <c r="AS56" s="1" t="s">
        <v>8</v>
      </c>
      <c r="AT56" s="1" t="s">
        <v>8</v>
      </c>
      <c r="AU56" s="1" t="s">
        <v>8</v>
      </c>
      <c r="AV56" s="1"/>
      <c r="AW56" s="1"/>
      <c r="AX56" s="1"/>
    </row>
    <row r="57" spans="1:5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>
      <c r="A58" s="1" t="s">
        <v>90</v>
      </c>
      <c r="B58" s="1" t="s">
        <v>8</v>
      </c>
      <c r="C58" s="1"/>
      <c r="D58" s="1" t="s">
        <v>8</v>
      </c>
      <c r="E58" s="1" t="s">
        <v>8</v>
      </c>
      <c r="F58" s="1" t="s">
        <v>8</v>
      </c>
      <c r="G58" s="1"/>
      <c r="H58" s="1"/>
      <c r="I58" s="1" t="s">
        <v>8</v>
      </c>
      <c r="J58" s="1"/>
      <c r="K58" s="1" t="s">
        <v>8</v>
      </c>
      <c r="L58" s="1" t="s">
        <v>8</v>
      </c>
      <c r="M58" s="1" t="s">
        <v>8</v>
      </c>
      <c r="N58" s="1"/>
      <c r="O58" s="1"/>
      <c r="P58" s="1" t="s">
        <v>8</v>
      </c>
      <c r="Q58" s="1"/>
      <c r="R58" s="1" t="s">
        <v>8</v>
      </c>
      <c r="S58" s="1" t="s">
        <v>8</v>
      </c>
      <c r="T58" s="1" t="s">
        <v>8</v>
      </c>
      <c r="U58" s="1"/>
      <c r="V58" s="1"/>
      <c r="W58" s="1" t="s">
        <v>8</v>
      </c>
      <c r="X58" s="1"/>
      <c r="Y58" s="1" t="s">
        <v>8</v>
      </c>
      <c r="Z58" s="1" t="s">
        <v>8</v>
      </c>
      <c r="AA58" s="1" t="s">
        <v>8</v>
      </c>
      <c r="AB58" s="1"/>
      <c r="AC58" s="1"/>
      <c r="AD58" s="1" t="s">
        <v>8</v>
      </c>
      <c r="AE58" s="1"/>
      <c r="AF58" s="1" t="s">
        <v>8</v>
      </c>
      <c r="AG58" s="1" t="s">
        <v>8</v>
      </c>
      <c r="AH58" s="1" t="s">
        <v>8</v>
      </c>
      <c r="AI58" s="1"/>
      <c r="AJ58" s="1"/>
      <c r="AK58" s="1" t="s">
        <v>8</v>
      </c>
      <c r="AL58" s="1"/>
      <c r="AM58" s="1" t="s">
        <v>8</v>
      </c>
      <c r="AN58" s="1" t="s">
        <v>8</v>
      </c>
      <c r="AO58" s="1" t="s">
        <v>8</v>
      </c>
      <c r="AP58" s="1"/>
      <c r="AQ58" s="1"/>
      <c r="AR58" s="1" t="s">
        <v>8</v>
      </c>
      <c r="AS58" s="1"/>
      <c r="AT58" s="1" t="s">
        <v>8</v>
      </c>
      <c r="AU58" s="1" t="s">
        <v>8</v>
      </c>
      <c r="AV58" s="1" t="s">
        <v>8</v>
      </c>
      <c r="AW58" s="1"/>
      <c r="AX58" s="1"/>
    </row>
    <row r="59" spans="1:5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>
      <c r="A60" s="1" t="s">
        <v>91</v>
      </c>
      <c r="B60" s="1" t="s">
        <v>8</v>
      </c>
      <c r="C60" s="1" t="s">
        <v>8</v>
      </c>
      <c r="D60" s="1" t="s">
        <v>8</v>
      </c>
      <c r="E60" s="1" t="s">
        <v>8</v>
      </c>
      <c r="F60" s="1" t="s">
        <v>8</v>
      </c>
      <c r="G60" s="1"/>
      <c r="H60" s="1"/>
      <c r="I60" s="1" t="s">
        <v>8</v>
      </c>
      <c r="J60" s="1" t="s">
        <v>8</v>
      </c>
      <c r="K60" s="1" t="s">
        <v>8</v>
      </c>
      <c r="L60" s="1" t="s">
        <v>8</v>
      </c>
      <c r="M60" s="1" t="s">
        <v>8</v>
      </c>
      <c r="N60" s="1"/>
      <c r="O60" s="1"/>
      <c r="P60" s="1"/>
      <c r="Q60" s="1" t="s">
        <v>8</v>
      </c>
      <c r="R60" s="1" t="s">
        <v>8</v>
      </c>
      <c r="S60" s="1" t="s">
        <v>8</v>
      </c>
      <c r="T60" s="1" t="s">
        <v>8</v>
      </c>
      <c r="U60" s="1"/>
      <c r="V60" s="1"/>
      <c r="W60" s="1"/>
      <c r="X60" s="1" t="s">
        <v>8</v>
      </c>
      <c r="Y60" s="1" t="s">
        <v>8</v>
      </c>
      <c r="Z60" s="1" t="s">
        <v>8</v>
      </c>
      <c r="AA60" s="1" t="s">
        <v>8</v>
      </c>
      <c r="AB60" s="1"/>
      <c r="AC60" s="1"/>
      <c r="AD60" s="1" t="s">
        <v>6</v>
      </c>
      <c r="AE60" s="1" t="s">
        <v>6</v>
      </c>
      <c r="AF60" s="1" t="s">
        <v>6</v>
      </c>
      <c r="AG60" s="1" t="s">
        <v>8</v>
      </c>
      <c r="AH60" s="1" t="s">
        <v>8</v>
      </c>
      <c r="AI60" s="1"/>
      <c r="AJ60" s="1"/>
      <c r="AK60" s="1" t="s">
        <v>8</v>
      </c>
      <c r="AL60" s="1" t="s">
        <v>8</v>
      </c>
      <c r="AM60" s="1"/>
      <c r="AN60" s="1"/>
      <c r="AO60" s="1" t="s">
        <v>8</v>
      </c>
      <c r="AP60" s="1"/>
      <c r="AQ60" s="1"/>
      <c r="AR60" s="1" t="s">
        <v>8</v>
      </c>
      <c r="AS60" s="1" t="s">
        <v>8</v>
      </c>
      <c r="AT60" s="1" t="s">
        <v>8</v>
      </c>
      <c r="AU60" s="1" t="s">
        <v>8</v>
      </c>
      <c r="AV60" s="1" t="s">
        <v>8</v>
      </c>
      <c r="AW60" s="1"/>
      <c r="AX60" s="1"/>
    </row>
    <row r="61" spans="1:50">
      <c r="A61" s="1"/>
      <c r="B61" s="1"/>
      <c r="C61" s="1"/>
      <c r="D61" s="1" t="s">
        <v>2</v>
      </c>
      <c r="E61" s="1"/>
      <c r="F61" s="1"/>
      <c r="G61" s="1" t="s">
        <v>210</v>
      </c>
      <c r="H61" s="1"/>
      <c r="I61" s="1" t="s">
        <v>0</v>
      </c>
      <c r="J61" s="1" t="s">
        <v>0</v>
      </c>
      <c r="K61" s="1" t="s">
        <v>2</v>
      </c>
      <c r="L61" s="1" t="s">
        <v>2</v>
      </c>
      <c r="M61" s="1" t="s">
        <v>2</v>
      </c>
      <c r="N61" s="1"/>
      <c r="O61" s="1" t="s">
        <v>0</v>
      </c>
      <c r="P61" s="1"/>
      <c r="Q61" s="1" t="s">
        <v>2</v>
      </c>
      <c r="R61" s="1"/>
      <c r="S61" s="1"/>
      <c r="T61" s="1"/>
      <c r="U61" s="1"/>
      <c r="V61" s="1" t="s">
        <v>0</v>
      </c>
      <c r="W61" s="1" t="s">
        <v>0</v>
      </c>
      <c r="X61" s="1" t="s">
        <v>2</v>
      </c>
      <c r="Y61" s="1"/>
      <c r="Z61" s="1" t="s">
        <v>2</v>
      </c>
      <c r="AA61" s="1"/>
      <c r="AB61" s="1"/>
      <c r="AC61" s="1"/>
      <c r="AD61" s="17"/>
      <c r="AE61" s="17"/>
      <c r="AF61" s="17"/>
      <c r="AG61" s="1" t="s">
        <v>2</v>
      </c>
      <c r="AH61" s="1"/>
      <c r="AI61" s="1" t="s">
        <v>0</v>
      </c>
      <c r="AJ61" s="1"/>
      <c r="AK61" s="1" t="s">
        <v>241</v>
      </c>
      <c r="AL61" s="1"/>
      <c r="AM61" s="1" t="s">
        <v>4</v>
      </c>
      <c r="AN61" s="1"/>
      <c r="AO61" s="1"/>
      <c r="AP61" s="1"/>
      <c r="AQ61" s="1"/>
      <c r="AR61" s="1" t="s">
        <v>2</v>
      </c>
      <c r="AS61" s="1"/>
      <c r="AT61" s="1"/>
      <c r="AU61" s="1"/>
      <c r="AV61" s="1"/>
      <c r="AW61" s="1"/>
      <c r="AX61" s="1"/>
    </row>
    <row r="62" spans="1:50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5" spans="2:50">
      <c r="AM65" t="s">
        <v>237</v>
      </c>
    </row>
    <row r="66" spans="2:50">
      <c r="B66">
        <f t="shared" ref="B66:D66" si="0">COUNTIF(B38:B62,"o")+COUNTIF(B38:B62,"m")+COUNTIF(B38:B62,"n")</f>
        <v>3</v>
      </c>
      <c r="C66">
        <f t="shared" si="0"/>
        <v>3</v>
      </c>
      <c r="D66">
        <f t="shared" si="0"/>
        <v>3</v>
      </c>
      <c r="E66">
        <f t="shared" ref="E66:AX66" si="1">COUNTIF(E38:E62,"o")+COUNTIF(E38:E62,"m")+COUNTIF(E38:E62,"n")</f>
        <v>3</v>
      </c>
      <c r="F66">
        <f t="shared" si="1"/>
        <v>3</v>
      </c>
      <c r="G66">
        <f t="shared" si="1"/>
        <v>3</v>
      </c>
      <c r="H66">
        <f t="shared" si="1"/>
        <v>3</v>
      </c>
      <c r="I66">
        <f t="shared" si="1"/>
        <v>3</v>
      </c>
      <c r="J66">
        <f t="shared" si="1"/>
        <v>3</v>
      </c>
      <c r="K66">
        <f t="shared" si="1"/>
        <v>3</v>
      </c>
      <c r="L66">
        <f t="shared" si="1"/>
        <v>3</v>
      </c>
      <c r="M66">
        <f t="shared" si="1"/>
        <v>3</v>
      </c>
      <c r="N66">
        <f t="shared" si="1"/>
        <v>3</v>
      </c>
      <c r="O66">
        <f t="shared" si="1"/>
        <v>3</v>
      </c>
      <c r="P66">
        <f t="shared" si="1"/>
        <v>3</v>
      </c>
      <c r="Q66">
        <f t="shared" si="1"/>
        <v>3</v>
      </c>
      <c r="R66">
        <f t="shared" si="1"/>
        <v>3</v>
      </c>
      <c r="S66">
        <f t="shared" si="1"/>
        <v>3</v>
      </c>
      <c r="T66">
        <f t="shared" si="1"/>
        <v>3</v>
      </c>
      <c r="U66">
        <f t="shared" si="1"/>
        <v>3</v>
      </c>
      <c r="V66">
        <f t="shared" si="1"/>
        <v>3</v>
      </c>
      <c r="W66">
        <f t="shared" si="1"/>
        <v>3</v>
      </c>
      <c r="X66">
        <f t="shared" si="1"/>
        <v>3</v>
      </c>
      <c r="Y66">
        <f t="shared" si="1"/>
        <v>3</v>
      </c>
      <c r="Z66">
        <f t="shared" si="1"/>
        <v>3</v>
      </c>
      <c r="AA66">
        <f t="shared" si="1"/>
        <v>3</v>
      </c>
      <c r="AB66">
        <f t="shared" si="1"/>
        <v>3</v>
      </c>
      <c r="AC66">
        <f t="shared" si="1"/>
        <v>3</v>
      </c>
      <c r="AD66">
        <f t="shared" si="1"/>
        <v>3</v>
      </c>
      <c r="AE66">
        <f t="shared" si="1"/>
        <v>3</v>
      </c>
      <c r="AF66">
        <f t="shared" si="1"/>
        <v>3</v>
      </c>
      <c r="AG66">
        <f t="shared" si="1"/>
        <v>3</v>
      </c>
      <c r="AH66">
        <f t="shared" si="1"/>
        <v>3</v>
      </c>
      <c r="AI66">
        <f t="shared" si="1"/>
        <v>3</v>
      </c>
      <c r="AJ66">
        <f t="shared" si="1"/>
        <v>3</v>
      </c>
      <c r="AK66">
        <f t="shared" si="1"/>
        <v>3</v>
      </c>
      <c r="AL66">
        <f t="shared" si="1"/>
        <v>3</v>
      </c>
      <c r="AM66">
        <f t="shared" si="1"/>
        <v>3</v>
      </c>
      <c r="AN66">
        <f t="shared" si="1"/>
        <v>3</v>
      </c>
      <c r="AO66">
        <f t="shared" si="1"/>
        <v>3</v>
      </c>
      <c r="AP66">
        <f t="shared" si="1"/>
        <v>3</v>
      </c>
      <c r="AQ66">
        <f t="shared" si="1"/>
        <v>3</v>
      </c>
      <c r="AR66">
        <f t="shared" si="1"/>
        <v>3</v>
      </c>
      <c r="AS66">
        <f t="shared" si="1"/>
        <v>3</v>
      </c>
      <c r="AT66">
        <f t="shared" si="1"/>
        <v>3</v>
      </c>
      <c r="AU66">
        <f t="shared" si="1"/>
        <v>3</v>
      </c>
      <c r="AV66">
        <f t="shared" si="1"/>
        <v>3</v>
      </c>
      <c r="AW66">
        <f t="shared" si="1"/>
        <v>3</v>
      </c>
      <c r="AX66">
        <f t="shared" si="1"/>
        <v>3</v>
      </c>
    </row>
  </sheetData>
  <conditionalFormatting sqref="A3:A28">
    <cfRule type="cellIs" dxfId="418" priority="1982" operator="equal">
      <formula>"r"</formula>
    </cfRule>
    <cfRule type="cellIs" dxfId="417" priority="1983" operator="equal">
      <formula>"z"</formula>
    </cfRule>
    <cfRule type="cellIs" dxfId="416" priority="1984" operator="equal">
      <formula>"x"</formula>
    </cfRule>
    <cfRule type="cellIs" dxfId="415" priority="1985" operator="equal">
      <formula>"v"</formula>
    </cfRule>
    <cfRule type="cellIs" dxfId="414" priority="1986" operator="equal">
      <formula>"n"</formula>
    </cfRule>
    <cfRule type="cellIs" dxfId="413" priority="1987" operator="equal">
      <formula>"m"</formula>
    </cfRule>
    <cfRule type="cellIs" dxfId="412" priority="1988" operator="equal">
      <formula>"o"</formula>
    </cfRule>
  </conditionalFormatting>
  <conditionalFormatting sqref="A36:A61">
    <cfRule type="cellIs" dxfId="411" priority="295" operator="equal">
      <formula>"r"</formula>
    </cfRule>
    <cfRule type="cellIs" dxfId="410" priority="296" operator="equal">
      <formula>"z"</formula>
    </cfRule>
    <cfRule type="cellIs" dxfId="409" priority="297" operator="equal">
      <formula>"x"</formula>
    </cfRule>
    <cfRule type="cellIs" dxfId="408" priority="298" operator="equal">
      <formula>"v"</formula>
    </cfRule>
    <cfRule type="cellIs" dxfId="407" priority="299" operator="equal">
      <formula>"n"</formula>
    </cfRule>
    <cfRule type="cellIs" dxfId="406" priority="300" operator="equal">
      <formula>"m"</formula>
    </cfRule>
    <cfRule type="cellIs" dxfId="405" priority="301" operator="equal">
      <formula>"o"</formula>
    </cfRule>
  </conditionalFormatting>
  <conditionalFormatting sqref="B18:AH19">
    <cfRule type="cellIs" dxfId="404" priority="624" operator="equal">
      <formula>"r"</formula>
    </cfRule>
    <cfRule type="cellIs" dxfId="403" priority="625" operator="equal">
      <formula>"z"</formula>
    </cfRule>
    <cfRule type="cellIs" dxfId="402" priority="626" operator="equal">
      <formula>"x"</formula>
    </cfRule>
    <cfRule type="cellIs" dxfId="401" priority="627" operator="equal">
      <formula>"v"</formula>
    </cfRule>
    <cfRule type="cellIs" dxfId="400" priority="628" operator="equal">
      <formula>"n"</formula>
    </cfRule>
    <cfRule type="cellIs" dxfId="399" priority="629" operator="equal">
      <formula>"m"</formula>
    </cfRule>
    <cfRule type="cellIs" dxfId="398" priority="630" operator="equal">
      <formula>"o"</formula>
    </cfRule>
  </conditionalFormatting>
  <conditionalFormatting sqref="B15:AO17">
    <cfRule type="cellIs" dxfId="397" priority="631" operator="equal">
      <formula>"r"</formula>
    </cfRule>
    <cfRule type="cellIs" dxfId="396" priority="632" operator="equal">
      <formula>"z"</formula>
    </cfRule>
    <cfRule type="cellIs" dxfId="395" priority="633" operator="equal">
      <formula>"x"</formula>
    </cfRule>
    <cfRule type="cellIs" dxfId="394" priority="634" operator="equal">
      <formula>"v"</formula>
    </cfRule>
    <cfRule type="cellIs" dxfId="393" priority="635" operator="equal">
      <formula>"n"</formula>
    </cfRule>
    <cfRule type="cellIs" dxfId="392" priority="636" operator="equal">
      <formula>"m"</formula>
    </cfRule>
    <cfRule type="cellIs" dxfId="391" priority="637" operator="equal">
      <formula>"o"</formula>
    </cfRule>
  </conditionalFormatting>
  <conditionalFormatting sqref="B35:AX62">
    <cfRule type="cellIs" dxfId="390" priority="1" operator="equal">
      <formula>"r"</formula>
    </cfRule>
    <cfRule type="cellIs" dxfId="389" priority="2" operator="equal">
      <formula>"z"</formula>
    </cfRule>
    <cfRule type="cellIs" dxfId="388" priority="3" operator="equal">
      <formula>"x"</formula>
    </cfRule>
    <cfRule type="cellIs" dxfId="387" priority="4" operator="equal">
      <formula>"v"</formula>
    </cfRule>
    <cfRule type="cellIs" dxfId="386" priority="5" operator="equal">
      <formula>"n"</formula>
    </cfRule>
    <cfRule type="cellIs" dxfId="385" priority="6" operator="equal">
      <formula>"m"</formula>
    </cfRule>
    <cfRule type="cellIs" dxfId="384" priority="7" operator="equal">
      <formula>"o"</formula>
    </cfRule>
  </conditionalFormatting>
  <conditionalFormatting sqref="B20:BI20">
    <cfRule type="cellIs" dxfId="383" priority="1667" operator="equal">
      <formula>"r"</formula>
    </cfRule>
    <cfRule type="cellIs" dxfId="382" priority="1668" operator="equal">
      <formula>"z"</formula>
    </cfRule>
    <cfRule type="cellIs" dxfId="381" priority="1669" operator="equal">
      <formula>"x"</formula>
    </cfRule>
    <cfRule type="cellIs" dxfId="380" priority="1670" operator="equal">
      <formula>"v"</formula>
    </cfRule>
    <cfRule type="cellIs" dxfId="379" priority="1671" operator="equal">
      <formula>"n"</formula>
    </cfRule>
    <cfRule type="cellIs" dxfId="378" priority="1672" operator="equal">
      <formula>"m"</formula>
    </cfRule>
    <cfRule type="cellIs" dxfId="377" priority="1673" operator="equal">
      <formula>"o"</formula>
    </cfRule>
  </conditionalFormatting>
  <conditionalFormatting sqref="B3:BL14">
    <cfRule type="cellIs" dxfId="376" priority="638" operator="equal">
      <formula>"r"</formula>
    </cfRule>
    <cfRule type="cellIs" dxfId="375" priority="639" operator="equal">
      <formula>"z"</formula>
    </cfRule>
    <cfRule type="cellIs" dxfId="374" priority="640" operator="equal">
      <formula>"x"</formula>
    </cfRule>
    <cfRule type="cellIs" dxfId="373" priority="641" operator="equal">
      <formula>"v"</formula>
    </cfRule>
    <cfRule type="cellIs" dxfId="372" priority="642" operator="equal">
      <formula>"n"</formula>
    </cfRule>
    <cfRule type="cellIs" dxfId="371" priority="643" operator="equal">
      <formula>"m"</formula>
    </cfRule>
    <cfRule type="cellIs" dxfId="370" priority="644" operator="equal">
      <formula>"o"</formula>
    </cfRule>
  </conditionalFormatting>
  <conditionalFormatting sqref="B21:BL28">
    <cfRule type="cellIs" dxfId="369" priority="603" operator="equal">
      <formula>"r"</formula>
    </cfRule>
    <cfRule type="cellIs" dxfId="368" priority="604" operator="equal">
      <formula>"z"</formula>
    </cfRule>
    <cfRule type="cellIs" dxfId="367" priority="605" operator="equal">
      <formula>"x"</formula>
    </cfRule>
    <cfRule type="cellIs" dxfId="366" priority="606" operator="equal">
      <formula>"v"</formula>
    </cfRule>
    <cfRule type="cellIs" dxfId="365" priority="607" operator="equal">
      <formula>"n"</formula>
    </cfRule>
    <cfRule type="cellIs" dxfId="364" priority="608" operator="equal">
      <formula>"m"</formula>
    </cfRule>
    <cfRule type="cellIs" dxfId="363" priority="609" operator="equal">
      <formula>"o"</formula>
    </cfRule>
  </conditionalFormatting>
  <conditionalFormatting sqref="AI19:BI19">
    <cfRule type="cellIs" dxfId="362" priority="694" operator="equal">
      <formula>"r"</formula>
    </cfRule>
    <cfRule type="cellIs" dxfId="361" priority="695" operator="equal">
      <formula>"z"</formula>
    </cfRule>
    <cfRule type="cellIs" dxfId="360" priority="696" operator="equal">
      <formula>"x"</formula>
    </cfRule>
    <cfRule type="cellIs" dxfId="359" priority="697" operator="equal">
      <formula>"v"</formula>
    </cfRule>
    <cfRule type="cellIs" dxfId="358" priority="698" operator="equal">
      <formula>"n"</formula>
    </cfRule>
    <cfRule type="cellIs" dxfId="357" priority="699" operator="equal">
      <formula>"m"</formula>
    </cfRule>
    <cfRule type="cellIs" dxfId="356" priority="700" operator="equal">
      <formula>"o"</formula>
    </cfRule>
  </conditionalFormatting>
  <conditionalFormatting sqref="AO17:BG17">
    <cfRule type="cellIs" dxfId="355" priority="596" operator="equal">
      <formula>"r"</formula>
    </cfRule>
    <cfRule type="cellIs" dxfId="354" priority="597" operator="equal">
      <formula>"z"</formula>
    </cfRule>
    <cfRule type="cellIs" dxfId="353" priority="598" operator="equal">
      <formula>"x"</formula>
    </cfRule>
    <cfRule type="cellIs" dxfId="352" priority="599" operator="equal">
      <formula>"v"</formula>
    </cfRule>
    <cfRule type="cellIs" dxfId="351" priority="600" operator="equal">
      <formula>"n"</formula>
    </cfRule>
    <cfRule type="cellIs" dxfId="350" priority="601" operator="equal">
      <formula>"m"</formula>
    </cfRule>
    <cfRule type="cellIs" dxfId="349" priority="602" operator="equal">
      <formula>"o"</formula>
    </cfRule>
  </conditionalFormatting>
  <conditionalFormatting sqref="AP15:AU16">
    <cfRule type="cellIs" dxfId="348" priority="841" operator="equal">
      <formula>"r"</formula>
    </cfRule>
    <cfRule type="cellIs" dxfId="347" priority="842" operator="equal">
      <formula>"z"</formula>
    </cfRule>
    <cfRule type="cellIs" dxfId="346" priority="843" operator="equal">
      <formula>"x"</formula>
    </cfRule>
    <cfRule type="cellIs" dxfId="345" priority="844" operator="equal">
      <formula>"v"</formula>
    </cfRule>
    <cfRule type="cellIs" dxfId="344" priority="845" operator="equal">
      <formula>"n"</formula>
    </cfRule>
    <cfRule type="cellIs" dxfId="343" priority="846" operator="equal">
      <formula>"m"</formula>
    </cfRule>
    <cfRule type="cellIs" dxfId="342" priority="847" operator="equal">
      <formula>"o"</formula>
    </cfRule>
  </conditionalFormatting>
  <conditionalFormatting sqref="AV16:AX17 AI18:BG18">
    <cfRule type="cellIs" dxfId="341" priority="1898" operator="equal">
      <formula>"r"</formula>
    </cfRule>
    <cfRule type="cellIs" dxfId="340" priority="1899" operator="equal">
      <formula>"z"</formula>
    </cfRule>
    <cfRule type="cellIs" dxfId="339" priority="1900" operator="equal">
      <formula>"x"</formula>
    </cfRule>
    <cfRule type="cellIs" dxfId="338" priority="1901" operator="equal">
      <formula>"v"</formula>
    </cfRule>
    <cfRule type="cellIs" dxfId="337" priority="1902" operator="equal">
      <formula>"n"</formula>
    </cfRule>
    <cfRule type="cellIs" dxfId="336" priority="1903" operator="equal">
      <formula>"m"</formula>
    </cfRule>
    <cfRule type="cellIs" dxfId="335" priority="1904" operator="equal">
      <formula>"o"</formula>
    </cfRule>
  </conditionalFormatting>
  <conditionalFormatting sqref="AV15:BL15">
    <cfRule type="cellIs" dxfId="334" priority="1912" operator="equal">
      <formula>"r"</formula>
    </cfRule>
    <cfRule type="cellIs" dxfId="333" priority="1913" operator="equal">
      <formula>"z"</formula>
    </cfRule>
    <cfRule type="cellIs" dxfId="332" priority="1914" operator="equal">
      <formula>"x"</formula>
    </cfRule>
    <cfRule type="cellIs" dxfId="331" priority="1915" operator="equal">
      <formula>"v"</formula>
    </cfRule>
    <cfRule type="cellIs" dxfId="330" priority="1916" operator="equal">
      <formula>"n"</formula>
    </cfRule>
    <cfRule type="cellIs" dxfId="329" priority="1917" operator="equal">
      <formula>"m"</formula>
    </cfRule>
    <cfRule type="cellIs" dxfId="328" priority="1918" operator="equal">
      <formula>"o"</formula>
    </cfRule>
  </conditionalFormatting>
  <conditionalFormatting sqref="AY16:BG16">
    <cfRule type="cellIs" dxfId="327" priority="666" operator="equal">
      <formula>"r"</formula>
    </cfRule>
    <cfRule type="cellIs" dxfId="326" priority="667" operator="equal">
      <formula>"z"</formula>
    </cfRule>
    <cfRule type="cellIs" dxfId="325" priority="668" operator="equal">
      <formula>"x"</formula>
    </cfRule>
    <cfRule type="cellIs" dxfId="324" priority="669" operator="equal">
      <formula>"v"</formula>
    </cfRule>
    <cfRule type="cellIs" dxfId="323" priority="670" operator="equal">
      <formula>"n"</formula>
    </cfRule>
    <cfRule type="cellIs" dxfId="322" priority="671" operator="equal">
      <formula>"m"</formula>
    </cfRule>
    <cfRule type="cellIs" dxfId="321" priority="672" operator="equal">
      <formula>"o"</formula>
    </cfRule>
  </conditionalFormatting>
  <conditionalFormatting sqref="BH16:BL18">
    <cfRule type="cellIs" dxfId="320" priority="659" operator="equal">
      <formula>"r"</formula>
    </cfRule>
    <cfRule type="cellIs" dxfId="319" priority="660" operator="equal">
      <formula>"z"</formula>
    </cfRule>
    <cfRule type="cellIs" dxfId="318" priority="661" operator="equal">
      <formula>"x"</formula>
    </cfRule>
    <cfRule type="cellIs" dxfId="317" priority="662" operator="equal">
      <formula>"v"</formula>
    </cfRule>
    <cfRule type="cellIs" dxfId="316" priority="663" operator="equal">
      <formula>"n"</formula>
    </cfRule>
    <cfRule type="cellIs" dxfId="315" priority="664" operator="equal">
      <formula>"m"</formula>
    </cfRule>
    <cfRule type="cellIs" dxfId="314" priority="665" operator="equal">
      <formula>"o"</formula>
    </cfRule>
  </conditionalFormatting>
  <conditionalFormatting sqref="BJ19:BL20">
    <cfRule type="cellIs" dxfId="313" priority="1863" operator="equal">
      <formula>"r"</formula>
    </cfRule>
    <cfRule type="cellIs" dxfId="312" priority="1864" operator="equal">
      <formula>"z"</formula>
    </cfRule>
    <cfRule type="cellIs" dxfId="311" priority="1865" operator="equal">
      <formula>"x"</formula>
    </cfRule>
    <cfRule type="cellIs" dxfId="310" priority="1866" operator="equal">
      <formula>"v"</formula>
    </cfRule>
    <cfRule type="cellIs" dxfId="309" priority="1867" operator="equal">
      <formula>"n"</formula>
    </cfRule>
    <cfRule type="cellIs" dxfId="308" priority="1868" operator="equal">
      <formula>"m"</formula>
    </cfRule>
    <cfRule type="cellIs" dxfId="307" priority="1869" operator="equal">
      <formula>"o"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31F3B-BC29-423B-8346-865DA76A36AD}">
  <dimension ref="A1:AW29"/>
  <sheetViews>
    <sheetView topLeftCell="AG1" workbookViewId="0">
      <selection activeCell="AL25" sqref="AL25"/>
    </sheetView>
  </sheetViews>
  <sheetFormatPr defaultRowHeight="13.15"/>
  <sheetData>
    <row r="1" spans="1:4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2"/>
      <c r="AU1" s="1"/>
      <c r="AV1" s="1"/>
      <c r="AW1" s="1"/>
    </row>
    <row r="2" spans="1:49">
      <c r="A2" s="4"/>
      <c r="B2" s="1"/>
      <c r="C2" s="4" t="s">
        <v>154</v>
      </c>
      <c r="D2" s="4"/>
      <c r="E2" s="4"/>
      <c r="F2" s="4"/>
      <c r="G2" s="4"/>
      <c r="H2" s="4"/>
      <c r="I2" s="4"/>
      <c r="J2" s="4" t="s">
        <v>155</v>
      </c>
      <c r="K2" s="4"/>
      <c r="L2" s="4"/>
      <c r="M2" s="4"/>
      <c r="N2" s="4"/>
      <c r="O2" s="4"/>
      <c r="P2" s="4"/>
      <c r="Q2" s="4" t="s">
        <v>156</v>
      </c>
      <c r="R2" s="4"/>
      <c r="S2" s="4"/>
      <c r="T2" s="4"/>
      <c r="U2" s="4"/>
      <c r="V2" s="4"/>
      <c r="W2" s="4"/>
      <c r="X2" s="4" t="s">
        <v>157</v>
      </c>
      <c r="Y2" s="4"/>
      <c r="Z2" s="4"/>
      <c r="AA2" s="4"/>
      <c r="AB2" s="4"/>
      <c r="AC2" s="4"/>
      <c r="AD2" s="4"/>
      <c r="AE2" s="4" t="s">
        <v>158</v>
      </c>
      <c r="AF2" s="4"/>
      <c r="AG2" s="4"/>
      <c r="AH2" s="4"/>
      <c r="AI2" s="4"/>
      <c r="AJ2" s="4"/>
      <c r="AK2" s="4"/>
      <c r="AL2" s="4" t="s">
        <v>159</v>
      </c>
      <c r="AM2" s="4"/>
      <c r="AN2" s="4"/>
      <c r="AO2" s="4"/>
      <c r="AP2" s="4"/>
      <c r="AQ2" s="4"/>
      <c r="AR2" s="4"/>
      <c r="AS2" s="4" t="s">
        <v>160</v>
      </c>
      <c r="AT2" s="4"/>
      <c r="AU2" s="4"/>
      <c r="AV2" s="4"/>
      <c r="AW2" s="4"/>
    </row>
    <row r="3" spans="1:49">
      <c r="A3" s="2"/>
      <c r="B3" s="2"/>
      <c r="C3" s="2" t="s">
        <v>71</v>
      </c>
      <c r="D3" s="2" t="s">
        <v>72</v>
      </c>
      <c r="E3" s="2" t="s">
        <v>66</v>
      </c>
      <c r="F3" s="2" t="s">
        <v>73</v>
      </c>
      <c r="G3" s="2" t="s">
        <v>68</v>
      </c>
      <c r="H3" s="2" t="s">
        <v>69</v>
      </c>
      <c r="I3" s="2" t="s">
        <v>70</v>
      </c>
      <c r="J3" s="2" t="s">
        <v>71</v>
      </c>
      <c r="K3" s="2" t="s">
        <v>72</v>
      </c>
      <c r="L3" s="2" t="s">
        <v>66</v>
      </c>
      <c r="M3" s="2" t="s">
        <v>73</v>
      </c>
      <c r="N3" s="2" t="s">
        <v>68</v>
      </c>
      <c r="O3" s="2" t="s">
        <v>69</v>
      </c>
      <c r="P3" s="2" t="s">
        <v>70</v>
      </c>
      <c r="Q3" s="2" t="s">
        <v>71</v>
      </c>
      <c r="R3" s="2" t="s">
        <v>72</v>
      </c>
      <c r="S3" s="2" t="s">
        <v>66</v>
      </c>
      <c r="T3" s="2" t="s">
        <v>73</v>
      </c>
      <c r="U3" s="2" t="s">
        <v>68</v>
      </c>
      <c r="V3" s="2" t="s">
        <v>69</v>
      </c>
      <c r="W3" s="2" t="s">
        <v>70</v>
      </c>
      <c r="X3" s="2" t="s">
        <v>71</v>
      </c>
      <c r="Y3" s="2" t="s">
        <v>72</v>
      </c>
      <c r="Z3" s="2" t="s">
        <v>66</v>
      </c>
      <c r="AA3" s="2" t="s">
        <v>73</v>
      </c>
      <c r="AB3" s="2" t="s">
        <v>68</v>
      </c>
      <c r="AC3" s="2" t="s">
        <v>69</v>
      </c>
      <c r="AD3" s="2" t="s">
        <v>70</v>
      </c>
      <c r="AE3" s="2" t="s">
        <v>71</v>
      </c>
      <c r="AF3" s="2" t="s">
        <v>72</v>
      </c>
      <c r="AG3" s="2" t="s">
        <v>66</v>
      </c>
      <c r="AH3" s="2" t="s">
        <v>73</v>
      </c>
      <c r="AI3" s="2" t="s">
        <v>68</v>
      </c>
      <c r="AJ3" s="2" t="s">
        <v>69</v>
      </c>
      <c r="AK3" s="2" t="s">
        <v>70</v>
      </c>
      <c r="AL3" s="2" t="s">
        <v>71</v>
      </c>
      <c r="AM3" s="2" t="s">
        <v>72</v>
      </c>
      <c r="AN3" s="2" t="s">
        <v>66</v>
      </c>
      <c r="AO3" s="2" t="s">
        <v>73</v>
      </c>
      <c r="AP3" s="2" t="s">
        <v>68</v>
      </c>
      <c r="AQ3" s="2" t="s">
        <v>69</v>
      </c>
      <c r="AR3" s="2" t="s">
        <v>70</v>
      </c>
      <c r="AS3" s="2" t="s">
        <v>71</v>
      </c>
      <c r="AT3" s="2" t="s">
        <v>72</v>
      </c>
      <c r="AU3" s="2" t="s">
        <v>66</v>
      </c>
      <c r="AV3" s="2" t="s">
        <v>73</v>
      </c>
      <c r="AW3" s="2" t="s">
        <v>68</v>
      </c>
    </row>
    <row r="4" spans="1:49">
      <c r="A4" s="3"/>
      <c r="B4" s="3"/>
      <c r="C4" s="45">
        <v>43539</v>
      </c>
      <c r="D4" s="45">
        <v>43540</v>
      </c>
      <c r="E4" s="45">
        <v>43541</v>
      </c>
      <c r="F4" s="45">
        <v>43542</v>
      </c>
      <c r="G4" s="45">
        <v>43543</v>
      </c>
      <c r="H4" s="45">
        <v>43544</v>
      </c>
      <c r="I4" s="45">
        <v>43545</v>
      </c>
      <c r="J4" s="45">
        <v>43546</v>
      </c>
      <c r="K4" s="45">
        <v>43547</v>
      </c>
      <c r="L4" s="45">
        <v>43548</v>
      </c>
      <c r="M4" s="45">
        <v>43549</v>
      </c>
      <c r="N4" s="45">
        <v>43550</v>
      </c>
      <c r="O4" s="45">
        <v>43551</v>
      </c>
      <c r="P4" s="45">
        <v>43552</v>
      </c>
      <c r="Q4" s="45">
        <v>43553</v>
      </c>
      <c r="R4" s="45">
        <v>43554</v>
      </c>
      <c r="S4" s="45">
        <v>43555</v>
      </c>
      <c r="T4" s="45">
        <v>43556</v>
      </c>
      <c r="U4" s="45">
        <v>43557</v>
      </c>
      <c r="V4" s="45">
        <v>43558</v>
      </c>
      <c r="W4" s="45">
        <v>43559</v>
      </c>
      <c r="X4" s="45">
        <v>43560</v>
      </c>
      <c r="Y4" s="45">
        <v>43561</v>
      </c>
      <c r="Z4" s="45">
        <v>43562</v>
      </c>
      <c r="AA4" s="45">
        <v>43563</v>
      </c>
      <c r="AB4" s="45">
        <v>43564</v>
      </c>
      <c r="AC4" s="45">
        <v>43565</v>
      </c>
      <c r="AD4" s="45">
        <v>43566</v>
      </c>
      <c r="AE4" s="45">
        <v>43567</v>
      </c>
      <c r="AF4" s="45">
        <v>43568</v>
      </c>
      <c r="AG4" s="45">
        <v>43569</v>
      </c>
      <c r="AH4" s="45">
        <v>43570</v>
      </c>
      <c r="AI4" s="45">
        <v>43571</v>
      </c>
      <c r="AJ4" s="45">
        <v>43572</v>
      </c>
      <c r="AK4" s="45">
        <v>43573</v>
      </c>
      <c r="AL4" s="45">
        <v>43574</v>
      </c>
      <c r="AM4" s="45">
        <v>43575</v>
      </c>
      <c r="AN4" s="45">
        <v>43576</v>
      </c>
      <c r="AO4" s="45">
        <v>43577</v>
      </c>
      <c r="AP4" s="45">
        <v>43578</v>
      </c>
      <c r="AQ4" s="45">
        <v>43579</v>
      </c>
      <c r="AR4" s="45">
        <v>43580</v>
      </c>
      <c r="AS4" s="45">
        <v>43581</v>
      </c>
      <c r="AT4" s="45">
        <v>43582</v>
      </c>
      <c r="AU4" s="45">
        <v>43583</v>
      </c>
      <c r="AV4" s="45">
        <v>43584</v>
      </c>
      <c r="AW4" s="45">
        <v>43585</v>
      </c>
    </row>
    <row r="5" spans="1:49">
      <c r="A5" s="12"/>
      <c r="B5" s="12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 t="s">
        <v>196</v>
      </c>
      <c r="X5" s="11" t="s">
        <v>197</v>
      </c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 t="s">
        <v>198</v>
      </c>
      <c r="AU5" s="11"/>
      <c r="AV5" s="11"/>
      <c r="AW5" s="11"/>
    </row>
    <row r="6" spans="1:49">
      <c r="A6" s="12"/>
      <c r="B6" s="12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</row>
    <row r="7" spans="1:49">
      <c r="A7" s="1" t="s">
        <v>202</v>
      </c>
      <c r="B7" s="1" t="s">
        <v>202</v>
      </c>
      <c r="C7" s="1" t="s">
        <v>2</v>
      </c>
      <c r="D7" s="1" t="s">
        <v>2</v>
      </c>
      <c r="E7" s="1" t="s">
        <v>4</v>
      </c>
      <c r="F7" s="1" t="s">
        <v>4</v>
      </c>
      <c r="G7" s="1"/>
      <c r="H7" s="1"/>
      <c r="I7" s="1"/>
      <c r="J7" s="1" t="s">
        <v>0</v>
      </c>
      <c r="K7" s="1" t="s">
        <v>0</v>
      </c>
      <c r="L7" s="1" t="s">
        <v>2</v>
      </c>
      <c r="M7" s="1" t="s">
        <v>2</v>
      </c>
      <c r="N7" s="53" t="s">
        <v>4</v>
      </c>
      <c r="O7" s="1"/>
      <c r="P7" s="1"/>
      <c r="Q7" s="1"/>
      <c r="R7" s="1"/>
      <c r="S7" s="53" t="s">
        <v>0</v>
      </c>
      <c r="T7" s="53" t="s">
        <v>0</v>
      </c>
      <c r="U7" s="53" t="s">
        <v>2</v>
      </c>
      <c r="V7" s="1" t="s">
        <v>4</v>
      </c>
      <c r="W7" s="1" t="s">
        <v>4</v>
      </c>
      <c r="X7" s="1"/>
      <c r="Y7" s="1"/>
      <c r="Z7" s="1"/>
      <c r="AA7" s="1"/>
      <c r="AB7" s="53" t="s">
        <v>0</v>
      </c>
      <c r="AC7" s="53" t="s">
        <v>2</v>
      </c>
      <c r="AD7" s="53" t="s">
        <v>2</v>
      </c>
      <c r="AE7" s="53" t="s">
        <v>4</v>
      </c>
      <c r="AF7" s="53" t="s">
        <v>4</v>
      </c>
      <c r="AG7" s="1"/>
      <c r="AH7" s="1"/>
      <c r="AI7" s="1"/>
      <c r="AJ7" s="1" t="s">
        <v>0</v>
      </c>
      <c r="AK7" s="1" t="s">
        <v>0</v>
      </c>
      <c r="AL7" s="1" t="s">
        <v>2</v>
      </c>
      <c r="AM7" s="1" t="s">
        <v>2</v>
      </c>
      <c r="AN7" s="1" t="s">
        <v>4</v>
      </c>
      <c r="AO7" s="1" t="s">
        <v>4</v>
      </c>
      <c r="AP7" s="1"/>
      <c r="AQ7" s="1"/>
      <c r="AR7" s="1"/>
      <c r="AS7" s="1" t="s">
        <v>0</v>
      </c>
      <c r="AT7" s="1" t="s">
        <v>0</v>
      </c>
      <c r="AU7" s="1" t="s">
        <v>2</v>
      </c>
      <c r="AV7" s="1" t="s">
        <v>2</v>
      </c>
      <c r="AW7" s="1" t="s">
        <v>4</v>
      </c>
    </row>
    <row r="8" spans="1:49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49" t="s">
        <v>209</v>
      </c>
      <c r="O8" s="49" t="s">
        <v>209</v>
      </c>
      <c r="P8" s="49" t="s">
        <v>209</v>
      </c>
      <c r="Q8" s="49" t="s">
        <v>209</v>
      </c>
      <c r="R8" s="49" t="s">
        <v>209</v>
      </c>
      <c r="S8" s="49" t="s">
        <v>209</v>
      </c>
      <c r="T8" s="49" t="s">
        <v>209</v>
      </c>
      <c r="U8" s="49" t="s">
        <v>209</v>
      </c>
      <c r="V8" s="1"/>
      <c r="W8" s="1"/>
      <c r="X8" s="1"/>
      <c r="Y8" s="1"/>
      <c r="Z8" s="1" t="s">
        <v>0</v>
      </c>
      <c r="AA8" s="1" t="s">
        <v>0</v>
      </c>
      <c r="AB8" s="1" t="s">
        <v>2</v>
      </c>
      <c r="AC8" s="1" t="s">
        <v>2</v>
      </c>
      <c r="AD8" s="1" t="s">
        <v>4</v>
      </c>
      <c r="AE8" s="1" t="s">
        <v>4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>
      <c r="A10" s="1" t="s">
        <v>79</v>
      </c>
      <c r="B10" s="1" t="s">
        <v>79</v>
      </c>
      <c r="C10" s="1"/>
      <c r="D10" s="1"/>
      <c r="E10" s="1" t="s">
        <v>0</v>
      </c>
      <c r="F10" s="1" t="s">
        <v>0</v>
      </c>
      <c r="G10" s="1" t="s">
        <v>2</v>
      </c>
      <c r="H10" s="1" t="s">
        <v>4</v>
      </c>
      <c r="I10" s="1" t="s">
        <v>4</v>
      </c>
      <c r="J10" s="1"/>
      <c r="K10" s="1"/>
      <c r="L10" s="1"/>
      <c r="M10" s="1"/>
      <c r="N10" s="1" t="s">
        <v>0</v>
      </c>
      <c r="O10" s="53" t="s">
        <v>2</v>
      </c>
      <c r="P10" s="53" t="s">
        <v>2</v>
      </c>
      <c r="Q10" s="53" t="s">
        <v>4</v>
      </c>
      <c r="R10" s="1" t="s">
        <v>4</v>
      </c>
      <c r="S10" s="1"/>
      <c r="T10" s="1"/>
      <c r="U10" s="1"/>
      <c r="V10" s="1" t="s">
        <v>0</v>
      </c>
      <c r="W10" s="1" t="s">
        <v>0</v>
      </c>
      <c r="X10" s="1" t="s">
        <v>2</v>
      </c>
      <c r="Y10" s="1" t="s">
        <v>2</v>
      </c>
      <c r="Z10" s="1" t="s">
        <v>4</v>
      </c>
      <c r="AA10" s="1" t="s">
        <v>4</v>
      </c>
      <c r="AB10" s="1"/>
      <c r="AC10" s="1"/>
      <c r="AD10" s="1"/>
      <c r="AE10" s="1" t="s">
        <v>0</v>
      </c>
      <c r="AF10" s="1" t="s">
        <v>0</v>
      </c>
      <c r="AG10" s="53" t="s">
        <v>2</v>
      </c>
      <c r="AH10" s="53" t="s">
        <v>2</v>
      </c>
      <c r="AI10" s="1" t="s">
        <v>4</v>
      </c>
      <c r="AJ10" s="1"/>
      <c r="AK10" s="1"/>
      <c r="AL10" s="1"/>
      <c r="AM10" s="1"/>
      <c r="AN10" s="1" t="s">
        <v>0</v>
      </c>
      <c r="AO10" s="1" t="s">
        <v>0</v>
      </c>
      <c r="AP10" s="1" t="s">
        <v>2</v>
      </c>
      <c r="AQ10" s="1" t="s">
        <v>4</v>
      </c>
      <c r="AR10" s="1" t="s">
        <v>4</v>
      </c>
      <c r="AS10" s="1"/>
      <c r="AT10" s="1"/>
      <c r="AU10" s="1"/>
      <c r="AV10" s="1"/>
      <c r="AW10" s="1" t="s">
        <v>0</v>
      </c>
    </row>
    <row r="11" spans="1:49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 t="s">
        <v>0</v>
      </c>
      <c r="P11" s="1" t="s">
        <v>0</v>
      </c>
      <c r="Q11" s="1" t="s">
        <v>2</v>
      </c>
      <c r="R11" s="1"/>
      <c r="S11" s="1" t="s">
        <v>4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 t="s">
        <v>0</v>
      </c>
      <c r="AE11" s="1"/>
      <c r="AF11" s="1"/>
      <c r="AG11" s="1" t="s">
        <v>0</v>
      </c>
      <c r="AH11" s="1" t="s">
        <v>4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>
      <c r="A12" s="1" t="s">
        <v>77</v>
      </c>
      <c r="B12" s="1" t="s">
        <v>77</v>
      </c>
      <c r="C12" s="1" t="s">
        <v>0</v>
      </c>
      <c r="D12" s="1" t="s">
        <v>0</v>
      </c>
      <c r="E12" s="1" t="s">
        <v>2</v>
      </c>
      <c r="F12" s="1" t="s">
        <v>2</v>
      </c>
      <c r="G12" s="1" t="s">
        <v>4</v>
      </c>
      <c r="H12" s="1"/>
      <c r="I12" s="1"/>
      <c r="J12" s="1"/>
      <c r="K12" s="1"/>
      <c r="L12" s="1" t="s">
        <v>0</v>
      </c>
      <c r="M12" s="1" t="s">
        <v>0</v>
      </c>
      <c r="N12" s="53" t="s">
        <v>2</v>
      </c>
      <c r="O12" s="1" t="s">
        <v>4</v>
      </c>
      <c r="P12" s="1" t="s">
        <v>4</v>
      </c>
      <c r="Q12" s="1"/>
      <c r="R12" s="1"/>
      <c r="S12" s="1"/>
      <c r="T12" s="1"/>
      <c r="U12" s="1" t="s">
        <v>0</v>
      </c>
      <c r="V12" s="1" t="s">
        <v>2</v>
      </c>
      <c r="W12" s="1" t="s">
        <v>2</v>
      </c>
      <c r="X12" s="1" t="s">
        <v>4</v>
      </c>
      <c r="Y12" s="1" t="s">
        <v>4</v>
      </c>
      <c r="Z12" s="1"/>
      <c r="AA12" s="1"/>
      <c r="AB12" s="1"/>
      <c r="AC12" s="1" t="s">
        <v>0</v>
      </c>
      <c r="AD12" s="53" t="s">
        <v>0</v>
      </c>
      <c r="AE12" s="1" t="s">
        <v>2</v>
      </c>
      <c r="AF12" s="53" t="s">
        <v>2</v>
      </c>
      <c r="AG12" s="1" t="s">
        <v>4</v>
      </c>
      <c r="AH12" s="53"/>
      <c r="AI12" s="1"/>
      <c r="AJ12" s="1"/>
      <c r="AK12" s="1"/>
      <c r="AL12" s="1" t="s">
        <v>0</v>
      </c>
      <c r="AM12" s="1" t="s">
        <v>0</v>
      </c>
      <c r="AN12" s="1" t="s">
        <v>2</v>
      </c>
      <c r="AO12" s="1" t="s">
        <v>2</v>
      </c>
      <c r="AP12" s="1" t="s">
        <v>4</v>
      </c>
      <c r="AQ12" s="1"/>
      <c r="AR12" s="1"/>
      <c r="AS12" s="1"/>
      <c r="AT12" s="1"/>
      <c r="AU12" s="1" t="s">
        <v>0</v>
      </c>
      <c r="AV12" s="1" t="s">
        <v>0</v>
      </c>
      <c r="AW12" s="1" t="s">
        <v>2</v>
      </c>
    </row>
    <row r="13" spans="1:49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 t="s">
        <v>4</v>
      </c>
      <c r="O13" s="1"/>
      <c r="P13" s="1"/>
      <c r="Q13" s="1" t="s">
        <v>4</v>
      </c>
      <c r="R13" s="1"/>
      <c r="S13" s="1"/>
      <c r="T13" s="1" t="s">
        <v>0</v>
      </c>
      <c r="U13" s="1"/>
      <c r="V13" s="1"/>
      <c r="W13" s="1"/>
      <c r="X13" s="1"/>
      <c r="Y13" s="1"/>
      <c r="Z13" s="1"/>
      <c r="AA13" s="1"/>
      <c r="AB13" s="1" t="s">
        <v>0</v>
      </c>
      <c r="AC13" s="1"/>
      <c r="AD13" s="1" t="s">
        <v>2</v>
      </c>
      <c r="AE13" s="1"/>
      <c r="AF13" s="1" t="s">
        <v>4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>
      <c r="A14" s="1" t="s">
        <v>85</v>
      </c>
      <c r="B14" s="1" t="s">
        <v>85</v>
      </c>
      <c r="C14" s="1"/>
      <c r="D14" s="1"/>
      <c r="E14" s="1"/>
      <c r="F14" s="1"/>
      <c r="G14" s="53" t="s">
        <v>0</v>
      </c>
      <c r="H14" s="53" t="s">
        <v>2</v>
      </c>
      <c r="I14" s="53" t="s">
        <v>2</v>
      </c>
      <c r="J14" s="53" t="s">
        <v>4</v>
      </c>
      <c r="K14" s="53" t="s">
        <v>4</v>
      </c>
      <c r="L14" s="1"/>
      <c r="M14" s="1"/>
      <c r="N14" s="1"/>
      <c r="O14" s="53" t="s">
        <v>0</v>
      </c>
      <c r="P14" s="53" t="s">
        <v>0</v>
      </c>
      <c r="Q14" s="53" t="s">
        <v>2</v>
      </c>
      <c r="R14" s="53" t="s">
        <v>2</v>
      </c>
      <c r="S14" s="53" t="s">
        <v>4</v>
      </c>
      <c r="T14" s="53" t="s">
        <v>4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 t="s">
        <v>0</v>
      </c>
      <c r="AQ14" s="1" t="s">
        <v>2</v>
      </c>
      <c r="AR14" s="1" t="s">
        <v>2</v>
      </c>
      <c r="AS14" s="1" t="s">
        <v>4</v>
      </c>
      <c r="AT14" s="1" t="s">
        <v>4</v>
      </c>
      <c r="AU14" s="1"/>
      <c r="AV14" s="1"/>
      <c r="AW14" s="1"/>
    </row>
    <row r="15" spans="1:49">
      <c r="A15" s="1"/>
      <c r="B15" s="1"/>
      <c r="C15" s="1"/>
      <c r="D15" s="1"/>
      <c r="E15" s="1"/>
      <c r="F15" s="1"/>
      <c r="G15" s="1"/>
      <c r="H15" s="1"/>
      <c r="I15" s="1"/>
      <c r="J15" s="1" t="s">
        <v>10</v>
      </c>
      <c r="K15" s="1" t="s">
        <v>10</v>
      </c>
      <c r="L15" s="1"/>
      <c r="M15" s="1"/>
      <c r="N15" s="1"/>
      <c r="O15" s="1" t="s">
        <v>10</v>
      </c>
      <c r="P15" s="1" t="s">
        <v>10</v>
      </c>
      <c r="Q15" s="1" t="s">
        <v>10</v>
      </c>
      <c r="R15" s="1" t="s">
        <v>10</v>
      </c>
      <c r="S15" s="1" t="s">
        <v>10</v>
      </c>
      <c r="T15" s="1" t="s">
        <v>10</v>
      </c>
      <c r="U15" s="1"/>
      <c r="V15" s="1"/>
      <c r="W15" s="1"/>
      <c r="X15" s="1" t="s">
        <v>10</v>
      </c>
      <c r="Y15" s="1" t="s">
        <v>10</v>
      </c>
      <c r="Z15" s="1" t="s">
        <v>10</v>
      </c>
      <c r="AA15" s="1" t="s">
        <v>10</v>
      </c>
      <c r="AB15" s="1" t="s">
        <v>10</v>
      </c>
      <c r="AC15" s="1"/>
      <c r="AD15" s="1"/>
      <c r="AE15" s="1"/>
      <c r="AF15" s="1"/>
      <c r="AG15" s="1" t="s">
        <v>10</v>
      </c>
      <c r="AH15" s="1" t="s">
        <v>10</v>
      </c>
      <c r="AI15" s="1" t="s">
        <v>10</v>
      </c>
      <c r="AJ15" s="1" t="s">
        <v>10</v>
      </c>
      <c r="AK15" s="1" t="s">
        <v>10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>
      <c r="A16" s="1" t="s">
        <v>78</v>
      </c>
      <c r="B16" s="1" t="s">
        <v>78</v>
      </c>
      <c r="C16" s="1"/>
      <c r="D16" s="1"/>
      <c r="E16" s="1"/>
      <c r="F16" s="1"/>
      <c r="G16" s="1" t="s">
        <v>0</v>
      </c>
      <c r="H16" s="1" t="s">
        <v>2</v>
      </c>
      <c r="I16" s="1" t="s">
        <v>2</v>
      </c>
      <c r="J16" s="1" t="s">
        <v>4</v>
      </c>
      <c r="K16" s="1" t="s">
        <v>4</v>
      </c>
      <c r="L16" s="1"/>
      <c r="M16" s="1"/>
      <c r="N16" s="1"/>
      <c r="O16" s="53" t="s">
        <v>0</v>
      </c>
      <c r="P16" s="53" t="s">
        <v>0</v>
      </c>
      <c r="Q16" s="53" t="s">
        <v>2</v>
      </c>
      <c r="R16" s="1" t="s">
        <v>2</v>
      </c>
      <c r="S16" s="53" t="s">
        <v>4</v>
      </c>
      <c r="T16" s="53" t="s">
        <v>4</v>
      </c>
      <c r="U16" s="1"/>
      <c r="V16" s="1"/>
      <c r="W16" s="1"/>
      <c r="X16" s="1" t="s">
        <v>0</v>
      </c>
      <c r="Y16" s="1" t="s">
        <v>0</v>
      </c>
      <c r="Z16" s="1" t="s">
        <v>2</v>
      </c>
      <c r="AA16" s="1" t="s">
        <v>2</v>
      </c>
      <c r="AB16" s="1" t="s">
        <v>4</v>
      </c>
      <c r="AC16" s="1"/>
      <c r="AD16" s="1"/>
      <c r="AE16" s="1"/>
      <c r="AF16" s="1"/>
      <c r="AG16" s="53" t="s">
        <v>0</v>
      </c>
      <c r="AH16" s="53" t="s">
        <v>0</v>
      </c>
      <c r="AI16" s="1" t="s">
        <v>2</v>
      </c>
      <c r="AJ16" s="1" t="s">
        <v>4</v>
      </c>
      <c r="AK16" s="1" t="s">
        <v>4</v>
      </c>
      <c r="AL16" s="1"/>
      <c r="AM16" s="1"/>
      <c r="AN16" s="1"/>
      <c r="AO16" s="1"/>
      <c r="AP16" s="1" t="s">
        <v>0</v>
      </c>
      <c r="AQ16" s="1" t="s">
        <v>2</v>
      </c>
      <c r="AR16" s="1" t="s">
        <v>2</v>
      </c>
      <c r="AS16" s="1" t="s">
        <v>4</v>
      </c>
      <c r="AT16" s="1" t="s">
        <v>4</v>
      </c>
      <c r="AU16" s="1"/>
      <c r="AV16" s="1"/>
      <c r="AW16" s="1"/>
    </row>
    <row r="17" spans="1:49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 t="s">
        <v>2</v>
      </c>
      <c r="O17" s="1" t="s">
        <v>2</v>
      </c>
      <c r="P17" s="1" t="s">
        <v>2</v>
      </c>
      <c r="Q17" s="1"/>
      <c r="R17" s="1"/>
      <c r="S17" s="1" t="s">
        <v>2</v>
      </c>
      <c r="T17" s="1" t="s">
        <v>2</v>
      </c>
      <c r="U17" s="1" t="s">
        <v>2</v>
      </c>
      <c r="V17" s="1"/>
      <c r="W17" s="1"/>
      <c r="X17" s="1"/>
      <c r="Y17" s="1"/>
      <c r="Z17" s="1"/>
      <c r="AA17" s="1"/>
      <c r="AB17" s="1"/>
      <c r="AC17" s="1" t="s">
        <v>4</v>
      </c>
      <c r="AD17" s="1"/>
      <c r="AE17" s="1"/>
      <c r="AF17" s="1" t="s">
        <v>2</v>
      </c>
      <c r="AG17" s="1" t="s">
        <v>2</v>
      </c>
      <c r="AH17" s="1" t="s">
        <v>2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>
      <c r="A18" s="1" t="s">
        <v>203</v>
      </c>
      <c r="B18" s="1" t="s">
        <v>203</v>
      </c>
      <c r="C18" s="1" t="s">
        <v>4</v>
      </c>
      <c r="D18" s="1" t="s">
        <v>4</v>
      </c>
      <c r="E18" s="1"/>
      <c r="F18" s="1"/>
      <c r="G18" s="1"/>
      <c r="H18" s="1" t="s">
        <v>0</v>
      </c>
      <c r="I18" s="1" t="s">
        <v>0</v>
      </c>
      <c r="J18" s="1" t="s">
        <v>2</v>
      </c>
      <c r="K18" s="1" t="s">
        <v>2</v>
      </c>
      <c r="L18" s="1" t="s">
        <v>4</v>
      </c>
      <c r="M18" s="1" t="s">
        <v>4</v>
      </c>
      <c r="N18" s="1"/>
      <c r="O18" s="1"/>
      <c r="P18" s="1"/>
      <c r="Q18" s="1" t="s">
        <v>0</v>
      </c>
      <c r="R18" s="1" t="s">
        <v>0</v>
      </c>
      <c r="S18" s="53" t="s">
        <v>2</v>
      </c>
      <c r="T18" s="53" t="s">
        <v>2</v>
      </c>
      <c r="U18" s="1" t="s">
        <v>4</v>
      </c>
      <c r="V18" s="1"/>
      <c r="W18" s="1"/>
      <c r="X18" s="1"/>
      <c r="Y18" s="1"/>
      <c r="Z18" s="53" t="s">
        <v>0</v>
      </c>
      <c r="AA18" s="53" t="s">
        <v>0</v>
      </c>
      <c r="AB18" s="53" t="s">
        <v>2</v>
      </c>
      <c r="AC18" s="53" t="s">
        <v>4</v>
      </c>
      <c r="AD18" s="53" t="s">
        <v>4</v>
      </c>
      <c r="AE18" s="1"/>
      <c r="AF18" s="1"/>
      <c r="AG18" s="1"/>
      <c r="AH18" s="1" t="s">
        <v>0</v>
      </c>
      <c r="AI18" s="1" t="s">
        <v>0</v>
      </c>
      <c r="AJ18" s="1" t="s">
        <v>2</v>
      </c>
      <c r="AK18" s="1" t="s">
        <v>2</v>
      </c>
      <c r="AL18" s="1" t="s">
        <v>4</v>
      </c>
      <c r="AM18" s="1" t="s">
        <v>4</v>
      </c>
      <c r="AN18" s="1"/>
      <c r="AO18" s="1"/>
      <c r="AP18" s="1"/>
      <c r="AQ18" s="1" t="s">
        <v>0</v>
      </c>
      <c r="AR18" s="1" t="s">
        <v>0</v>
      </c>
      <c r="AS18" s="1" t="s">
        <v>2</v>
      </c>
      <c r="AT18" s="1" t="s">
        <v>2</v>
      </c>
      <c r="AU18" s="1" t="s">
        <v>4</v>
      </c>
      <c r="AV18" s="1" t="s">
        <v>4</v>
      </c>
      <c r="AW18" s="1"/>
    </row>
    <row r="19" spans="1:4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 t="s">
        <v>0</v>
      </c>
      <c r="T19" s="1" t="s">
        <v>4</v>
      </c>
      <c r="U19" s="1"/>
      <c r="V19" s="49" t="s">
        <v>209</v>
      </c>
      <c r="W19" s="49" t="s">
        <v>209</v>
      </c>
      <c r="X19" s="49" t="s">
        <v>209</v>
      </c>
      <c r="Y19" s="49" t="s">
        <v>209</v>
      </c>
      <c r="Z19" s="49" t="s">
        <v>209</v>
      </c>
      <c r="AA19" s="49" t="s">
        <v>209</v>
      </c>
      <c r="AB19" s="49" t="s">
        <v>209</v>
      </c>
      <c r="AC19" s="49" t="s">
        <v>209</v>
      </c>
      <c r="AD19" s="49" t="s">
        <v>209</v>
      </c>
      <c r="AE19" s="49" t="s">
        <v>209</v>
      </c>
      <c r="AF19" s="49" t="s">
        <v>209</v>
      </c>
      <c r="AG19" s="49" t="s">
        <v>209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>
      <c r="A20" s="1" t="s">
        <v>88</v>
      </c>
      <c r="B20" s="1" t="s">
        <v>88</v>
      </c>
      <c r="C20" s="1" t="s">
        <v>8</v>
      </c>
      <c r="D20" s="1" t="s">
        <v>8</v>
      </c>
      <c r="E20" s="1" t="s">
        <v>8</v>
      </c>
      <c r="F20" s="1" t="s">
        <v>8</v>
      </c>
      <c r="G20" s="1" t="s">
        <v>8</v>
      </c>
      <c r="H20" s="1"/>
      <c r="I20" s="1"/>
      <c r="J20" s="1" t="s">
        <v>8</v>
      </c>
      <c r="K20" s="1" t="s">
        <v>8</v>
      </c>
      <c r="L20" s="1" t="s">
        <v>8</v>
      </c>
      <c r="M20" s="1" t="s">
        <v>8</v>
      </c>
      <c r="N20" s="1" t="s">
        <v>8</v>
      </c>
      <c r="O20" s="1"/>
      <c r="P20" s="1"/>
      <c r="Q20" s="1" t="s">
        <v>8</v>
      </c>
      <c r="R20" s="1" t="s">
        <v>8</v>
      </c>
      <c r="S20" s="1" t="s">
        <v>8</v>
      </c>
      <c r="T20" s="1" t="s">
        <v>8</v>
      </c>
      <c r="U20" s="1" t="s">
        <v>8</v>
      </c>
      <c r="V20" s="1"/>
      <c r="W20" s="1"/>
      <c r="X20" s="1" t="s">
        <v>140</v>
      </c>
      <c r="Y20" s="1" t="s">
        <v>6</v>
      </c>
      <c r="Z20" s="1" t="s">
        <v>6</v>
      </c>
      <c r="AA20" s="1" t="s">
        <v>8</v>
      </c>
      <c r="AB20" s="1" t="s">
        <v>8</v>
      </c>
      <c r="AC20" s="1"/>
      <c r="AD20" s="1"/>
      <c r="AE20" s="1" t="s">
        <v>8</v>
      </c>
      <c r="AF20" s="1" t="s">
        <v>8</v>
      </c>
      <c r="AG20" s="1" t="s">
        <v>8</v>
      </c>
      <c r="AH20" s="1" t="s">
        <v>8</v>
      </c>
      <c r="AI20" s="1" t="s">
        <v>8</v>
      </c>
      <c r="AJ20" s="1"/>
      <c r="AK20" s="1"/>
      <c r="AL20" s="1" t="s">
        <v>8</v>
      </c>
      <c r="AM20" s="1" t="s">
        <v>8</v>
      </c>
      <c r="AN20" s="1" t="s">
        <v>8</v>
      </c>
      <c r="AO20" s="1" t="s">
        <v>8</v>
      </c>
      <c r="AP20" s="1" t="s">
        <v>8</v>
      </c>
      <c r="AQ20" s="1"/>
      <c r="AR20" s="1"/>
      <c r="AS20" s="1" t="s">
        <v>8</v>
      </c>
      <c r="AT20" s="1" t="s">
        <v>140</v>
      </c>
      <c r="AU20" s="1" t="s">
        <v>8</v>
      </c>
      <c r="AV20" s="1" t="s">
        <v>8</v>
      </c>
      <c r="AW20" s="1" t="s">
        <v>8</v>
      </c>
    </row>
    <row r="21" spans="1:49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>
      <c r="A22" s="1" t="s">
        <v>89</v>
      </c>
      <c r="B22" s="1" t="s">
        <v>89</v>
      </c>
      <c r="C22" s="1" t="s">
        <v>8</v>
      </c>
      <c r="D22" s="1" t="s">
        <v>8</v>
      </c>
      <c r="E22" s="1" t="s">
        <v>8</v>
      </c>
      <c r="F22" s="1" t="s">
        <v>8</v>
      </c>
      <c r="G22" s="1"/>
      <c r="H22" s="1"/>
      <c r="I22" s="1"/>
      <c r="J22" s="1" t="s">
        <v>8</v>
      </c>
      <c r="K22" s="1" t="s">
        <v>8</v>
      </c>
      <c r="L22" s="1" t="s">
        <v>8</v>
      </c>
      <c r="M22" s="1" t="s">
        <v>8</v>
      </c>
      <c r="N22" s="1"/>
      <c r="O22" s="1"/>
      <c r="P22" s="1"/>
      <c r="Q22" s="1" t="s">
        <v>8</v>
      </c>
      <c r="R22" s="1" t="s">
        <v>8</v>
      </c>
      <c r="S22" s="1" t="s">
        <v>8</v>
      </c>
      <c r="T22" s="1" t="s">
        <v>8</v>
      </c>
      <c r="U22" s="1"/>
      <c r="V22" s="1"/>
      <c r="W22" s="1"/>
      <c r="X22" s="1" t="s">
        <v>140</v>
      </c>
      <c r="Y22" s="1" t="s">
        <v>8</v>
      </c>
      <c r="Z22" s="1" t="s">
        <v>6</v>
      </c>
      <c r="AA22" s="1" t="s">
        <v>8</v>
      </c>
      <c r="AB22" s="1"/>
      <c r="AC22" s="1"/>
      <c r="AD22" s="1"/>
      <c r="AE22" s="1" t="s">
        <v>242</v>
      </c>
      <c r="AF22" s="1" t="s">
        <v>217</v>
      </c>
      <c r="AG22" s="1" t="s">
        <v>8</v>
      </c>
      <c r="AH22" s="1" t="s">
        <v>8</v>
      </c>
      <c r="AI22" s="1"/>
      <c r="AJ22" s="1"/>
      <c r="AK22" s="1"/>
      <c r="AL22" s="1" t="s">
        <v>8</v>
      </c>
      <c r="AM22" s="1" t="s">
        <v>8</v>
      </c>
      <c r="AN22" s="1" t="s">
        <v>8</v>
      </c>
      <c r="AO22" s="1" t="s">
        <v>8</v>
      </c>
      <c r="AP22" s="1"/>
      <c r="AQ22" s="1"/>
      <c r="AR22" s="1"/>
      <c r="AS22" s="1" t="s">
        <v>8</v>
      </c>
      <c r="AT22" s="1" t="s">
        <v>140</v>
      </c>
      <c r="AU22" s="1" t="s">
        <v>8</v>
      </c>
      <c r="AV22" s="1" t="s">
        <v>8</v>
      </c>
      <c r="AW22" s="1"/>
    </row>
    <row r="23" spans="1:49">
      <c r="A23" s="1"/>
      <c r="B23" s="1"/>
      <c r="C23" s="1"/>
      <c r="D23" s="1"/>
      <c r="E23" s="1"/>
      <c r="F23" s="1"/>
      <c r="G23" s="1"/>
      <c r="H23" s="1"/>
      <c r="I23" s="1"/>
      <c r="J23" s="50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 t="s">
        <v>218</v>
      </c>
      <c r="AF23" s="1" t="s">
        <v>218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>
      <c r="A24" s="1" t="s">
        <v>90</v>
      </c>
      <c r="B24" s="1" t="s">
        <v>90</v>
      </c>
      <c r="C24" s="1" t="s">
        <v>8</v>
      </c>
      <c r="D24" s="1"/>
      <c r="E24" s="1" t="s">
        <v>8</v>
      </c>
      <c r="F24" s="1" t="s">
        <v>8</v>
      </c>
      <c r="G24" s="1" t="s">
        <v>8</v>
      </c>
      <c r="H24" s="1"/>
      <c r="I24" s="1"/>
      <c r="J24" s="1" t="s">
        <v>8</v>
      </c>
      <c r="K24" s="1"/>
      <c r="L24" s="1" t="s">
        <v>8</v>
      </c>
      <c r="M24" s="1" t="s">
        <v>8</v>
      </c>
      <c r="N24" s="1" t="s">
        <v>8</v>
      </c>
      <c r="O24" s="1"/>
      <c r="P24" s="1"/>
      <c r="Q24" s="1" t="s">
        <v>8</v>
      </c>
      <c r="R24" s="1"/>
      <c r="S24" s="1" t="s">
        <v>8</v>
      </c>
      <c r="T24" s="1" t="s">
        <v>8</v>
      </c>
      <c r="U24" s="1" t="s">
        <v>8</v>
      </c>
      <c r="V24" s="1"/>
      <c r="W24" s="1"/>
      <c r="X24" s="1" t="s">
        <v>140</v>
      </c>
      <c r="Y24" s="1"/>
      <c r="Z24" s="1" t="s">
        <v>8</v>
      </c>
      <c r="AA24" s="1" t="s">
        <v>8</v>
      </c>
      <c r="AB24" s="1" t="s">
        <v>8</v>
      </c>
      <c r="AC24" s="1"/>
      <c r="AD24" s="1"/>
      <c r="AE24" s="1" t="s">
        <v>8</v>
      </c>
      <c r="AF24" s="1"/>
      <c r="AG24" s="1" t="s">
        <v>8</v>
      </c>
      <c r="AH24" s="1" t="s">
        <v>8</v>
      </c>
      <c r="AI24" s="1" t="s">
        <v>8</v>
      </c>
      <c r="AJ24" s="1"/>
      <c r="AK24" s="1"/>
      <c r="AL24" s="1" t="s">
        <v>8</v>
      </c>
      <c r="AM24" s="1"/>
      <c r="AN24" s="1" t="s">
        <v>8</v>
      </c>
      <c r="AO24" s="1" t="s">
        <v>8</v>
      </c>
      <c r="AP24" s="1" t="s">
        <v>8</v>
      </c>
      <c r="AQ24" s="1"/>
      <c r="AR24" s="1"/>
      <c r="AS24" s="1" t="s">
        <v>8</v>
      </c>
      <c r="AT24" s="1"/>
      <c r="AU24" s="1" t="s">
        <v>8</v>
      </c>
      <c r="AV24" s="1" t="s">
        <v>6</v>
      </c>
      <c r="AW24" s="1" t="s">
        <v>8</v>
      </c>
    </row>
    <row r="25" spans="1:49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 t="s">
        <v>220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 t="s">
        <v>221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>
      <c r="A26" s="1" t="s">
        <v>91</v>
      </c>
      <c r="B26" s="1" t="s">
        <v>91</v>
      </c>
      <c r="C26" s="1" t="s">
        <v>8</v>
      </c>
      <c r="D26" s="1" t="s">
        <v>8</v>
      </c>
      <c r="E26" s="1" t="s">
        <v>8</v>
      </c>
      <c r="F26" s="1" t="s">
        <v>8</v>
      </c>
      <c r="G26" s="1" t="s">
        <v>8</v>
      </c>
      <c r="H26" s="1"/>
      <c r="I26" s="1"/>
      <c r="J26" s="1" t="s">
        <v>8</v>
      </c>
      <c r="K26" s="1" t="s">
        <v>8</v>
      </c>
      <c r="L26" s="1" t="s">
        <v>8</v>
      </c>
      <c r="M26" s="1" t="s">
        <v>8</v>
      </c>
      <c r="N26" s="1" t="s">
        <v>8</v>
      </c>
      <c r="O26" s="1"/>
      <c r="P26" s="1"/>
      <c r="Q26" s="1" t="s">
        <v>8</v>
      </c>
      <c r="R26" s="1" t="s">
        <v>8</v>
      </c>
      <c r="S26" s="1" t="s">
        <v>8</v>
      </c>
      <c r="T26" s="1" t="s">
        <v>8</v>
      </c>
      <c r="U26" s="1" t="s">
        <v>8</v>
      </c>
      <c r="V26" s="1"/>
      <c r="W26" s="1"/>
      <c r="X26" s="1" t="s">
        <v>140</v>
      </c>
      <c r="Y26" s="1" t="s">
        <v>8</v>
      </c>
      <c r="Z26" s="1" t="s">
        <v>8</v>
      </c>
      <c r="AA26" s="1" t="s">
        <v>8</v>
      </c>
      <c r="AB26" s="1" t="s">
        <v>8</v>
      </c>
      <c r="AC26" s="1"/>
      <c r="AD26" s="1"/>
      <c r="AE26" s="1" t="s">
        <v>8</v>
      </c>
      <c r="AF26" s="1" t="s">
        <v>8</v>
      </c>
      <c r="AG26" s="1" t="s">
        <v>8</v>
      </c>
      <c r="AH26" s="1" t="s">
        <v>8</v>
      </c>
      <c r="AI26" s="1" t="s">
        <v>8</v>
      </c>
      <c r="AJ26" s="1"/>
      <c r="AK26" s="1"/>
      <c r="AL26" s="1" t="s">
        <v>8</v>
      </c>
      <c r="AM26" s="1" t="s">
        <v>8</v>
      </c>
      <c r="AN26" s="1" t="s">
        <v>8</v>
      </c>
      <c r="AO26" s="1" t="s">
        <v>8</v>
      </c>
      <c r="AP26" s="1" t="s">
        <v>8</v>
      </c>
      <c r="AQ26" s="1"/>
      <c r="AR26" s="1"/>
      <c r="AS26" s="1" t="s">
        <v>8</v>
      </c>
      <c r="AT26" s="1" t="s">
        <v>140</v>
      </c>
      <c r="AU26" s="1" t="s">
        <v>8</v>
      </c>
      <c r="AV26" s="1" t="s">
        <v>8</v>
      </c>
      <c r="AW26" s="1" t="s">
        <v>8</v>
      </c>
    </row>
    <row r="27" spans="1:49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8"/>
      <c r="N27" s="28"/>
      <c r="O27" s="1"/>
      <c r="P27" s="1"/>
      <c r="Q27" s="1"/>
      <c r="R27" s="1"/>
      <c r="S27" s="1"/>
      <c r="T27" s="1"/>
      <c r="U27" s="1"/>
      <c r="V27" s="1"/>
      <c r="W27" s="1"/>
      <c r="X27" s="1"/>
      <c r="Y27" s="29"/>
      <c r="Z27" s="29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 t="s">
        <v>237</v>
      </c>
      <c r="AU29" s="1"/>
      <c r="AV29" s="1"/>
      <c r="AW29" s="1"/>
    </row>
  </sheetData>
  <conditionalFormatting sqref="A5:I26">
    <cfRule type="cellIs" dxfId="306" priority="337" operator="equal">
      <formula>"r"</formula>
    </cfRule>
    <cfRule type="cellIs" dxfId="305" priority="338" operator="equal">
      <formula>"z"</formula>
    </cfRule>
    <cfRule type="cellIs" dxfId="304" priority="339" operator="equal">
      <formula>"x"</formula>
    </cfRule>
    <cfRule type="cellIs" dxfId="303" priority="340" operator="equal">
      <formula>"v"</formula>
    </cfRule>
    <cfRule type="cellIs" dxfId="302" priority="341" operator="equal">
      <formula>"n"</formula>
    </cfRule>
    <cfRule type="cellIs" dxfId="301" priority="342" operator="equal">
      <formula>"m"</formula>
    </cfRule>
    <cfRule type="cellIs" dxfId="300" priority="343" operator="equal">
      <formula>"o"</formula>
    </cfRule>
  </conditionalFormatting>
  <conditionalFormatting sqref="A1:AW3 A4:Q4 AF4:AW4 AL15:AO15">
    <cfRule type="cellIs" dxfId="299" priority="919" operator="equal">
      <formula>"r"</formula>
    </cfRule>
    <cfRule type="cellIs" dxfId="298" priority="920" operator="equal">
      <formula>"z"</formula>
    </cfRule>
    <cfRule type="cellIs" dxfId="297" priority="921" operator="equal">
      <formula>"x"</formula>
    </cfRule>
    <cfRule type="cellIs" dxfId="296" priority="922" operator="equal">
      <formula>"v"</formula>
    </cfRule>
    <cfRule type="cellIs" dxfId="295" priority="923" operator="equal">
      <formula>"n"</formula>
    </cfRule>
    <cfRule type="cellIs" dxfId="294" priority="924" operator="equal">
      <formula>"m"</formula>
    </cfRule>
    <cfRule type="cellIs" dxfId="293" priority="925" operator="equal">
      <formula>"o"</formula>
    </cfRule>
  </conditionalFormatting>
  <conditionalFormatting sqref="A27:AW29">
    <cfRule type="cellIs" dxfId="292" priority="50" operator="equal">
      <formula>"r"</formula>
    </cfRule>
    <cfRule type="cellIs" dxfId="291" priority="51" operator="equal">
      <formula>"z"</formula>
    </cfRule>
    <cfRule type="cellIs" dxfId="290" priority="52" operator="equal">
      <formula>"x"</formula>
    </cfRule>
    <cfRule type="cellIs" dxfId="289" priority="53" operator="equal">
      <formula>"v"</formula>
    </cfRule>
    <cfRule type="cellIs" dxfId="288" priority="54" operator="equal">
      <formula>"n"</formula>
    </cfRule>
    <cfRule type="cellIs" dxfId="287" priority="55" operator="equal">
      <formula>"m"</formula>
    </cfRule>
    <cfRule type="cellIs" dxfId="286" priority="56" operator="equal">
      <formula>"o"</formula>
    </cfRule>
  </conditionalFormatting>
  <conditionalFormatting sqref="J5:Q6 AF5:AK6">
    <cfRule type="cellIs" dxfId="285" priority="253" operator="equal">
      <formula>"r"</formula>
    </cfRule>
    <cfRule type="cellIs" dxfId="284" priority="254" operator="equal">
      <formula>"z"</formula>
    </cfRule>
    <cfRule type="cellIs" dxfId="283" priority="255" operator="equal">
      <formula>"x"</formula>
    </cfRule>
    <cfRule type="cellIs" dxfId="282" priority="256" operator="equal">
      <formula>"v"</formula>
    </cfRule>
    <cfRule type="cellIs" dxfId="281" priority="257" operator="equal">
      <formula>"n"</formula>
    </cfRule>
    <cfRule type="cellIs" dxfId="280" priority="258" operator="equal">
      <formula>"m"</formula>
    </cfRule>
    <cfRule type="cellIs" dxfId="279" priority="259" operator="equal">
      <formula>"o"</formula>
    </cfRule>
  </conditionalFormatting>
  <conditionalFormatting sqref="J7:AK13">
    <cfRule type="cellIs" dxfId="278" priority="29" operator="equal">
      <formula>"r"</formula>
    </cfRule>
    <cfRule type="cellIs" dxfId="277" priority="30" operator="equal">
      <formula>"z"</formula>
    </cfRule>
    <cfRule type="cellIs" dxfId="276" priority="31" operator="equal">
      <formula>"x"</formula>
    </cfRule>
    <cfRule type="cellIs" dxfId="275" priority="32" operator="equal">
      <formula>"v"</formula>
    </cfRule>
    <cfRule type="cellIs" dxfId="274" priority="33" operator="equal">
      <formula>"n"</formula>
    </cfRule>
    <cfRule type="cellIs" dxfId="273" priority="34" operator="equal">
      <formula>"m"</formula>
    </cfRule>
    <cfRule type="cellIs" dxfId="272" priority="35" operator="equal">
      <formula>"o"</formula>
    </cfRule>
  </conditionalFormatting>
  <conditionalFormatting sqref="J15:AK19">
    <cfRule type="cellIs" dxfId="271" priority="1" operator="equal">
      <formula>"r"</formula>
    </cfRule>
    <cfRule type="cellIs" dxfId="270" priority="2" operator="equal">
      <formula>"z"</formula>
    </cfRule>
    <cfRule type="cellIs" dxfId="269" priority="3" operator="equal">
      <formula>"x"</formula>
    </cfRule>
    <cfRule type="cellIs" dxfId="268" priority="4" operator="equal">
      <formula>"v"</formula>
    </cfRule>
    <cfRule type="cellIs" dxfId="267" priority="5" operator="equal">
      <formula>"n"</formula>
    </cfRule>
    <cfRule type="cellIs" dxfId="266" priority="6" operator="equal">
      <formula>"m"</formula>
    </cfRule>
    <cfRule type="cellIs" dxfId="265" priority="7" operator="equal">
      <formula>"o"</formula>
    </cfRule>
  </conditionalFormatting>
  <conditionalFormatting sqref="J14:AO14">
    <cfRule type="cellIs" dxfId="264" priority="211" operator="equal">
      <formula>"r"</formula>
    </cfRule>
    <cfRule type="cellIs" dxfId="263" priority="212" operator="equal">
      <formula>"z"</formula>
    </cfRule>
    <cfRule type="cellIs" dxfId="262" priority="213" operator="equal">
      <formula>"x"</formula>
    </cfRule>
    <cfRule type="cellIs" dxfId="261" priority="214" operator="equal">
      <formula>"v"</formula>
    </cfRule>
    <cfRule type="cellIs" dxfId="260" priority="215" operator="equal">
      <formula>"n"</formula>
    </cfRule>
    <cfRule type="cellIs" dxfId="259" priority="216" operator="equal">
      <formula>"m"</formula>
    </cfRule>
    <cfRule type="cellIs" dxfId="258" priority="217" operator="equal">
      <formula>"o"</formula>
    </cfRule>
  </conditionalFormatting>
  <conditionalFormatting sqref="J20:AW26">
    <cfRule type="cellIs" dxfId="257" priority="466" operator="equal">
      <formula>"r"</formula>
    </cfRule>
    <cfRule type="cellIs" dxfId="256" priority="467" operator="equal">
      <formula>"z"</formula>
    </cfRule>
    <cfRule type="cellIs" dxfId="255" priority="468" operator="equal">
      <formula>"x"</formula>
    </cfRule>
    <cfRule type="cellIs" dxfId="254" priority="469" operator="equal">
      <formula>"v"</formula>
    </cfRule>
    <cfRule type="cellIs" dxfId="253" priority="470" operator="equal">
      <formula>"n"</formula>
    </cfRule>
    <cfRule type="cellIs" dxfId="252" priority="471" operator="equal">
      <formula>"m"</formula>
    </cfRule>
    <cfRule type="cellIs" dxfId="251" priority="472" operator="equal">
      <formula>"o"</formula>
    </cfRule>
  </conditionalFormatting>
  <conditionalFormatting sqref="R4:AE6">
    <cfRule type="cellIs" dxfId="250" priority="246" operator="equal">
      <formula>"r"</formula>
    </cfRule>
    <cfRule type="cellIs" dxfId="249" priority="247" operator="equal">
      <formula>"z"</formula>
    </cfRule>
    <cfRule type="cellIs" dxfId="248" priority="248" operator="equal">
      <formula>"x"</formula>
    </cfRule>
    <cfRule type="cellIs" dxfId="247" priority="249" operator="equal">
      <formula>"v"</formula>
    </cfRule>
    <cfRule type="cellIs" dxfId="246" priority="250" operator="equal">
      <formula>"n"</formula>
    </cfRule>
    <cfRule type="cellIs" dxfId="245" priority="251" operator="equal">
      <formula>"m"</formula>
    </cfRule>
    <cfRule type="cellIs" dxfId="244" priority="252" operator="equal">
      <formula>"o"</formula>
    </cfRule>
  </conditionalFormatting>
  <conditionalFormatting sqref="X20">
    <cfRule type="cellIs" dxfId="243" priority="518" operator="equal">
      <formula>"f"</formula>
    </cfRule>
    <cfRule type="containsText" dxfId="242" priority="519" operator="containsText" text="Feestdag">
      <formula>NOT(ISERROR(SEARCH("Feestdag",X20)))</formula>
    </cfRule>
  </conditionalFormatting>
  <conditionalFormatting sqref="X22">
    <cfRule type="cellIs" dxfId="241" priority="509" operator="equal">
      <formula>"f"</formula>
    </cfRule>
    <cfRule type="containsText" dxfId="240" priority="510" operator="containsText" text="Feestdag">
      <formula>NOT(ISERROR(SEARCH("Feestdag",X22)))</formula>
    </cfRule>
  </conditionalFormatting>
  <conditionalFormatting sqref="X24">
    <cfRule type="cellIs" dxfId="239" priority="500" operator="equal">
      <formula>"f"</formula>
    </cfRule>
    <cfRule type="containsText" dxfId="238" priority="501" operator="containsText" text="Feestdag">
      <formula>NOT(ISERROR(SEARCH("Feestdag",X24)))</formula>
    </cfRule>
  </conditionalFormatting>
  <conditionalFormatting sqref="X26">
    <cfRule type="cellIs" dxfId="237" priority="491" operator="equal">
      <formula>"f"</formula>
    </cfRule>
    <cfRule type="containsText" dxfId="236" priority="492" operator="containsText" text="Feestdag">
      <formula>NOT(ISERROR(SEARCH("Feestdag",X26)))</formula>
    </cfRule>
  </conditionalFormatting>
  <conditionalFormatting sqref="Y8:AF8">
    <cfRule type="cellIs" dxfId="235" priority="85" operator="equal">
      <formula>"r"</formula>
    </cfRule>
    <cfRule type="cellIs" dxfId="234" priority="86" operator="equal">
      <formula>"z"</formula>
    </cfRule>
    <cfRule type="cellIs" dxfId="233" priority="87" operator="equal">
      <formula>"x"</formula>
    </cfRule>
    <cfRule type="cellIs" dxfId="232" priority="88" operator="equal">
      <formula>"v"</formula>
    </cfRule>
    <cfRule type="cellIs" dxfId="231" priority="89" operator="equal">
      <formula>"n"</formula>
    </cfRule>
    <cfRule type="cellIs" dxfId="230" priority="90" operator="equal">
      <formula>"m"</formula>
    </cfRule>
    <cfRule type="cellIs" dxfId="229" priority="91" operator="equal">
      <formula>"o"</formula>
    </cfRule>
  </conditionalFormatting>
  <conditionalFormatting sqref="AL16:AL17">
    <cfRule type="cellIs" dxfId="228" priority="15" operator="equal">
      <formula>"r"</formula>
    </cfRule>
    <cfRule type="cellIs" dxfId="227" priority="16" operator="equal">
      <formula>"z"</formula>
    </cfRule>
    <cfRule type="cellIs" dxfId="226" priority="17" operator="equal">
      <formula>"x"</formula>
    </cfRule>
    <cfRule type="cellIs" dxfId="225" priority="18" operator="equal">
      <formula>"v"</formula>
    </cfRule>
    <cfRule type="cellIs" dxfId="224" priority="19" operator="equal">
      <formula>"n"</formula>
    </cfRule>
    <cfRule type="cellIs" dxfId="223" priority="20" operator="equal">
      <formula>"m"</formula>
    </cfRule>
    <cfRule type="cellIs" dxfId="222" priority="21" operator="equal">
      <formula>"o"</formula>
    </cfRule>
  </conditionalFormatting>
  <conditionalFormatting sqref="AL18:AP26">
    <cfRule type="cellIs" dxfId="221" priority="534" operator="equal">
      <formula>"r"</formula>
    </cfRule>
    <cfRule type="cellIs" dxfId="220" priority="535" operator="equal">
      <formula>"z"</formula>
    </cfRule>
    <cfRule type="cellIs" dxfId="219" priority="536" operator="equal">
      <formula>"x"</formula>
    </cfRule>
    <cfRule type="cellIs" dxfId="218" priority="537" operator="equal">
      <formula>"v"</formula>
    </cfRule>
    <cfRule type="cellIs" dxfId="217" priority="538" operator="equal">
      <formula>"n"</formula>
    </cfRule>
    <cfRule type="cellIs" dxfId="216" priority="539" operator="equal">
      <formula>"m"</formula>
    </cfRule>
    <cfRule type="cellIs" dxfId="215" priority="540" operator="equal">
      <formula>"o"</formula>
    </cfRule>
  </conditionalFormatting>
  <conditionalFormatting sqref="AL5:AW13">
    <cfRule type="cellIs" dxfId="214" priority="835" operator="equal">
      <formula>"r"</formula>
    </cfRule>
    <cfRule type="cellIs" dxfId="213" priority="836" operator="equal">
      <formula>"z"</formula>
    </cfRule>
    <cfRule type="cellIs" dxfId="212" priority="837" operator="equal">
      <formula>"x"</formula>
    </cfRule>
    <cfRule type="cellIs" dxfId="211" priority="838" operator="equal">
      <formula>"v"</formula>
    </cfRule>
    <cfRule type="cellIs" dxfId="210" priority="839" operator="equal">
      <formula>"n"</formula>
    </cfRule>
    <cfRule type="cellIs" dxfId="209" priority="840" operator="equal">
      <formula>"m"</formula>
    </cfRule>
    <cfRule type="cellIs" dxfId="208" priority="841" operator="equal">
      <formula>"o"</formula>
    </cfRule>
  </conditionalFormatting>
  <conditionalFormatting sqref="AM17:AP17">
    <cfRule type="cellIs" dxfId="207" priority="716" operator="equal">
      <formula>"r"</formula>
    </cfRule>
    <cfRule type="cellIs" dxfId="206" priority="717" operator="equal">
      <formula>"z"</formula>
    </cfRule>
    <cfRule type="cellIs" dxfId="205" priority="718" operator="equal">
      <formula>"x"</formula>
    </cfRule>
    <cfRule type="cellIs" dxfId="204" priority="719" operator="equal">
      <formula>"v"</formula>
    </cfRule>
    <cfRule type="cellIs" dxfId="203" priority="720" operator="equal">
      <formula>"n"</formula>
    </cfRule>
    <cfRule type="cellIs" dxfId="202" priority="721" operator="equal">
      <formula>"m"</formula>
    </cfRule>
    <cfRule type="cellIs" dxfId="201" priority="722" operator="equal">
      <formula>"o"</formula>
    </cfRule>
  </conditionalFormatting>
  <conditionalFormatting sqref="AM16:AW16">
    <cfRule type="cellIs" dxfId="200" priority="309" operator="equal">
      <formula>"r"</formula>
    </cfRule>
    <cfRule type="cellIs" dxfId="199" priority="310" operator="equal">
      <formula>"z"</formula>
    </cfRule>
    <cfRule type="cellIs" dxfId="198" priority="311" operator="equal">
      <formula>"x"</formula>
    </cfRule>
    <cfRule type="cellIs" dxfId="197" priority="312" operator="equal">
      <formula>"v"</formula>
    </cfRule>
    <cfRule type="cellIs" dxfId="196" priority="313" operator="equal">
      <formula>"n"</formula>
    </cfRule>
    <cfRule type="cellIs" dxfId="195" priority="314" operator="equal">
      <formula>"m"</formula>
    </cfRule>
    <cfRule type="cellIs" dxfId="194" priority="315" operator="equal">
      <formula>"o"</formula>
    </cfRule>
  </conditionalFormatting>
  <conditionalFormatting sqref="AP14:AW15">
    <cfRule type="cellIs" dxfId="193" priority="786" operator="equal">
      <formula>"r"</formula>
    </cfRule>
    <cfRule type="cellIs" dxfId="192" priority="787" operator="equal">
      <formula>"z"</formula>
    </cfRule>
    <cfRule type="cellIs" dxfId="191" priority="788" operator="equal">
      <formula>"x"</formula>
    </cfRule>
    <cfRule type="cellIs" dxfId="190" priority="789" operator="equal">
      <formula>"v"</formula>
    </cfRule>
    <cfRule type="cellIs" dxfId="189" priority="790" operator="equal">
      <formula>"n"</formula>
    </cfRule>
    <cfRule type="cellIs" dxfId="188" priority="791" operator="equal">
      <formula>"m"</formula>
    </cfRule>
    <cfRule type="cellIs" dxfId="187" priority="792" operator="equal">
      <formula>"o"</formula>
    </cfRule>
  </conditionalFormatting>
  <conditionalFormatting sqref="AQ17:AW19">
    <cfRule type="cellIs" dxfId="186" priority="681" operator="equal">
      <formula>"r"</formula>
    </cfRule>
    <cfRule type="cellIs" dxfId="185" priority="682" operator="equal">
      <formula>"z"</formula>
    </cfRule>
    <cfRule type="cellIs" dxfId="184" priority="683" operator="equal">
      <formula>"x"</formula>
    </cfRule>
    <cfRule type="cellIs" dxfId="183" priority="684" operator="equal">
      <formula>"v"</formula>
    </cfRule>
    <cfRule type="cellIs" dxfId="182" priority="685" operator="equal">
      <formula>"n"</formula>
    </cfRule>
    <cfRule type="cellIs" dxfId="181" priority="686" operator="equal">
      <formula>"m"</formula>
    </cfRule>
    <cfRule type="cellIs" dxfId="180" priority="687" operator="equal">
      <formula>"o"</formula>
    </cfRule>
  </conditionalFormatting>
  <conditionalFormatting sqref="AT20">
    <cfRule type="cellIs" dxfId="179" priority="482" operator="equal">
      <formula>"f"</formula>
    </cfRule>
    <cfRule type="containsText" dxfId="178" priority="483" operator="containsText" text="Feestdag">
      <formula>NOT(ISERROR(SEARCH("Feestdag",AT20)))</formula>
    </cfRule>
  </conditionalFormatting>
  <conditionalFormatting sqref="AT22">
    <cfRule type="cellIs" dxfId="177" priority="473" operator="equal">
      <formula>"f"</formula>
    </cfRule>
    <cfRule type="containsText" dxfId="176" priority="474" operator="containsText" text="Feestdag">
      <formula>NOT(ISERROR(SEARCH("Feestdag",AT22)))</formula>
    </cfRule>
  </conditionalFormatting>
  <conditionalFormatting sqref="AT26">
    <cfRule type="cellIs" dxfId="175" priority="464" operator="equal">
      <formula>"f"</formula>
    </cfRule>
    <cfRule type="containsText" dxfId="174" priority="465" operator="containsText" text="Feestdag">
      <formula>NOT(ISERROR(SEARCH("Feestdag",AT26)))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AFDE3-312D-4D68-84B1-4E76E6BA2D8E}">
  <dimension ref="A1:QG58"/>
  <sheetViews>
    <sheetView tabSelected="1" workbookViewId="0">
      <pane xSplit="1" topLeftCell="AJ1" activePane="topRight" state="frozen"/>
      <selection pane="topRight" activeCell="GV10" sqref="GV10"/>
    </sheetView>
  </sheetViews>
  <sheetFormatPr defaultRowHeight="12.75" customHeight="1"/>
  <cols>
    <col min="2" max="2" width="21.5703125" customWidth="1"/>
    <col min="3" max="5" width="11.42578125" customWidth="1"/>
    <col min="6" max="6" width="8.85546875" customWidth="1"/>
    <col min="7" max="7" width="9.42578125" customWidth="1"/>
    <col min="8" max="8" width="9.28515625" customWidth="1"/>
    <col min="9" max="9" width="8.5703125" customWidth="1"/>
    <col min="26" max="26" width="7.85546875" customWidth="1"/>
    <col min="117" max="117" width="10.7109375" customWidth="1"/>
    <col min="390" max="390" width="13.42578125" bestFit="1" customWidth="1"/>
    <col min="391" max="391" width="54" customWidth="1"/>
    <col min="393" max="393" width="27.140625" customWidth="1"/>
  </cols>
  <sheetData>
    <row r="1" spans="1:449" s="4" customFormat="1">
      <c r="B1" s="1"/>
      <c r="C1" s="4" t="s">
        <v>194</v>
      </c>
      <c r="D1" s="1"/>
      <c r="E1" s="1"/>
      <c r="F1" s="1"/>
      <c r="G1" s="1"/>
      <c r="H1" s="1"/>
      <c r="I1" s="1"/>
      <c r="J1" s="4" t="s">
        <v>243</v>
      </c>
      <c r="Q1" s="4" t="s">
        <v>145</v>
      </c>
      <c r="X1" s="4" t="s">
        <v>146</v>
      </c>
      <c r="AE1" s="4" t="s">
        <v>147</v>
      </c>
      <c r="AL1" s="4" t="s">
        <v>148</v>
      </c>
      <c r="AS1" s="4" t="s">
        <v>149</v>
      </c>
      <c r="AZ1" s="4" t="s">
        <v>150</v>
      </c>
      <c r="BG1" s="4" t="s">
        <v>151</v>
      </c>
      <c r="BN1" s="4" t="s">
        <v>152</v>
      </c>
      <c r="BU1" s="4" t="s">
        <v>153</v>
      </c>
      <c r="CB1" s="4" t="s">
        <v>154</v>
      </c>
      <c r="CI1" s="4" t="s">
        <v>155</v>
      </c>
      <c r="CP1" s="4" t="s">
        <v>156</v>
      </c>
      <c r="CW1" s="4" t="s">
        <v>157</v>
      </c>
      <c r="DD1" s="4" t="s">
        <v>158</v>
      </c>
      <c r="DK1" s="4" t="s">
        <v>159</v>
      </c>
      <c r="DR1" s="4" t="s">
        <v>160</v>
      </c>
      <c r="DY1" s="4" t="s">
        <v>161</v>
      </c>
      <c r="EF1" s="4" t="s">
        <v>162</v>
      </c>
      <c r="EM1" s="4" t="s">
        <v>163</v>
      </c>
      <c r="ET1" s="4" t="s">
        <v>164</v>
      </c>
      <c r="FA1" s="4" t="s">
        <v>165</v>
      </c>
      <c r="FH1" s="4" t="s">
        <v>166</v>
      </c>
      <c r="FO1" s="4" t="s">
        <v>167</v>
      </c>
      <c r="FV1" s="4" t="s">
        <v>168</v>
      </c>
      <c r="GC1" s="4" t="s">
        <v>169</v>
      </c>
      <c r="GJ1" s="4" t="s">
        <v>170</v>
      </c>
      <c r="GQ1" s="4" t="s">
        <v>171</v>
      </c>
      <c r="GX1" s="4" t="s">
        <v>172</v>
      </c>
      <c r="HE1" s="4" t="s">
        <v>173</v>
      </c>
      <c r="HL1" s="4" t="s">
        <v>174</v>
      </c>
      <c r="HS1" s="4" t="s">
        <v>175</v>
      </c>
      <c r="HZ1" s="4" t="s">
        <v>46</v>
      </c>
      <c r="IG1" s="4" t="s">
        <v>176</v>
      </c>
      <c r="IN1" s="4" t="s">
        <v>177</v>
      </c>
      <c r="IU1" s="4" t="s">
        <v>178</v>
      </c>
      <c r="JB1" s="4" t="s">
        <v>179</v>
      </c>
      <c r="JF1" s="69"/>
      <c r="JI1" s="4" t="s">
        <v>180</v>
      </c>
      <c r="JP1" s="4" t="s">
        <v>181</v>
      </c>
      <c r="JW1" s="4" t="s">
        <v>182</v>
      </c>
      <c r="KD1" s="4" t="s">
        <v>183</v>
      </c>
      <c r="KK1" s="4" t="s">
        <v>184</v>
      </c>
      <c r="KR1" s="4" t="s">
        <v>185</v>
      </c>
      <c r="KY1" s="4" t="s">
        <v>186</v>
      </c>
      <c r="LF1" s="4" t="s">
        <v>187</v>
      </c>
      <c r="LM1" s="4" t="s">
        <v>188</v>
      </c>
      <c r="LT1" s="4" t="s">
        <v>189</v>
      </c>
      <c r="MA1" s="4" t="s">
        <v>190</v>
      </c>
      <c r="ME1" s="66"/>
      <c r="MH1" s="4" t="s">
        <v>191</v>
      </c>
      <c r="MO1" s="4" t="s">
        <v>192</v>
      </c>
      <c r="MV1" s="4" t="s">
        <v>193</v>
      </c>
      <c r="NC1" s="4" t="s">
        <v>194</v>
      </c>
      <c r="NJ1" s="4" t="s">
        <v>244</v>
      </c>
      <c r="OA1" s="170"/>
      <c r="OB1" s="166"/>
      <c r="OC1" s="166"/>
      <c r="OD1" s="166"/>
      <c r="OE1" s="166"/>
      <c r="OF1" s="166"/>
      <c r="OG1" s="166"/>
      <c r="OH1" s="166"/>
      <c r="OI1" s="166"/>
      <c r="OJ1" s="166"/>
      <c r="OK1" s="166"/>
      <c r="OL1" s="166"/>
      <c r="OM1" s="166"/>
      <c r="ON1" s="166"/>
      <c r="OO1" s="166"/>
      <c r="OP1" s="166"/>
      <c r="OQ1" s="166"/>
      <c r="OR1" s="166"/>
      <c r="OS1" s="166"/>
      <c r="OT1" s="166"/>
      <c r="OU1" s="166"/>
      <c r="OV1" s="166"/>
      <c r="OW1" s="166"/>
      <c r="OX1" s="166"/>
      <c r="OY1" s="166"/>
      <c r="OZ1" s="166"/>
      <c r="PA1" s="166"/>
      <c r="PB1" s="166"/>
      <c r="PC1" s="166"/>
      <c r="PD1" s="166"/>
      <c r="PE1" s="166"/>
      <c r="PF1" s="166"/>
      <c r="PG1" s="166"/>
      <c r="PH1" s="166"/>
      <c r="PI1" s="166"/>
      <c r="PJ1" s="166"/>
      <c r="PK1" s="166"/>
      <c r="PL1" s="166"/>
      <c r="PM1" s="166"/>
      <c r="PN1" s="166"/>
      <c r="PO1" s="166"/>
      <c r="PP1" s="166"/>
      <c r="PQ1" s="166"/>
      <c r="PR1" s="166"/>
      <c r="PS1" s="166"/>
      <c r="PT1" s="166"/>
      <c r="PU1" s="166"/>
      <c r="PV1" s="166"/>
      <c r="PW1" s="166"/>
      <c r="PX1" s="166"/>
      <c r="PY1" s="166"/>
      <c r="PZ1" s="166"/>
      <c r="QA1" s="166"/>
      <c r="QB1" s="166"/>
      <c r="QC1" s="166"/>
      <c r="QD1" s="166"/>
      <c r="QE1" s="166"/>
      <c r="QF1" s="166"/>
      <c r="QG1" s="176"/>
    </row>
    <row r="2" spans="1:449" s="2" customFormat="1">
      <c r="C2" s="2" t="s">
        <v>71</v>
      </c>
      <c r="D2" s="2" t="s">
        <v>72</v>
      </c>
      <c r="E2" s="2" t="s">
        <v>66</v>
      </c>
      <c r="F2" s="2" t="s">
        <v>73</v>
      </c>
      <c r="G2" s="2" t="s">
        <v>68</v>
      </c>
      <c r="H2" s="2" t="s">
        <v>69</v>
      </c>
      <c r="I2" s="2" t="s">
        <v>70</v>
      </c>
      <c r="J2" s="2" t="s">
        <v>71</v>
      </c>
      <c r="K2" s="2" t="s">
        <v>72</v>
      </c>
      <c r="L2" s="2" t="s">
        <v>66</v>
      </c>
      <c r="M2" s="2" t="s">
        <v>73</v>
      </c>
      <c r="N2" s="2" t="s">
        <v>68</v>
      </c>
      <c r="O2" s="2" t="s">
        <v>69</v>
      </c>
      <c r="P2" s="2" t="s">
        <v>70</v>
      </c>
      <c r="Q2" s="2" t="s">
        <v>71</v>
      </c>
      <c r="R2" s="2" t="s">
        <v>72</v>
      </c>
      <c r="S2" s="2" t="s">
        <v>66</v>
      </c>
      <c r="T2" s="2" t="s">
        <v>73</v>
      </c>
      <c r="U2" s="2" t="s">
        <v>68</v>
      </c>
      <c r="V2" s="2" t="s">
        <v>69</v>
      </c>
      <c r="W2" s="2" t="s">
        <v>70</v>
      </c>
      <c r="X2" s="2" t="s">
        <v>71</v>
      </c>
      <c r="Y2" s="2" t="s">
        <v>72</v>
      </c>
      <c r="Z2" s="2" t="s">
        <v>66</v>
      </c>
      <c r="AA2" s="2" t="s">
        <v>73</v>
      </c>
      <c r="AB2" s="2" t="s">
        <v>68</v>
      </c>
      <c r="AC2" s="2" t="s">
        <v>69</v>
      </c>
      <c r="AD2" s="2" t="s">
        <v>70</v>
      </c>
      <c r="AE2" s="2" t="s">
        <v>71</v>
      </c>
      <c r="AF2" s="2" t="s">
        <v>72</v>
      </c>
      <c r="AG2" s="2" t="s">
        <v>66</v>
      </c>
      <c r="AH2" s="2" t="s">
        <v>73</v>
      </c>
      <c r="AI2" s="2" t="s">
        <v>68</v>
      </c>
      <c r="AJ2" s="2" t="s">
        <v>69</v>
      </c>
      <c r="AK2" s="2" t="s">
        <v>70</v>
      </c>
      <c r="AL2" s="2" t="s">
        <v>71</v>
      </c>
      <c r="AM2" s="2" t="s">
        <v>72</v>
      </c>
      <c r="AN2" s="2" t="s">
        <v>66</v>
      </c>
      <c r="AO2" s="2" t="s">
        <v>73</v>
      </c>
      <c r="AP2" s="2" t="s">
        <v>68</v>
      </c>
      <c r="AQ2" s="2" t="s">
        <v>69</v>
      </c>
      <c r="AR2" s="2" t="s">
        <v>70</v>
      </c>
      <c r="AS2" s="2" t="s">
        <v>71</v>
      </c>
      <c r="AT2" s="2" t="s">
        <v>72</v>
      </c>
      <c r="AU2" s="2" t="s">
        <v>66</v>
      </c>
      <c r="AV2" s="2" t="s">
        <v>73</v>
      </c>
      <c r="AW2" s="2" t="s">
        <v>68</v>
      </c>
      <c r="AX2" s="2" t="s">
        <v>69</v>
      </c>
      <c r="AY2" s="2" t="s">
        <v>70</v>
      </c>
      <c r="AZ2" s="2" t="s">
        <v>71</v>
      </c>
      <c r="BA2" s="2" t="s">
        <v>72</v>
      </c>
      <c r="BB2" s="2" t="s">
        <v>66</v>
      </c>
      <c r="BC2" s="2" t="s">
        <v>73</v>
      </c>
      <c r="BD2" s="2" t="s">
        <v>68</v>
      </c>
      <c r="BE2" s="2" t="s">
        <v>69</v>
      </c>
      <c r="BF2" s="2" t="s">
        <v>70</v>
      </c>
      <c r="BG2" s="2" t="s">
        <v>71</v>
      </c>
      <c r="BH2" s="2" t="s">
        <v>72</v>
      </c>
      <c r="BI2" s="2" t="s">
        <v>66</v>
      </c>
      <c r="BJ2" s="2" t="s">
        <v>73</v>
      </c>
      <c r="BK2" s="2" t="s">
        <v>68</v>
      </c>
      <c r="BL2" s="2" t="s">
        <v>69</v>
      </c>
      <c r="BM2" s="2" t="s">
        <v>70</v>
      </c>
      <c r="BN2" s="2" t="s">
        <v>71</v>
      </c>
      <c r="BO2" s="2" t="s">
        <v>72</v>
      </c>
      <c r="BP2" s="2" t="s">
        <v>66</v>
      </c>
      <c r="BQ2" s="2" t="s">
        <v>73</v>
      </c>
      <c r="BR2" s="2" t="s">
        <v>68</v>
      </c>
      <c r="BS2" s="2" t="s">
        <v>69</v>
      </c>
      <c r="BT2" s="2" t="s">
        <v>70</v>
      </c>
      <c r="BU2" s="2" t="s">
        <v>71</v>
      </c>
      <c r="BV2" s="2" t="s">
        <v>72</v>
      </c>
      <c r="BW2" s="2" t="s">
        <v>66</v>
      </c>
      <c r="BX2" s="2" t="s">
        <v>73</v>
      </c>
      <c r="BY2" s="2" t="s">
        <v>68</v>
      </c>
      <c r="BZ2" s="2" t="s">
        <v>69</v>
      </c>
      <c r="CA2" s="2" t="s">
        <v>70</v>
      </c>
      <c r="CB2" s="2" t="s">
        <v>71</v>
      </c>
      <c r="CC2" s="2" t="s">
        <v>72</v>
      </c>
      <c r="CD2" s="2" t="s">
        <v>66</v>
      </c>
      <c r="CE2" s="2" t="s">
        <v>73</v>
      </c>
      <c r="CF2" s="2" t="s">
        <v>68</v>
      </c>
      <c r="CG2" s="2" t="s">
        <v>69</v>
      </c>
      <c r="CH2" s="2" t="s">
        <v>70</v>
      </c>
      <c r="CI2" s="2" t="s">
        <v>71</v>
      </c>
      <c r="CJ2" s="2" t="s">
        <v>72</v>
      </c>
      <c r="CK2" s="2" t="s">
        <v>66</v>
      </c>
      <c r="CL2" s="2" t="s">
        <v>73</v>
      </c>
      <c r="CM2" s="2" t="s">
        <v>68</v>
      </c>
      <c r="CN2" s="2" t="s">
        <v>69</v>
      </c>
      <c r="CO2" s="2" t="s">
        <v>70</v>
      </c>
      <c r="CP2" s="2" t="s">
        <v>71</v>
      </c>
      <c r="CQ2" s="2" t="s">
        <v>72</v>
      </c>
      <c r="CR2" s="2" t="s">
        <v>66</v>
      </c>
      <c r="CS2" s="2" t="s">
        <v>73</v>
      </c>
      <c r="CT2" s="2" t="s">
        <v>68</v>
      </c>
      <c r="CU2" s="2" t="s">
        <v>69</v>
      </c>
      <c r="CV2" s="2" t="s">
        <v>70</v>
      </c>
      <c r="CW2" s="2" t="s">
        <v>71</v>
      </c>
      <c r="CX2" s="2" t="s">
        <v>72</v>
      </c>
      <c r="CY2" s="2" t="s">
        <v>66</v>
      </c>
      <c r="CZ2" s="2" t="s">
        <v>73</v>
      </c>
      <c r="DA2" s="2" t="s">
        <v>68</v>
      </c>
      <c r="DB2" s="2" t="s">
        <v>69</v>
      </c>
      <c r="DC2" s="2" t="s">
        <v>70</v>
      </c>
      <c r="DD2" s="2" t="s">
        <v>71</v>
      </c>
      <c r="DE2" s="2" t="s">
        <v>72</v>
      </c>
      <c r="DF2" s="2" t="s">
        <v>66</v>
      </c>
      <c r="DG2" s="2" t="s">
        <v>73</v>
      </c>
      <c r="DH2" s="2" t="s">
        <v>68</v>
      </c>
      <c r="DI2" s="2" t="s">
        <v>69</v>
      </c>
      <c r="DJ2" s="2" t="s">
        <v>70</v>
      </c>
      <c r="DK2" s="2" t="s">
        <v>71</v>
      </c>
      <c r="DL2" s="2" t="s">
        <v>72</v>
      </c>
      <c r="DM2" s="2" t="s">
        <v>66</v>
      </c>
      <c r="DN2" s="2" t="s">
        <v>73</v>
      </c>
      <c r="DO2" s="2" t="s">
        <v>68</v>
      </c>
      <c r="DP2" s="2" t="s">
        <v>69</v>
      </c>
      <c r="DQ2" s="2" t="s">
        <v>70</v>
      </c>
      <c r="DR2" s="2" t="s">
        <v>71</v>
      </c>
      <c r="DS2" s="2" t="s">
        <v>72</v>
      </c>
      <c r="DT2" s="2" t="s">
        <v>66</v>
      </c>
      <c r="DU2" s="2" t="s">
        <v>73</v>
      </c>
      <c r="DV2" s="2" t="s">
        <v>68</v>
      </c>
      <c r="DW2" s="2" t="s">
        <v>69</v>
      </c>
      <c r="DX2" s="2" t="s">
        <v>70</v>
      </c>
      <c r="DY2" s="2" t="s">
        <v>71</v>
      </c>
      <c r="DZ2" s="2" t="s">
        <v>72</v>
      </c>
      <c r="EA2" s="2" t="s">
        <v>66</v>
      </c>
      <c r="EB2" s="2" t="s">
        <v>73</v>
      </c>
      <c r="EC2" s="2" t="s">
        <v>68</v>
      </c>
      <c r="ED2" s="2" t="s">
        <v>69</v>
      </c>
      <c r="EE2" s="2" t="s">
        <v>70</v>
      </c>
      <c r="EF2" s="2" t="s">
        <v>71</v>
      </c>
      <c r="EG2" s="2" t="s">
        <v>72</v>
      </c>
      <c r="EH2" s="2" t="s">
        <v>66</v>
      </c>
      <c r="EI2" s="2" t="s">
        <v>73</v>
      </c>
      <c r="EJ2" s="2" t="s">
        <v>68</v>
      </c>
      <c r="EK2" s="2" t="s">
        <v>69</v>
      </c>
      <c r="EL2" s="2" t="s">
        <v>70</v>
      </c>
      <c r="EM2" s="2" t="s">
        <v>71</v>
      </c>
      <c r="EN2" s="2" t="s">
        <v>72</v>
      </c>
      <c r="EO2" s="2" t="s">
        <v>66</v>
      </c>
      <c r="EP2" s="2" t="s">
        <v>73</v>
      </c>
      <c r="EQ2" s="2" t="s">
        <v>68</v>
      </c>
      <c r="ER2" s="2" t="s">
        <v>69</v>
      </c>
      <c r="ES2" s="2" t="s">
        <v>70</v>
      </c>
      <c r="ET2" s="2" t="s">
        <v>71</v>
      </c>
      <c r="EU2" s="2" t="s">
        <v>72</v>
      </c>
      <c r="EV2" s="2" t="s">
        <v>66</v>
      </c>
      <c r="EW2" s="2" t="s">
        <v>73</v>
      </c>
      <c r="EX2" s="2" t="s">
        <v>68</v>
      </c>
      <c r="EY2" s="2" t="s">
        <v>69</v>
      </c>
      <c r="EZ2" s="2" t="s">
        <v>70</v>
      </c>
      <c r="FA2" s="2" t="s">
        <v>71</v>
      </c>
      <c r="FB2" s="2" t="s">
        <v>72</v>
      </c>
      <c r="FC2" s="2" t="s">
        <v>66</v>
      </c>
      <c r="FD2" s="2" t="s">
        <v>73</v>
      </c>
      <c r="FE2" s="2" t="s">
        <v>68</v>
      </c>
      <c r="FF2" s="2" t="s">
        <v>69</v>
      </c>
      <c r="FG2" s="2" t="s">
        <v>70</v>
      </c>
      <c r="FH2" s="2" t="s">
        <v>71</v>
      </c>
      <c r="FI2" s="2" t="s">
        <v>72</v>
      </c>
      <c r="FJ2" s="2" t="s">
        <v>66</v>
      </c>
      <c r="FK2" s="2" t="s">
        <v>73</v>
      </c>
      <c r="FL2" s="2" t="s">
        <v>68</v>
      </c>
      <c r="FM2" s="2" t="s">
        <v>69</v>
      </c>
      <c r="FN2" s="2" t="s">
        <v>70</v>
      </c>
      <c r="FO2" s="2" t="s">
        <v>71</v>
      </c>
      <c r="FP2" s="2" t="s">
        <v>72</v>
      </c>
      <c r="FQ2" s="2" t="s">
        <v>66</v>
      </c>
      <c r="FR2" s="2" t="s">
        <v>73</v>
      </c>
      <c r="FS2" s="2" t="s">
        <v>68</v>
      </c>
      <c r="FT2" s="2" t="s">
        <v>69</v>
      </c>
      <c r="FU2" s="2" t="s">
        <v>70</v>
      </c>
      <c r="FV2" s="2" t="s">
        <v>71</v>
      </c>
      <c r="FW2" s="2" t="s">
        <v>72</v>
      </c>
      <c r="FX2" s="2" t="s">
        <v>66</v>
      </c>
      <c r="FY2" s="2" t="s">
        <v>73</v>
      </c>
      <c r="FZ2" s="2" t="s">
        <v>68</v>
      </c>
      <c r="GA2" s="2" t="s">
        <v>69</v>
      </c>
      <c r="GB2" s="2" t="s">
        <v>70</v>
      </c>
      <c r="GC2" s="2" t="s">
        <v>71</v>
      </c>
      <c r="GD2" s="2" t="s">
        <v>72</v>
      </c>
      <c r="GE2" s="2" t="s">
        <v>66</v>
      </c>
      <c r="GF2" s="2" t="s">
        <v>73</v>
      </c>
      <c r="GG2" s="2" t="s">
        <v>68</v>
      </c>
      <c r="GH2" s="2" t="s">
        <v>69</v>
      </c>
      <c r="GI2" s="2" t="s">
        <v>70</v>
      </c>
      <c r="GJ2" s="2" t="s">
        <v>71</v>
      </c>
      <c r="GK2" s="2" t="s">
        <v>72</v>
      </c>
      <c r="GL2" s="2" t="s">
        <v>66</v>
      </c>
      <c r="GM2" s="2" t="s">
        <v>73</v>
      </c>
      <c r="GN2" s="2" t="s">
        <v>68</v>
      </c>
      <c r="GO2" s="2" t="s">
        <v>69</v>
      </c>
      <c r="GP2" s="2" t="s">
        <v>70</v>
      </c>
      <c r="GQ2" s="2" t="s">
        <v>71</v>
      </c>
      <c r="GR2" s="2" t="s">
        <v>72</v>
      </c>
      <c r="GS2" s="2" t="s">
        <v>66</v>
      </c>
      <c r="GT2" s="2" t="s">
        <v>73</v>
      </c>
      <c r="GU2" s="2" t="s">
        <v>68</v>
      </c>
      <c r="GV2" s="2" t="s">
        <v>69</v>
      </c>
      <c r="GW2" s="2" t="s">
        <v>70</v>
      </c>
      <c r="GX2" s="2" t="s">
        <v>71</v>
      </c>
      <c r="GY2" s="2" t="s">
        <v>72</v>
      </c>
      <c r="GZ2" s="2" t="s">
        <v>66</v>
      </c>
      <c r="HA2" s="2" t="s">
        <v>73</v>
      </c>
      <c r="HB2" s="2" t="s">
        <v>68</v>
      </c>
      <c r="HC2" s="2" t="s">
        <v>69</v>
      </c>
      <c r="HD2" s="2" t="s">
        <v>70</v>
      </c>
      <c r="HE2" s="2" t="s">
        <v>71</v>
      </c>
      <c r="HF2" s="2" t="s">
        <v>72</v>
      </c>
      <c r="HG2" s="2" t="s">
        <v>66</v>
      </c>
      <c r="HH2" s="2" t="s">
        <v>73</v>
      </c>
      <c r="HI2" s="2" t="s">
        <v>68</v>
      </c>
      <c r="HJ2" s="2" t="s">
        <v>69</v>
      </c>
      <c r="HK2" s="2" t="s">
        <v>70</v>
      </c>
      <c r="HL2" s="2" t="s">
        <v>71</v>
      </c>
      <c r="HM2" s="2" t="s">
        <v>72</v>
      </c>
      <c r="HN2" s="2" t="s">
        <v>66</v>
      </c>
      <c r="HO2" s="2" t="s">
        <v>73</v>
      </c>
      <c r="HP2" s="2" t="s">
        <v>68</v>
      </c>
      <c r="HQ2" s="2" t="s">
        <v>69</v>
      </c>
      <c r="HR2" s="2" t="s">
        <v>70</v>
      </c>
      <c r="HS2" s="2" t="s">
        <v>71</v>
      </c>
      <c r="HT2" s="2" t="s">
        <v>72</v>
      </c>
      <c r="HU2" s="2" t="s">
        <v>66</v>
      </c>
      <c r="HV2" s="2" t="s">
        <v>73</v>
      </c>
      <c r="HW2" s="2" t="s">
        <v>68</v>
      </c>
      <c r="HX2" s="2" t="s">
        <v>69</v>
      </c>
      <c r="HY2" s="2" t="s">
        <v>70</v>
      </c>
      <c r="HZ2" s="2" t="s">
        <v>71</v>
      </c>
      <c r="IA2" s="2" t="s">
        <v>72</v>
      </c>
      <c r="IB2" s="2" t="s">
        <v>66</v>
      </c>
      <c r="IC2" s="2" t="s">
        <v>73</v>
      </c>
      <c r="ID2" s="2" t="s">
        <v>68</v>
      </c>
      <c r="IE2" s="2" t="s">
        <v>69</v>
      </c>
      <c r="IF2" s="2" t="s">
        <v>70</v>
      </c>
      <c r="IG2" s="2" t="s">
        <v>71</v>
      </c>
      <c r="IH2" s="2" t="s">
        <v>72</v>
      </c>
      <c r="II2" s="2" t="s">
        <v>66</v>
      </c>
      <c r="IJ2" s="2" t="s">
        <v>73</v>
      </c>
      <c r="IK2" s="2" t="s">
        <v>68</v>
      </c>
      <c r="IL2" s="2" t="s">
        <v>69</v>
      </c>
      <c r="IM2" s="2" t="s">
        <v>70</v>
      </c>
      <c r="IN2" s="2" t="s">
        <v>71</v>
      </c>
      <c r="IO2" s="2" t="s">
        <v>72</v>
      </c>
      <c r="IP2" s="2" t="s">
        <v>66</v>
      </c>
      <c r="IQ2" s="2" t="s">
        <v>73</v>
      </c>
      <c r="IR2" s="2" t="s">
        <v>68</v>
      </c>
      <c r="IS2" s="2" t="s">
        <v>69</v>
      </c>
      <c r="IT2" s="2" t="s">
        <v>70</v>
      </c>
      <c r="IU2" s="2" t="s">
        <v>71</v>
      </c>
      <c r="IV2" s="2" t="s">
        <v>72</v>
      </c>
      <c r="IW2" s="2" t="s">
        <v>66</v>
      </c>
      <c r="IX2" s="2" t="s">
        <v>73</v>
      </c>
      <c r="IY2" s="2" t="s">
        <v>68</v>
      </c>
      <c r="IZ2" s="2" t="s">
        <v>69</v>
      </c>
      <c r="JA2" s="2" t="s">
        <v>70</v>
      </c>
      <c r="JB2" s="2" t="s">
        <v>71</v>
      </c>
      <c r="JC2" s="2" t="s">
        <v>72</v>
      </c>
      <c r="JD2" s="2" t="s">
        <v>66</v>
      </c>
      <c r="JE2" s="2" t="s">
        <v>73</v>
      </c>
      <c r="JF2" s="2" t="s">
        <v>68</v>
      </c>
      <c r="JG2" s="2" t="s">
        <v>69</v>
      </c>
      <c r="JH2" s="2" t="s">
        <v>70</v>
      </c>
      <c r="JI2" s="2" t="s">
        <v>71</v>
      </c>
      <c r="JJ2" s="2" t="s">
        <v>72</v>
      </c>
      <c r="JK2" s="2" t="s">
        <v>66</v>
      </c>
      <c r="JL2" s="2" t="s">
        <v>73</v>
      </c>
      <c r="JM2" s="2" t="s">
        <v>68</v>
      </c>
      <c r="JN2" s="2" t="s">
        <v>69</v>
      </c>
      <c r="JO2" s="2" t="s">
        <v>70</v>
      </c>
      <c r="JP2" s="2" t="s">
        <v>71</v>
      </c>
      <c r="JQ2" s="2" t="s">
        <v>72</v>
      </c>
      <c r="JR2" s="2" t="s">
        <v>66</v>
      </c>
      <c r="JS2" s="2" t="s">
        <v>73</v>
      </c>
      <c r="JT2" s="2" t="s">
        <v>68</v>
      </c>
      <c r="JU2" s="2" t="s">
        <v>69</v>
      </c>
      <c r="JV2" s="2" t="s">
        <v>70</v>
      </c>
      <c r="JW2" s="2" t="s">
        <v>71</v>
      </c>
      <c r="JX2" s="2" t="s">
        <v>72</v>
      </c>
      <c r="JY2" s="2" t="s">
        <v>66</v>
      </c>
      <c r="JZ2" s="2" t="s">
        <v>73</v>
      </c>
      <c r="KA2" s="2" t="s">
        <v>68</v>
      </c>
      <c r="KB2" s="2" t="s">
        <v>69</v>
      </c>
      <c r="KC2" s="2" t="s">
        <v>70</v>
      </c>
      <c r="KD2" s="2" t="s">
        <v>71</v>
      </c>
      <c r="KE2" s="2" t="s">
        <v>72</v>
      </c>
      <c r="KF2" s="2" t="s">
        <v>66</v>
      </c>
      <c r="KG2" s="2" t="s">
        <v>73</v>
      </c>
      <c r="KH2" s="2" t="s">
        <v>68</v>
      </c>
      <c r="KI2" s="2" t="s">
        <v>69</v>
      </c>
      <c r="KJ2" s="2" t="s">
        <v>70</v>
      </c>
      <c r="KK2" s="2" t="s">
        <v>71</v>
      </c>
      <c r="KL2" s="2" t="s">
        <v>72</v>
      </c>
      <c r="KM2" s="2" t="s">
        <v>66</v>
      </c>
      <c r="KN2" s="2" t="s">
        <v>73</v>
      </c>
      <c r="KO2" s="2" t="s">
        <v>68</v>
      </c>
      <c r="KP2" s="2" t="s">
        <v>69</v>
      </c>
      <c r="KQ2" s="2" t="s">
        <v>70</v>
      </c>
      <c r="KR2" s="2" t="s">
        <v>71</v>
      </c>
      <c r="KS2" s="2" t="s">
        <v>72</v>
      </c>
      <c r="KT2" s="2" t="s">
        <v>66</v>
      </c>
      <c r="KU2" s="2" t="s">
        <v>73</v>
      </c>
      <c r="KV2" s="2" t="s">
        <v>68</v>
      </c>
      <c r="KW2" s="2" t="s">
        <v>69</v>
      </c>
      <c r="KX2" s="2" t="s">
        <v>70</v>
      </c>
      <c r="KY2" s="2" t="s">
        <v>71</v>
      </c>
      <c r="KZ2" s="2" t="s">
        <v>72</v>
      </c>
      <c r="LA2" s="2" t="s">
        <v>66</v>
      </c>
      <c r="LB2" s="2" t="s">
        <v>73</v>
      </c>
      <c r="LC2" s="2" t="s">
        <v>68</v>
      </c>
      <c r="LD2" s="2" t="s">
        <v>69</v>
      </c>
      <c r="LE2" s="2" t="s">
        <v>70</v>
      </c>
      <c r="LF2" s="2" t="s">
        <v>71</v>
      </c>
      <c r="LG2" s="2" t="s">
        <v>72</v>
      </c>
      <c r="LH2" s="2" t="s">
        <v>66</v>
      </c>
      <c r="LI2" s="2" t="s">
        <v>73</v>
      </c>
      <c r="LJ2" s="2" t="s">
        <v>68</v>
      </c>
      <c r="LK2" s="2" t="s">
        <v>69</v>
      </c>
      <c r="LL2" s="2" t="s">
        <v>70</v>
      </c>
      <c r="LM2" s="2" t="s">
        <v>71</v>
      </c>
      <c r="LN2" s="2" t="s">
        <v>72</v>
      </c>
      <c r="LO2" s="2" t="s">
        <v>66</v>
      </c>
      <c r="LP2" s="2" t="s">
        <v>73</v>
      </c>
      <c r="LQ2" s="2" t="s">
        <v>68</v>
      </c>
      <c r="LR2" s="2" t="s">
        <v>69</v>
      </c>
      <c r="LS2" s="2" t="s">
        <v>70</v>
      </c>
      <c r="LT2" s="2" t="s">
        <v>71</v>
      </c>
      <c r="LU2" s="2" t="s">
        <v>72</v>
      </c>
      <c r="LV2" s="2" t="s">
        <v>66</v>
      </c>
      <c r="LW2" s="2" t="s">
        <v>73</v>
      </c>
      <c r="LX2" s="2" t="s">
        <v>68</v>
      </c>
      <c r="LY2" s="2" t="s">
        <v>69</v>
      </c>
      <c r="LZ2" s="2" t="s">
        <v>70</v>
      </c>
      <c r="MA2" s="2" t="s">
        <v>71</v>
      </c>
      <c r="MB2" s="2" t="s">
        <v>72</v>
      </c>
      <c r="MC2" s="2" t="s">
        <v>66</v>
      </c>
      <c r="MD2" s="2" t="s">
        <v>73</v>
      </c>
      <c r="ME2" s="2" t="s">
        <v>68</v>
      </c>
      <c r="MF2" s="2" t="s">
        <v>69</v>
      </c>
      <c r="MG2" s="2" t="s">
        <v>70</v>
      </c>
      <c r="MH2" s="2" t="s">
        <v>71</v>
      </c>
      <c r="MI2" s="2" t="s">
        <v>72</v>
      </c>
      <c r="MJ2" s="2" t="s">
        <v>66</v>
      </c>
      <c r="MK2" s="2" t="s">
        <v>73</v>
      </c>
      <c r="ML2" s="2" t="s">
        <v>68</v>
      </c>
      <c r="MM2" s="2" t="s">
        <v>69</v>
      </c>
      <c r="MN2" s="2" t="s">
        <v>70</v>
      </c>
      <c r="MO2" s="2" t="s">
        <v>71</v>
      </c>
      <c r="MP2" s="2" t="s">
        <v>72</v>
      </c>
      <c r="MQ2" s="2" t="s">
        <v>66</v>
      </c>
      <c r="MR2" s="2" t="s">
        <v>73</v>
      </c>
      <c r="MS2" s="2" t="s">
        <v>68</v>
      </c>
      <c r="MT2" s="2" t="s">
        <v>69</v>
      </c>
      <c r="MU2" s="2" t="s">
        <v>70</v>
      </c>
      <c r="MV2" s="2" t="s">
        <v>71</v>
      </c>
      <c r="MW2" s="2" t="s">
        <v>72</v>
      </c>
      <c r="MX2" s="2" t="s">
        <v>66</v>
      </c>
      <c r="MY2" s="2" t="s">
        <v>73</v>
      </c>
      <c r="MZ2" s="2" t="s">
        <v>68</v>
      </c>
      <c r="NA2" s="2" t="s">
        <v>69</v>
      </c>
      <c r="NB2" s="2" t="s">
        <v>70</v>
      </c>
      <c r="NC2" s="2" t="s">
        <v>71</v>
      </c>
      <c r="ND2" s="2" t="s">
        <v>72</v>
      </c>
      <c r="NE2" s="2" t="s">
        <v>66</v>
      </c>
      <c r="NF2" s="2" t="s">
        <v>73</v>
      </c>
      <c r="NG2" s="2" t="s">
        <v>68</v>
      </c>
      <c r="NH2" s="2" t="s">
        <v>69</v>
      </c>
      <c r="NI2" s="2" t="s">
        <v>70</v>
      </c>
      <c r="NJ2" s="2" t="s">
        <v>71</v>
      </c>
      <c r="NK2" s="2" t="s">
        <v>72</v>
      </c>
      <c r="NL2" s="2" t="s">
        <v>66</v>
      </c>
      <c r="NM2" s="2" t="s">
        <v>73</v>
      </c>
      <c r="NN2" s="2" t="s">
        <v>68</v>
      </c>
      <c r="NO2" s="2" t="s">
        <v>69</v>
      </c>
      <c r="NP2" s="2" t="s">
        <v>70</v>
      </c>
      <c r="NY2" s="75"/>
      <c r="OA2" s="171"/>
      <c r="OB2" s="130"/>
      <c r="OC2" s="130"/>
      <c r="OD2" s="130"/>
      <c r="OE2" s="130"/>
      <c r="OF2" s="130"/>
      <c r="OG2" s="130"/>
      <c r="OH2" s="130"/>
      <c r="OI2" s="130"/>
      <c r="OJ2" s="130"/>
      <c r="OK2" s="130"/>
      <c r="OL2" s="130"/>
      <c r="OM2" s="130"/>
      <c r="ON2" s="130"/>
      <c r="OO2" s="130"/>
      <c r="OP2" s="130"/>
      <c r="OQ2" s="130"/>
      <c r="OR2" s="130"/>
      <c r="OS2" s="130"/>
      <c r="OT2" s="130"/>
      <c r="OU2" s="130"/>
      <c r="OV2" s="130"/>
      <c r="OW2" s="130"/>
      <c r="OX2" s="130"/>
      <c r="OY2" s="130"/>
      <c r="OZ2" s="130"/>
      <c r="PA2" s="130"/>
      <c r="PB2" s="130"/>
      <c r="PC2" s="130"/>
      <c r="PD2" s="130"/>
      <c r="PE2" s="130"/>
      <c r="PF2" s="130"/>
      <c r="PG2" s="130"/>
      <c r="PH2" s="130"/>
      <c r="PI2" s="130"/>
      <c r="PJ2" s="130"/>
      <c r="PK2" s="130"/>
      <c r="PL2" s="130"/>
      <c r="PM2" s="130"/>
      <c r="PN2" s="130"/>
      <c r="PO2" s="130"/>
      <c r="PP2" s="130"/>
      <c r="PQ2" s="130"/>
      <c r="PR2" s="130"/>
      <c r="PS2" s="130"/>
      <c r="PT2" s="130"/>
      <c r="PU2" s="130"/>
      <c r="PV2" s="130"/>
      <c r="PW2" s="130"/>
      <c r="PX2" s="130"/>
      <c r="PY2" s="130"/>
      <c r="PZ2" s="130"/>
      <c r="QA2" s="130"/>
      <c r="QB2" s="130"/>
      <c r="QC2" s="130"/>
      <c r="QD2" s="130"/>
      <c r="QE2" s="130"/>
      <c r="QF2" s="130"/>
      <c r="QG2" s="177"/>
    </row>
    <row r="3" spans="1:449" s="3" customFormat="1" ht="13.15" customHeight="1">
      <c r="C3" s="45">
        <v>46013</v>
      </c>
      <c r="D3" s="45">
        <v>46014</v>
      </c>
      <c r="E3" s="45">
        <v>46015</v>
      </c>
      <c r="F3" s="45">
        <v>46016</v>
      </c>
      <c r="G3" s="45">
        <v>46017</v>
      </c>
      <c r="H3" s="45">
        <v>46018</v>
      </c>
      <c r="I3" s="45">
        <v>46019</v>
      </c>
      <c r="J3" s="45">
        <v>46020</v>
      </c>
      <c r="K3" s="45">
        <v>46021</v>
      </c>
      <c r="L3" s="45">
        <v>46022</v>
      </c>
      <c r="M3" s="45">
        <v>46023</v>
      </c>
      <c r="N3" s="45">
        <v>46024</v>
      </c>
      <c r="O3" s="45">
        <v>46025</v>
      </c>
      <c r="P3" s="45">
        <v>46026</v>
      </c>
      <c r="Q3" s="45">
        <v>46027</v>
      </c>
      <c r="R3" s="45">
        <v>46028</v>
      </c>
      <c r="S3" s="45">
        <v>46029</v>
      </c>
      <c r="T3" s="45">
        <v>46030</v>
      </c>
      <c r="U3" s="45">
        <v>46031</v>
      </c>
      <c r="V3" s="45">
        <v>46032</v>
      </c>
      <c r="W3" s="45">
        <v>46033</v>
      </c>
      <c r="X3" s="45">
        <v>46034</v>
      </c>
      <c r="Y3" s="45">
        <v>46035</v>
      </c>
      <c r="Z3" s="45">
        <v>46036</v>
      </c>
      <c r="AA3" s="45">
        <v>46037</v>
      </c>
      <c r="AB3" s="45">
        <v>46038</v>
      </c>
      <c r="AC3" s="45">
        <v>46039</v>
      </c>
      <c r="AD3" s="45">
        <v>46040</v>
      </c>
      <c r="AE3" s="45">
        <v>46041</v>
      </c>
      <c r="AF3" s="45">
        <v>46042</v>
      </c>
      <c r="AG3" s="45">
        <v>46043</v>
      </c>
      <c r="AH3" s="45">
        <v>46044</v>
      </c>
      <c r="AI3" s="45">
        <v>46045</v>
      </c>
      <c r="AJ3" s="45">
        <v>46046</v>
      </c>
      <c r="AK3" s="45">
        <v>46047</v>
      </c>
      <c r="AL3" s="45">
        <v>46048</v>
      </c>
      <c r="AM3" s="45">
        <v>46049</v>
      </c>
      <c r="AN3" s="45">
        <v>46050</v>
      </c>
      <c r="AO3" s="45">
        <v>46051</v>
      </c>
      <c r="AP3" s="45">
        <v>46052</v>
      </c>
      <c r="AQ3" s="45">
        <v>46053</v>
      </c>
      <c r="AR3" s="45">
        <v>46054</v>
      </c>
      <c r="AS3" s="45">
        <v>46055</v>
      </c>
      <c r="AT3" s="45">
        <v>46056</v>
      </c>
      <c r="AU3" s="45">
        <v>46057</v>
      </c>
      <c r="AV3" s="45">
        <v>46058</v>
      </c>
      <c r="AW3" s="45">
        <v>46059</v>
      </c>
      <c r="AX3" s="45">
        <v>46060</v>
      </c>
      <c r="AY3" s="45">
        <v>46061</v>
      </c>
      <c r="AZ3" s="45">
        <v>46062</v>
      </c>
      <c r="BA3" s="45">
        <v>46063</v>
      </c>
      <c r="BB3" s="45">
        <v>46064</v>
      </c>
      <c r="BC3" s="45">
        <v>46065</v>
      </c>
      <c r="BD3" s="45">
        <v>46066</v>
      </c>
      <c r="BE3" s="45">
        <v>46067</v>
      </c>
      <c r="BF3" s="45">
        <v>46068</v>
      </c>
      <c r="BG3" s="45">
        <v>46069</v>
      </c>
      <c r="BH3" s="45">
        <v>46070</v>
      </c>
      <c r="BI3" s="45">
        <v>46071</v>
      </c>
      <c r="BJ3" s="45">
        <v>46072</v>
      </c>
      <c r="BK3" s="45">
        <v>46073</v>
      </c>
      <c r="BL3" s="45">
        <v>46074</v>
      </c>
      <c r="BM3" s="45">
        <v>46075</v>
      </c>
      <c r="BN3" s="45">
        <v>46076</v>
      </c>
      <c r="BO3" s="45">
        <v>46077</v>
      </c>
      <c r="BP3" s="45">
        <v>46078</v>
      </c>
      <c r="BQ3" s="45">
        <v>46079</v>
      </c>
      <c r="BR3" s="45">
        <v>46080</v>
      </c>
      <c r="BS3" s="45">
        <v>46081</v>
      </c>
      <c r="BT3" s="45">
        <v>46082</v>
      </c>
      <c r="BU3" s="45">
        <v>46083</v>
      </c>
      <c r="BV3" s="45">
        <v>46084</v>
      </c>
      <c r="BW3" s="45">
        <v>46085</v>
      </c>
      <c r="BX3" s="45">
        <v>46086</v>
      </c>
      <c r="BY3" s="45">
        <v>46087</v>
      </c>
      <c r="BZ3" s="45">
        <v>46088</v>
      </c>
      <c r="CA3" s="45">
        <v>46089</v>
      </c>
      <c r="CB3" s="45">
        <v>46090</v>
      </c>
      <c r="CC3" s="45">
        <v>46091</v>
      </c>
      <c r="CD3" s="45">
        <v>46092</v>
      </c>
      <c r="CE3" s="45">
        <v>46093</v>
      </c>
      <c r="CF3" s="45">
        <v>46094</v>
      </c>
      <c r="CG3" s="45">
        <v>46095</v>
      </c>
      <c r="CH3" s="45">
        <v>46096</v>
      </c>
      <c r="CI3" s="45">
        <v>46097</v>
      </c>
      <c r="CJ3" s="45">
        <v>46098</v>
      </c>
      <c r="CK3" s="45">
        <v>46099</v>
      </c>
      <c r="CL3" s="45">
        <v>46100</v>
      </c>
      <c r="CM3" s="45">
        <v>46101</v>
      </c>
      <c r="CN3" s="45">
        <v>46102</v>
      </c>
      <c r="CO3" s="45">
        <v>46103</v>
      </c>
      <c r="CP3" s="45">
        <v>46104</v>
      </c>
      <c r="CQ3" s="45">
        <v>46105</v>
      </c>
      <c r="CR3" s="45">
        <v>46106</v>
      </c>
      <c r="CS3" s="45">
        <v>46107</v>
      </c>
      <c r="CT3" s="45">
        <v>46108</v>
      </c>
      <c r="CU3" s="45">
        <v>46109</v>
      </c>
      <c r="CV3" s="45">
        <v>46110</v>
      </c>
      <c r="CW3" s="45">
        <v>46111</v>
      </c>
      <c r="CX3" s="45">
        <v>46112</v>
      </c>
      <c r="CY3" s="45">
        <v>46113</v>
      </c>
      <c r="CZ3" s="45">
        <v>46114</v>
      </c>
      <c r="DA3" s="45">
        <v>46115</v>
      </c>
      <c r="DB3" s="45">
        <v>46116</v>
      </c>
      <c r="DC3" s="45">
        <v>46117</v>
      </c>
      <c r="DD3" s="45">
        <v>46118</v>
      </c>
      <c r="DE3" s="45">
        <v>46119</v>
      </c>
      <c r="DF3" s="45">
        <v>46120</v>
      </c>
      <c r="DG3" s="45">
        <v>46121</v>
      </c>
      <c r="DH3" s="45">
        <v>46122</v>
      </c>
      <c r="DI3" s="45">
        <v>46123</v>
      </c>
      <c r="DJ3" s="45">
        <v>46124</v>
      </c>
      <c r="DK3" s="45">
        <v>46125</v>
      </c>
      <c r="DL3" s="45">
        <v>46126</v>
      </c>
      <c r="DM3" s="45">
        <v>46127</v>
      </c>
      <c r="DN3" s="45">
        <v>46128</v>
      </c>
      <c r="DO3" s="45">
        <v>46129</v>
      </c>
      <c r="DP3" s="45">
        <v>46130</v>
      </c>
      <c r="DQ3" s="45">
        <v>46131</v>
      </c>
      <c r="DR3" s="45">
        <v>46132</v>
      </c>
      <c r="DS3" s="45">
        <v>46133</v>
      </c>
      <c r="DT3" s="45">
        <v>46134</v>
      </c>
      <c r="DU3" s="45">
        <v>46135</v>
      </c>
      <c r="DV3" s="45">
        <v>46136</v>
      </c>
      <c r="DW3" s="45">
        <v>46137</v>
      </c>
      <c r="DX3" s="45">
        <v>46138</v>
      </c>
      <c r="DY3" s="45">
        <v>46139</v>
      </c>
      <c r="DZ3" s="45">
        <v>46140</v>
      </c>
      <c r="EA3" s="45">
        <v>46141</v>
      </c>
      <c r="EB3" s="45">
        <v>46142</v>
      </c>
      <c r="EC3" s="45">
        <v>46143</v>
      </c>
      <c r="ED3" s="45">
        <v>46144</v>
      </c>
      <c r="EE3" s="45">
        <v>46145</v>
      </c>
      <c r="EF3" s="45">
        <v>46146</v>
      </c>
      <c r="EG3" s="45">
        <v>46147</v>
      </c>
      <c r="EH3" s="45">
        <v>46148</v>
      </c>
      <c r="EI3" s="45">
        <v>46149</v>
      </c>
      <c r="EJ3" s="45">
        <v>46150</v>
      </c>
      <c r="EK3" s="45">
        <v>46151</v>
      </c>
      <c r="EL3" s="45">
        <v>46152</v>
      </c>
      <c r="EM3" s="45">
        <v>46153</v>
      </c>
      <c r="EN3" s="45">
        <v>46154</v>
      </c>
      <c r="EO3" s="45">
        <v>46155</v>
      </c>
      <c r="EP3" s="45">
        <v>46156</v>
      </c>
      <c r="EQ3" s="45">
        <v>46157</v>
      </c>
      <c r="ER3" s="45">
        <v>46158</v>
      </c>
      <c r="ES3" s="45">
        <v>46159</v>
      </c>
      <c r="ET3" s="45">
        <v>46160</v>
      </c>
      <c r="EU3" s="45">
        <v>46161</v>
      </c>
      <c r="EV3" s="45">
        <v>46162</v>
      </c>
      <c r="EW3" s="45">
        <v>46163</v>
      </c>
      <c r="EX3" s="45">
        <v>46164</v>
      </c>
      <c r="EY3" s="45">
        <v>46165</v>
      </c>
      <c r="EZ3" s="45">
        <v>46166</v>
      </c>
      <c r="FA3" s="45">
        <v>46167</v>
      </c>
      <c r="FB3" s="45">
        <v>46168</v>
      </c>
      <c r="FC3" s="45">
        <v>46169</v>
      </c>
      <c r="FD3" s="45">
        <v>46170</v>
      </c>
      <c r="FE3" s="45">
        <v>46171</v>
      </c>
      <c r="FF3" s="45">
        <v>46172</v>
      </c>
      <c r="FG3" s="45">
        <v>46173</v>
      </c>
      <c r="FH3" s="45">
        <v>46174</v>
      </c>
      <c r="FI3" s="45">
        <v>46175</v>
      </c>
      <c r="FJ3" s="45">
        <v>46176</v>
      </c>
      <c r="FK3" s="45">
        <v>46177</v>
      </c>
      <c r="FL3" s="45">
        <v>46178</v>
      </c>
      <c r="FM3" s="45">
        <v>46179</v>
      </c>
      <c r="FN3" s="45">
        <v>46180</v>
      </c>
      <c r="FO3" s="45">
        <v>46181</v>
      </c>
      <c r="FP3" s="45">
        <v>46182</v>
      </c>
      <c r="FQ3" s="45">
        <v>46183</v>
      </c>
      <c r="FR3" s="45">
        <v>46184</v>
      </c>
      <c r="FS3" s="45">
        <v>46185</v>
      </c>
      <c r="FT3" s="45">
        <v>46186</v>
      </c>
      <c r="FU3" s="45">
        <v>46187</v>
      </c>
      <c r="FV3" s="45">
        <v>46188</v>
      </c>
      <c r="FW3" s="45">
        <v>46189</v>
      </c>
      <c r="FX3" s="45">
        <v>46190</v>
      </c>
      <c r="FY3" s="45">
        <v>46191</v>
      </c>
      <c r="FZ3" s="45">
        <v>46192</v>
      </c>
      <c r="GA3" s="45">
        <v>46193</v>
      </c>
      <c r="GB3" s="45">
        <v>46194</v>
      </c>
      <c r="GC3" s="45">
        <v>46195</v>
      </c>
      <c r="GD3" s="45">
        <v>46196</v>
      </c>
      <c r="GE3" s="45">
        <v>46197</v>
      </c>
      <c r="GF3" s="45">
        <v>46198</v>
      </c>
      <c r="GG3" s="45">
        <v>46199</v>
      </c>
      <c r="GH3" s="45">
        <v>46200</v>
      </c>
      <c r="GI3" s="45">
        <v>46201</v>
      </c>
      <c r="GJ3" s="45">
        <v>46202</v>
      </c>
      <c r="GK3" s="45">
        <v>46203</v>
      </c>
      <c r="GL3" s="45">
        <v>46204</v>
      </c>
      <c r="GM3" s="45">
        <v>46205</v>
      </c>
      <c r="GN3" s="45">
        <v>46206</v>
      </c>
      <c r="GO3" s="45">
        <v>46207</v>
      </c>
      <c r="GP3" s="45">
        <v>46208</v>
      </c>
      <c r="GQ3" s="45">
        <v>46209</v>
      </c>
      <c r="GR3" s="45">
        <v>46210</v>
      </c>
      <c r="GS3" s="45">
        <v>46211</v>
      </c>
      <c r="GT3" s="45">
        <v>46212</v>
      </c>
      <c r="GU3" s="45">
        <v>46213</v>
      </c>
      <c r="GV3" s="45">
        <v>46214</v>
      </c>
      <c r="GW3" s="45">
        <v>46215</v>
      </c>
      <c r="GX3" s="45">
        <v>46216</v>
      </c>
      <c r="GY3" s="45">
        <v>46217</v>
      </c>
      <c r="GZ3" s="45">
        <v>46218</v>
      </c>
      <c r="HA3" s="45">
        <v>46219</v>
      </c>
      <c r="HB3" s="45">
        <v>46220</v>
      </c>
      <c r="HC3" s="45">
        <v>46221</v>
      </c>
      <c r="HD3" s="45">
        <v>46222</v>
      </c>
      <c r="HE3" s="45">
        <v>46223</v>
      </c>
      <c r="HF3" s="45">
        <v>46224</v>
      </c>
      <c r="HG3" s="45">
        <v>46225</v>
      </c>
      <c r="HH3" s="45">
        <v>46226</v>
      </c>
      <c r="HI3" s="45">
        <v>46227</v>
      </c>
      <c r="HJ3" s="45">
        <v>46228</v>
      </c>
      <c r="HK3" s="45">
        <v>46229</v>
      </c>
      <c r="HL3" s="45">
        <v>46230</v>
      </c>
      <c r="HM3" s="45">
        <v>46231</v>
      </c>
      <c r="HN3" s="45">
        <v>46232</v>
      </c>
      <c r="HO3" s="45">
        <v>46233</v>
      </c>
      <c r="HP3" s="45">
        <v>46234</v>
      </c>
      <c r="HQ3" s="45">
        <v>46235</v>
      </c>
      <c r="HR3" s="45">
        <v>46236</v>
      </c>
      <c r="HS3" s="45">
        <v>46237</v>
      </c>
      <c r="HT3" s="45">
        <v>46238</v>
      </c>
      <c r="HU3" s="45">
        <v>46239</v>
      </c>
      <c r="HV3" s="45">
        <v>46240</v>
      </c>
      <c r="HW3" s="45">
        <v>46241</v>
      </c>
      <c r="HX3" s="45">
        <v>46242</v>
      </c>
      <c r="HY3" s="45">
        <v>46243</v>
      </c>
      <c r="HZ3" s="45">
        <v>46244</v>
      </c>
      <c r="IA3" s="45">
        <v>46245</v>
      </c>
      <c r="IB3" s="45">
        <v>46246</v>
      </c>
      <c r="IC3" s="45">
        <v>46247</v>
      </c>
      <c r="ID3" s="45">
        <v>46248</v>
      </c>
      <c r="IE3" s="45">
        <v>46249</v>
      </c>
      <c r="IF3" s="45">
        <v>46250</v>
      </c>
      <c r="IG3" s="45">
        <v>46251</v>
      </c>
      <c r="IH3" s="45">
        <v>46252</v>
      </c>
      <c r="II3" s="45">
        <v>46253</v>
      </c>
      <c r="IJ3" s="45">
        <v>46254</v>
      </c>
      <c r="IK3" s="45">
        <v>46255</v>
      </c>
      <c r="IL3" s="45">
        <v>46256</v>
      </c>
      <c r="IM3" s="45">
        <v>46257</v>
      </c>
      <c r="IN3" s="45">
        <v>46258</v>
      </c>
      <c r="IO3" s="45">
        <v>46259</v>
      </c>
      <c r="IP3" s="45">
        <v>46260</v>
      </c>
      <c r="IQ3" s="45">
        <v>46261</v>
      </c>
      <c r="IR3" s="45">
        <v>46262</v>
      </c>
      <c r="IS3" s="45">
        <v>46263</v>
      </c>
      <c r="IT3" s="45">
        <v>46264</v>
      </c>
      <c r="IU3" s="45">
        <v>46265</v>
      </c>
      <c r="IV3" s="45">
        <v>46266</v>
      </c>
      <c r="IW3" s="45">
        <v>46267</v>
      </c>
      <c r="IX3" s="45">
        <v>46268</v>
      </c>
      <c r="IY3" s="45">
        <v>46269</v>
      </c>
      <c r="IZ3" s="45">
        <v>46270</v>
      </c>
      <c r="JA3" s="45">
        <v>46271</v>
      </c>
      <c r="JB3" s="45">
        <v>46272</v>
      </c>
      <c r="JC3" s="45">
        <v>46273</v>
      </c>
      <c r="JD3" s="45">
        <v>46274</v>
      </c>
      <c r="JE3" s="45">
        <v>46275</v>
      </c>
      <c r="JF3" s="45">
        <v>46276</v>
      </c>
      <c r="JG3" s="45">
        <v>46277</v>
      </c>
      <c r="JH3" s="45">
        <v>46278</v>
      </c>
      <c r="JI3" s="45">
        <v>46279</v>
      </c>
      <c r="JJ3" s="45">
        <v>46280</v>
      </c>
      <c r="JK3" s="45">
        <v>46281</v>
      </c>
      <c r="JL3" s="45">
        <v>46282</v>
      </c>
      <c r="JM3" s="45">
        <v>46283</v>
      </c>
      <c r="JN3" s="45">
        <v>46284</v>
      </c>
      <c r="JO3" s="45">
        <v>46285</v>
      </c>
      <c r="JP3" s="45">
        <v>46286</v>
      </c>
      <c r="JQ3" s="45">
        <v>46287</v>
      </c>
      <c r="JR3" s="45">
        <v>46288</v>
      </c>
      <c r="JS3" s="45">
        <v>46289</v>
      </c>
      <c r="JT3" s="45">
        <v>46290</v>
      </c>
      <c r="JU3" s="45">
        <v>46291</v>
      </c>
      <c r="JV3" s="45">
        <v>46292</v>
      </c>
      <c r="JW3" s="45">
        <v>46293</v>
      </c>
      <c r="JX3" s="45">
        <v>46294</v>
      </c>
      <c r="JY3" s="45">
        <v>46295</v>
      </c>
      <c r="JZ3" s="45">
        <v>46296</v>
      </c>
      <c r="KA3" s="45">
        <v>46297</v>
      </c>
      <c r="KB3" s="45">
        <v>46298</v>
      </c>
      <c r="KC3" s="45">
        <v>46299</v>
      </c>
      <c r="KD3" s="45">
        <v>46300</v>
      </c>
      <c r="KE3" s="45">
        <v>46301</v>
      </c>
      <c r="KF3" s="45">
        <v>46302</v>
      </c>
      <c r="KG3" s="45">
        <v>46303</v>
      </c>
      <c r="KH3" s="45">
        <v>46304</v>
      </c>
      <c r="KI3" s="45">
        <v>46305</v>
      </c>
      <c r="KJ3" s="45">
        <v>46306</v>
      </c>
      <c r="KK3" s="45">
        <v>46307</v>
      </c>
      <c r="KL3" s="45">
        <v>46308</v>
      </c>
      <c r="KM3" s="45">
        <v>46309</v>
      </c>
      <c r="KN3" s="45">
        <v>46310</v>
      </c>
      <c r="KO3" s="45">
        <v>46311</v>
      </c>
      <c r="KP3" s="45">
        <v>46312</v>
      </c>
      <c r="KQ3" s="45">
        <v>46313</v>
      </c>
      <c r="KR3" s="45">
        <v>46314</v>
      </c>
      <c r="KS3" s="45">
        <v>46315</v>
      </c>
      <c r="KT3" s="45">
        <v>46316</v>
      </c>
      <c r="KU3" s="45">
        <v>46317</v>
      </c>
      <c r="KV3" s="45">
        <v>46318</v>
      </c>
      <c r="KW3" s="45">
        <v>46319</v>
      </c>
      <c r="KX3" s="45">
        <v>46320</v>
      </c>
      <c r="KY3" s="45">
        <v>46321</v>
      </c>
      <c r="KZ3" s="45">
        <v>46322</v>
      </c>
      <c r="LA3" s="45">
        <v>46323</v>
      </c>
      <c r="LB3" s="45">
        <v>46324</v>
      </c>
      <c r="LC3" s="45">
        <v>46325</v>
      </c>
      <c r="LD3" s="45">
        <v>46326</v>
      </c>
      <c r="LE3" s="45">
        <v>46327</v>
      </c>
      <c r="LF3" s="45">
        <v>46328</v>
      </c>
      <c r="LG3" s="45">
        <v>46329</v>
      </c>
      <c r="LH3" s="45">
        <v>46330</v>
      </c>
      <c r="LI3" s="45">
        <v>46331</v>
      </c>
      <c r="LJ3" s="45">
        <v>46332</v>
      </c>
      <c r="LK3" s="45">
        <v>46333</v>
      </c>
      <c r="LL3" s="45">
        <v>46334</v>
      </c>
      <c r="LM3" s="45">
        <v>46335</v>
      </c>
      <c r="LN3" s="45">
        <v>46336</v>
      </c>
      <c r="LO3" s="45">
        <v>46337</v>
      </c>
      <c r="LP3" s="45">
        <v>46338</v>
      </c>
      <c r="LQ3" s="45">
        <v>46339</v>
      </c>
      <c r="LR3" s="45">
        <v>46340</v>
      </c>
      <c r="LS3" s="45">
        <v>46341</v>
      </c>
      <c r="LT3" s="45">
        <v>46342</v>
      </c>
      <c r="LU3" s="45">
        <v>46343</v>
      </c>
      <c r="LV3" s="45">
        <v>46344</v>
      </c>
      <c r="LW3" s="45">
        <v>46345</v>
      </c>
      <c r="LX3" s="45">
        <v>46346</v>
      </c>
      <c r="LY3" s="45">
        <v>46347</v>
      </c>
      <c r="LZ3" s="45">
        <v>46348</v>
      </c>
      <c r="MA3" s="45">
        <v>46349</v>
      </c>
      <c r="MB3" s="45">
        <v>46350</v>
      </c>
      <c r="MC3" s="45">
        <v>46351</v>
      </c>
      <c r="MD3" s="45">
        <v>46352</v>
      </c>
      <c r="ME3" s="45">
        <v>46353</v>
      </c>
      <c r="MF3" s="45">
        <v>46354</v>
      </c>
      <c r="MG3" s="45">
        <v>46355</v>
      </c>
      <c r="MH3" s="45">
        <v>46356</v>
      </c>
      <c r="MI3" s="45">
        <v>46357</v>
      </c>
      <c r="MJ3" s="45">
        <v>46358</v>
      </c>
      <c r="MK3" s="45">
        <v>46359</v>
      </c>
      <c r="ML3" s="45">
        <v>46360</v>
      </c>
      <c r="MM3" s="45">
        <v>46361</v>
      </c>
      <c r="MN3" s="45">
        <v>46362</v>
      </c>
      <c r="MO3" s="45">
        <v>46363</v>
      </c>
      <c r="MP3" s="45">
        <v>46364</v>
      </c>
      <c r="MQ3" s="45">
        <v>46365</v>
      </c>
      <c r="MR3" s="45">
        <v>46366</v>
      </c>
      <c r="MS3" s="45">
        <v>46367</v>
      </c>
      <c r="MT3" s="45">
        <v>46368</v>
      </c>
      <c r="MU3" s="45">
        <v>46369</v>
      </c>
      <c r="MV3" s="45">
        <v>46370</v>
      </c>
      <c r="MW3" s="45">
        <v>46371</v>
      </c>
      <c r="MX3" s="45">
        <v>46372</v>
      </c>
      <c r="MY3" s="45">
        <v>46373</v>
      </c>
      <c r="MZ3" s="45">
        <v>46374</v>
      </c>
      <c r="NA3" s="45">
        <v>46375</v>
      </c>
      <c r="NB3" s="45">
        <v>46376</v>
      </c>
      <c r="NC3" s="45">
        <v>46377</v>
      </c>
      <c r="ND3" s="45">
        <v>46378</v>
      </c>
      <c r="NE3" s="45">
        <v>46379</v>
      </c>
      <c r="NF3" s="45">
        <v>46380</v>
      </c>
      <c r="NG3" s="45">
        <v>46381</v>
      </c>
      <c r="NH3" s="45">
        <v>46382</v>
      </c>
      <c r="NI3" s="45">
        <v>46383</v>
      </c>
      <c r="NJ3" s="45">
        <v>46384</v>
      </c>
      <c r="NK3" s="45">
        <v>46385</v>
      </c>
      <c r="NL3" s="45">
        <v>46386</v>
      </c>
      <c r="NM3" s="45">
        <v>46387</v>
      </c>
      <c r="NN3" s="45">
        <v>46388</v>
      </c>
      <c r="NO3" s="45">
        <v>46389</v>
      </c>
      <c r="NP3" s="45">
        <v>46390</v>
      </c>
      <c r="NQ3" s="60" t="s">
        <v>245</v>
      </c>
      <c r="NR3" s="61" t="s">
        <v>246</v>
      </c>
      <c r="NS3" s="94" t="s">
        <v>247</v>
      </c>
      <c r="NT3" s="62" t="s">
        <v>248</v>
      </c>
      <c r="NU3" s="3" t="s">
        <v>205</v>
      </c>
      <c r="NV3" s="3" t="s">
        <v>249</v>
      </c>
      <c r="NW3" s="3" t="s">
        <v>250</v>
      </c>
      <c r="NX3" s="3" t="s">
        <v>251</v>
      </c>
      <c r="NY3" s="76" t="s">
        <v>252</v>
      </c>
      <c r="NZ3" s="76" t="s">
        <v>253</v>
      </c>
      <c r="OA3" s="172" t="s">
        <v>254</v>
      </c>
      <c r="OB3" s="150"/>
      <c r="OC3" s="150"/>
      <c r="OD3" s="150"/>
      <c r="OE3" s="150"/>
      <c r="OF3" s="150"/>
      <c r="OG3" s="150"/>
      <c r="OH3" s="150"/>
      <c r="OI3" s="150"/>
      <c r="OJ3" s="150"/>
      <c r="OK3" s="150"/>
      <c r="OL3" s="150"/>
      <c r="OM3" s="150"/>
      <c r="ON3" s="150"/>
      <c r="OO3" s="150"/>
      <c r="OP3" s="150"/>
      <c r="OQ3" s="150"/>
      <c r="OR3" s="150"/>
      <c r="OS3" s="150"/>
      <c r="OT3" s="150"/>
      <c r="OU3" s="150"/>
      <c r="OV3" s="150"/>
      <c r="OW3" s="150"/>
      <c r="OX3" s="150"/>
      <c r="OY3" s="150"/>
      <c r="OZ3" s="150"/>
      <c r="PA3" s="150"/>
      <c r="PB3" s="150"/>
      <c r="PC3" s="150"/>
      <c r="PD3" s="150"/>
      <c r="PE3" s="150"/>
      <c r="PF3" s="150"/>
      <c r="PG3" s="150"/>
      <c r="PH3" s="150"/>
      <c r="PI3" s="150"/>
      <c r="PJ3" s="150"/>
      <c r="PK3" s="150"/>
      <c r="PL3" s="150"/>
      <c r="PM3" s="150"/>
      <c r="PN3" s="150"/>
      <c r="PO3" s="150"/>
      <c r="PP3" s="150"/>
      <c r="PQ3" s="150"/>
      <c r="PR3" s="150"/>
      <c r="PS3" s="150"/>
      <c r="PT3" s="150"/>
      <c r="PU3" s="150"/>
      <c r="PV3" s="150"/>
      <c r="PW3" s="150"/>
      <c r="PX3" s="150"/>
      <c r="PY3" s="150"/>
      <c r="PZ3" s="150"/>
      <c r="QA3" s="150"/>
      <c r="QB3" s="150"/>
      <c r="QC3" s="150"/>
      <c r="QD3" s="150"/>
      <c r="QE3" s="150"/>
      <c r="QF3" s="150"/>
      <c r="QG3" s="178"/>
    </row>
    <row r="4" spans="1:449" s="79" customFormat="1" ht="13.15" customHeight="1">
      <c r="A4" s="83" t="s">
        <v>210</v>
      </c>
      <c r="B4" s="83" t="s">
        <v>210</v>
      </c>
      <c r="C4" s="83"/>
      <c r="D4" s="83"/>
      <c r="E4" s="83"/>
      <c r="F4" s="202" t="s">
        <v>255</v>
      </c>
      <c r="G4" s="203"/>
      <c r="H4" s="83"/>
      <c r="I4" s="83"/>
      <c r="K4" s="83" t="s">
        <v>210</v>
      </c>
      <c r="M4" s="84" t="s">
        <v>256</v>
      </c>
      <c r="N4" s="83" t="s">
        <v>210</v>
      </c>
      <c r="O4" s="83" t="s">
        <v>210</v>
      </c>
      <c r="P4" s="83" t="s">
        <v>210</v>
      </c>
      <c r="Q4" s="83" t="s">
        <v>210</v>
      </c>
      <c r="R4" s="83" t="s">
        <v>210</v>
      </c>
      <c r="S4" s="83" t="s">
        <v>210</v>
      </c>
      <c r="T4" s="83" t="s">
        <v>210</v>
      </c>
      <c r="U4" s="83" t="s">
        <v>210</v>
      </c>
      <c r="V4" s="83" t="s">
        <v>210</v>
      </c>
      <c r="W4" s="83" t="s">
        <v>210</v>
      </c>
      <c r="X4" s="83" t="s">
        <v>210</v>
      </c>
      <c r="Y4" s="83" t="s">
        <v>210</v>
      </c>
      <c r="Z4" s="83" t="s">
        <v>210</v>
      </c>
      <c r="AA4" s="83" t="s">
        <v>210</v>
      </c>
      <c r="AB4" s="83" t="s">
        <v>210</v>
      </c>
      <c r="AC4" s="83" t="s">
        <v>210</v>
      </c>
      <c r="AD4" s="83" t="s">
        <v>210</v>
      </c>
      <c r="AE4" s="83" t="s">
        <v>210</v>
      </c>
      <c r="AF4" s="83" t="s">
        <v>210</v>
      </c>
      <c r="AG4" s="83" t="s">
        <v>210</v>
      </c>
      <c r="AH4" s="83" t="s">
        <v>210</v>
      </c>
      <c r="AI4" s="83" t="s">
        <v>210</v>
      </c>
      <c r="AJ4" s="83" t="s">
        <v>210</v>
      </c>
      <c r="AK4" s="83" t="s">
        <v>210</v>
      </c>
      <c r="AL4" s="83" t="s">
        <v>210</v>
      </c>
      <c r="AM4" s="83" t="s">
        <v>210</v>
      </c>
      <c r="AN4" s="83" t="s">
        <v>210</v>
      </c>
      <c r="AO4" s="83" t="s">
        <v>210</v>
      </c>
      <c r="AP4" s="83" t="s">
        <v>210</v>
      </c>
      <c r="AQ4" s="83" t="s">
        <v>210</v>
      </c>
      <c r="AR4" s="83" t="s">
        <v>210</v>
      </c>
      <c r="AS4" s="83" t="s">
        <v>210</v>
      </c>
      <c r="AT4" s="83" t="s">
        <v>210</v>
      </c>
      <c r="AU4" s="83" t="s">
        <v>210</v>
      </c>
      <c r="AV4" s="83" t="s">
        <v>210</v>
      </c>
      <c r="AW4" s="83" t="s">
        <v>210</v>
      </c>
      <c r="AX4" s="83" t="s">
        <v>210</v>
      </c>
      <c r="AY4" s="83" t="s">
        <v>210</v>
      </c>
      <c r="BE4" s="202" t="s">
        <v>257</v>
      </c>
      <c r="BF4" s="204"/>
      <c r="BG4" s="204"/>
      <c r="BH4" s="204"/>
      <c r="BI4" s="204"/>
      <c r="BJ4" s="204"/>
      <c r="BK4" s="204"/>
      <c r="BL4" s="204"/>
      <c r="BM4" s="203"/>
      <c r="BV4" s="83" t="s">
        <v>210</v>
      </c>
      <c r="BW4" s="83" t="s">
        <v>210</v>
      </c>
      <c r="BX4" s="83" t="s">
        <v>210</v>
      </c>
      <c r="BY4" s="83" t="s">
        <v>210</v>
      </c>
      <c r="BZ4" s="83" t="s">
        <v>210</v>
      </c>
      <c r="CA4" s="83" t="s">
        <v>210</v>
      </c>
      <c r="CB4" s="83" t="s">
        <v>210</v>
      </c>
      <c r="CC4" s="83" t="s">
        <v>210</v>
      </c>
      <c r="CD4" s="83" t="s">
        <v>210</v>
      </c>
      <c r="CE4" s="83" t="s">
        <v>210</v>
      </c>
      <c r="CF4" s="83" t="s">
        <v>210</v>
      </c>
      <c r="CG4" s="83" t="s">
        <v>210</v>
      </c>
      <c r="CH4" s="83" t="s">
        <v>210</v>
      </c>
      <c r="CI4" s="83" t="s">
        <v>210</v>
      </c>
      <c r="CJ4" s="83" t="s">
        <v>210</v>
      </c>
      <c r="CK4" s="83" t="s">
        <v>210</v>
      </c>
      <c r="CL4" s="83" t="s">
        <v>210</v>
      </c>
      <c r="CM4" s="83" t="s">
        <v>210</v>
      </c>
      <c r="CN4" s="83" t="s">
        <v>210</v>
      </c>
      <c r="CQ4" s="83" t="s">
        <v>210</v>
      </c>
      <c r="CR4" s="83" t="s">
        <v>210</v>
      </c>
      <c r="CS4" s="83" t="s">
        <v>210</v>
      </c>
      <c r="CT4" s="83" t="s">
        <v>210</v>
      </c>
      <c r="CU4" s="216" t="s">
        <v>258</v>
      </c>
      <c r="CV4" s="216"/>
      <c r="CW4" s="83" t="s">
        <v>210</v>
      </c>
      <c r="CX4" s="83" t="s">
        <v>210</v>
      </c>
      <c r="CY4" s="83" t="s">
        <v>210</v>
      </c>
      <c r="CZ4" s="83" t="s">
        <v>210</v>
      </c>
      <c r="DA4" s="84" t="s">
        <v>195</v>
      </c>
      <c r="DB4" s="83" t="s">
        <v>210</v>
      </c>
      <c r="DC4" s="205" t="s">
        <v>259</v>
      </c>
      <c r="DD4" s="205"/>
      <c r="DF4" s="83" t="s">
        <v>210</v>
      </c>
      <c r="DG4" s="83" t="s">
        <v>210</v>
      </c>
      <c r="DH4" s="83" t="s">
        <v>210</v>
      </c>
      <c r="DI4" s="83" t="s">
        <v>210</v>
      </c>
      <c r="DJ4" s="83" t="s">
        <v>210</v>
      </c>
      <c r="DK4" s="83" t="s">
        <v>210</v>
      </c>
      <c r="DL4" s="83" t="s">
        <v>210</v>
      </c>
      <c r="DM4" s="83"/>
      <c r="DN4" s="83" t="s">
        <v>210</v>
      </c>
      <c r="DP4" s="83"/>
      <c r="DS4" s="83" t="s">
        <v>210</v>
      </c>
      <c r="DT4" s="83" t="s">
        <v>210</v>
      </c>
      <c r="DU4" s="83" t="s">
        <v>210</v>
      </c>
      <c r="DW4" s="207" t="s">
        <v>260</v>
      </c>
      <c r="DX4" s="208"/>
      <c r="DY4" s="208"/>
      <c r="DZ4" s="208"/>
      <c r="EA4" s="208"/>
      <c r="EB4" s="208"/>
      <c r="EC4" s="208"/>
      <c r="ED4" s="208"/>
      <c r="EE4" s="209"/>
      <c r="EG4" s="84" t="s">
        <v>261</v>
      </c>
      <c r="EH4" s="83" t="s">
        <v>210</v>
      </c>
      <c r="EJ4" s="83" t="s">
        <v>210</v>
      </c>
      <c r="EK4" s="83" t="s">
        <v>210</v>
      </c>
      <c r="EL4" s="83" t="s">
        <v>210</v>
      </c>
      <c r="EM4" s="83" t="s">
        <v>210</v>
      </c>
      <c r="EN4" s="83" t="s">
        <v>210</v>
      </c>
      <c r="EO4" s="83" t="s">
        <v>210</v>
      </c>
      <c r="EP4" s="84" t="s">
        <v>199</v>
      </c>
      <c r="ER4" s="83" t="s">
        <v>210</v>
      </c>
      <c r="EU4" s="83" t="s">
        <v>210</v>
      </c>
      <c r="EV4" s="83" t="s">
        <v>210</v>
      </c>
      <c r="EW4" s="83" t="s">
        <v>210</v>
      </c>
      <c r="EX4" s="83" t="s">
        <v>210</v>
      </c>
      <c r="EY4" s="83" t="s">
        <v>210</v>
      </c>
      <c r="EZ4" s="205" t="s">
        <v>262</v>
      </c>
      <c r="FA4" s="205"/>
      <c r="FC4" s="83" t="s">
        <v>210</v>
      </c>
      <c r="FE4" s="83" t="s">
        <v>210</v>
      </c>
      <c r="FF4" s="83" t="s">
        <v>210</v>
      </c>
      <c r="FG4" s="83" t="s">
        <v>210</v>
      </c>
      <c r="FH4" s="83" t="s">
        <v>210</v>
      </c>
      <c r="FI4" s="217" t="s">
        <v>210</v>
      </c>
      <c r="FJ4" s="217"/>
      <c r="FK4" s="83" t="s">
        <v>210</v>
      </c>
      <c r="FL4" s="83" t="s">
        <v>210</v>
      </c>
      <c r="FM4" s="83" t="s">
        <v>210</v>
      </c>
      <c r="FP4" s="83" t="s">
        <v>210</v>
      </c>
      <c r="FQ4" s="83" t="s">
        <v>210</v>
      </c>
      <c r="FR4" s="83" t="s">
        <v>210</v>
      </c>
      <c r="FS4" s="83" t="s">
        <v>210</v>
      </c>
      <c r="FT4" s="83" t="s">
        <v>210</v>
      </c>
      <c r="FU4" s="83" t="s">
        <v>210</v>
      </c>
      <c r="FV4" s="83" t="s">
        <v>210</v>
      </c>
      <c r="FW4" s="83" t="s">
        <v>210</v>
      </c>
      <c r="FX4" s="83" t="s">
        <v>210</v>
      </c>
      <c r="FY4" s="83" t="s">
        <v>210</v>
      </c>
      <c r="FZ4" s="83" t="s">
        <v>210</v>
      </c>
      <c r="GA4" s="83"/>
      <c r="GB4" s="83" t="s">
        <v>210</v>
      </c>
      <c r="GC4" s="83" t="s">
        <v>210</v>
      </c>
      <c r="GD4" s="83" t="s">
        <v>210</v>
      </c>
      <c r="GE4" s="83" t="s">
        <v>210</v>
      </c>
      <c r="GF4" s="83" t="s">
        <v>210</v>
      </c>
      <c r="GG4" s="83" t="s">
        <v>210</v>
      </c>
      <c r="GH4" s="83" t="s">
        <v>210</v>
      </c>
      <c r="GI4" s="83" t="s">
        <v>210</v>
      </c>
      <c r="GJ4" s="83" t="s">
        <v>210</v>
      </c>
      <c r="GK4" s="83" t="s">
        <v>210</v>
      </c>
      <c r="GL4" s="83" t="s">
        <v>210</v>
      </c>
      <c r="GM4" s="83" t="s">
        <v>210</v>
      </c>
      <c r="GN4" s="83" t="s">
        <v>210</v>
      </c>
      <c r="GO4" s="202" t="s">
        <v>263</v>
      </c>
      <c r="GP4" s="204"/>
      <c r="GQ4" s="204"/>
      <c r="GR4" s="204"/>
      <c r="GS4" s="204"/>
      <c r="GT4" s="204"/>
      <c r="GU4" s="204"/>
      <c r="GV4" s="204"/>
      <c r="GW4" s="204"/>
      <c r="GX4" s="204"/>
      <c r="GY4" s="204"/>
      <c r="GZ4" s="204"/>
      <c r="HA4" s="204"/>
      <c r="HB4" s="204"/>
      <c r="HC4" s="204"/>
      <c r="HD4" s="204"/>
      <c r="HE4" s="204"/>
      <c r="HF4" s="204"/>
      <c r="HG4" s="204"/>
      <c r="HH4" s="204"/>
      <c r="HI4" s="204"/>
      <c r="HJ4" s="204"/>
      <c r="HK4" s="204"/>
      <c r="HL4" s="204"/>
      <c r="HM4" s="204"/>
      <c r="HN4" s="204"/>
      <c r="HO4" s="204"/>
      <c r="HP4" s="204"/>
      <c r="HQ4" s="204"/>
      <c r="HR4" s="204"/>
      <c r="HS4" s="204"/>
      <c r="HT4" s="204"/>
      <c r="HU4" s="204"/>
      <c r="HV4" s="204"/>
      <c r="HW4" s="204"/>
      <c r="HX4" s="204"/>
      <c r="HY4" s="204"/>
      <c r="HZ4" s="204"/>
      <c r="IA4" s="204"/>
      <c r="IB4" s="204"/>
      <c r="IC4" s="204"/>
      <c r="ID4" s="204"/>
      <c r="IE4" s="204"/>
      <c r="IF4" s="203"/>
      <c r="IN4" s="83"/>
      <c r="IO4" s="83"/>
      <c r="IU4" s="83" t="s">
        <v>210</v>
      </c>
      <c r="IV4" s="83" t="s">
        <v>210</v>
      </c>
      <c r="IW4" s="83" t="s">
        <v>210</v>
      </c>
      <c r="IX4" s="83" t="s">
        <v>210</v>
      </c>
      <c r="IY4" s="83" t="s">
        <v>210</v>
      </c>
      <c r="IZ4" s="83" t="s">
        <v>210</v>
      </c>
      <c r="JA4" s="83" t="s">
        <v>210</v>
      </c>
      <c r="JB4" s="83" t="s">
        <v>210</v>
      </c>
      <c r="JC4" s="83" t="s">
        <v>210</v>
      </c>
      <c r="JD4" s="83" t="s">
        <v>210</v>
      </c>
      <c r="JE4" s="83" t="s">
        <v>210</v>
      </c>
      <c r="JF4" s="83" t="s">
        <v>210</v>
      </c>
      <c r="JG4" s="83" t="s">
        <v>210</v>
      </c>
      <c r="JH4" s="83" t="s">
        <v>210</v>
      </c>
      <c r="JI4" s="83" t="s">
        <v>210</v>
      </c>
      <c r="JJ4" s="83" t="s">
        <v>210</v>
      </c>
      <c r="JK4" s="83" t="s">
        <v>210</v>
      </c>
      <c r="JL4" s="83" t="s">
        <v>210</v>
      </c>
      <c r="JM4" s="83" t="s">
        <v>210</v>
      </c>
      <c r="JN4" s="83"/>
      <c r="JO4" s="83"/>
      <c r="JP4" s="83" t="s">
        <v>210</v>
      </c>
      <c r="JQ4" s="83" t="s">
        <v>210</v>
      </c>
      <c r="JR4" s="87" t="s">
        <v>210</v>
      </c>
      <c r="JS4" s="83" t="s">
        <v>210</v>
      </c>
      <c r="JT4" s="83" t="s">
        <v>210</v>
      </c>
      <c r="JU4" s="83" t="s">
        <v>210</v>
      </c>
      <c r="JV4" s="83" t="s">
        <v>210</v>
      </c>
      <c r="JW4" s="83" t="s">
        <v>210</v>
      </c>
      <c r="JX4" s="83" t="s">
        <v>210</v>
      </c>
      <c r="JY4" s="83" t="s">
        <v>210</v>
      </c>
      <c r="JZ4" s="83" t="s">
        <v>210</v>
      </c>
      <c r="KA4" s="83" t="s">
        <v>210</v>
      </c>
      <c r="KB4" s="83" t="s">
        <v>210</v>
      </c>
      <c r="KC4" s="83" t="s">
        <v>210</v>
      </c>
      <c r="KD4" s="83" t="s">
        <v>210</v>
      </c>
      <c r="KE4" s="83" t="s">
        <v>210</v>
      </c>
      <c r="KF4" s="83" t="s">
        <v>210</v>
      </c>
      <c r="KG4" s="83" t="s">
        <v>210</v>
      </c>
      <c r="KH4" s="83" t="s">
        <v>210</v>
      </c>
      <c r="KI4" s="83" t="s">
        <v>210</v>
      </c>
      <c r="KJ4" s="83" t="s">
        <v>210</v>
      </c>
      <c r="KK4" s="83" t="s">
        <v>210</v>
      </c>
      <c r="KW4" s="206" t="s">
        <v>264</v>
      </c>
      <c r="KX4" s="206"/>
      <c r="LF4" s="83" t="s">
        <v>210</v>
      </c>
      <c r="LG4" s="83" t="s">
        <v>210</v>
      </c>
      <c r="LH4" s="83" t="s">
        <v>210</v>
      </c>
      <c r="LI4" s="83" t="s">
        <v>210</v>
      </c>
      <c r="LJ4" s="83" t="s">
        <v>210</v>
      </c>
      <c r="LK4" s="83" t="s">
        <v>210</v>
      </c>
      <c r="LL4" s="83" t="s">
        <v>210</v>
      </c>
      <c r="LM4" s="83" t="s">
        <v>210</v>
      </c>
      <c r="LN4" s="83" t="s">
        <v>210</v>
      </c>
      <c r="LO4" s="83" t="s">
        <v>210</v>
      </c>
      <c r="LP4" s="83" t="s">
        <v>210</v>
      </c>
      <c r="LQ4" s="83" t="s">
        <v>210</v>
      </c>
      <c r="LR4" s="83"/>
      <c r="LS4" s="83"/>
      <c r="LT4" s="83" t="s">
        <v>210</v>
      </c>
      <c r="LU4" s="83" t="s">
        <v>210</v>
      </c>
      <c r="LV4" s="83" t="s">
        <v>210</v>
      </c>
      <c r="LW4" s="83" t="s">
        <v>210</v>
      </c>
      <c r="LX4" s="83" t="s">
        <v>210</v>
      </c>
      <c r="LY4" s="83" t="s">
        <v>210</v>
      </c>
      <c r="LZ4" s="83" t="s">
        <v>210</v>
      </c>
      <c r="MA4" s="83" t="s">
        <v>210</v>
      </c>
      <c r="MB4" s="83" t="s">
        <v>210</v>
      </c>
      <c r="MC4" s="83" t="s">
        <v>210</v>
      </c>
      <c r="MD4" s="83" t="s">
        <v>210</v>
      </c>
      <c r="ME4" s="83" t="s">
        <v>210</v>
      </c>
      <c r="MF4" s="83" t="s">
        <v>210</v>
      </c>
      <c r="MG4" s="83" t="s">
        <v>210</v>
      </c>
      <c r="MH4" s="83" t="s">
        <v>210</v>
      </c>
      <c r="MI4" s="83" t="s">
        <v>210</v>
      </c>
      <c r="MJ4" s="83" t="s">
        <v>210</v>
      </c>
      <c r="MK4" s="83" t="s">
        <v>210</v>
      </c>
      <c r="ML4" s="83" t="s">
        <v>210</v>
      </c>
      <c r="MM4" s="83" t="s">
        <v>210</v>
      </c>
      <c r="MN4" s="83" t="s">
        <v>210</v>
      </c>
      <c r="MO4" s="83" t="s">
        <v>210</v>
      </c>
      <c r="MP4" s="83" t="s">
        <v>210</v>
      </c>
      <c r="MQ4" s="83" t="s">
        <v>210</v>
      </c>
      <c r="MR4" s="83" t="s">
        <v>210</v>
      </c>
      <c r="MS4" s="83" t="s">
        <v>210</v>
      </c>
      <c r="MT4" s="83" t="s">
        <v>210</v>
      </c>
      <c r="MU4" s="83" t="s">
        <v>210</v>
      </c>
      <c r="MV4" s="83" t="s">
        <v>210</v>
      </c>
      <c r="MW4" s="83" t="s">
        <v>210</v>
      </c>
      <c r="MX4" s="83" t="s">
        <v>210</v>
      </c>
      <c r="MY4" s="83" t="s">
        <v>210</v>
      </c>
      <c r="MZ4" s="83" t="s">
        <v>210</v>
      </c>
      <c r="NA4" s="83" t="s">
        <v>210</v>
      </c>
      <c r="NB4" s="83" t="s">
        <v>210</v>
      </c>
      <c r="NC4" s="83" t="s">
        <v>210</v>
      </c>
      <c r="NG4" s="205" t="s">
        <v>255</v>
      </c>
      <c r="NH4" s="205"/>
      <c r="NI4" s="83" t="s">
        <v>210</v>
      </c>
      <c r="NJ4" s="83" t="s">
        <v>210</v>
      </c>
      <c r="NN4" s="80" t="s">
        <v>256</v>
      </c>
      <c r="NQ4" s="88" t="s">
        <v>265</v>
      </c>
      <c r="NR4" s="89" t="s">
        <v>265</v>
      </c>
      <c r="NS4" s="95" t="s">
        <v>265</v>
      </c>
      <c r="NT4" s="90" t="s">
        <v>265</v>
      </c>
      <c r="NU4" s="83" t="s">
        <v>265</v>
      </c>
      <c r="NV4" s="83" t="s">
        <v>265</v>
      </c>
      <c r="NW4" s="83" t="s">
        <v>265</v>
      </c>
      <c r="NX4" s="83" t="s">
        <v>265</v>
      </c>
      <c r="NY4" s="91" t="s">
        <v>266</v>
      </c>
      <c r="NZ4" s="91" t="s">
        <v>267</v>
      </c>
      <c r="OA4" s="173"/>
      <c r="OB4" s="167"/>
      <c r="OC4" s="167"/>
      <c r="OD4" s="167"/>
      <c r="OE4" s="167"/>
      <c r="OF4" s="167"/>
      <c r="OG4" s="167"/>
      <c r="OH4" s="167"/>
      <c r="OI4" s="167"/>
      <c r="OJ4" s="167"/>
      <c r="OK4" s="167"/>
      <c r="OL4" s="167"/>
      <c r="OM4" s="167"/>
      <c r="ON4" s="167"/>
      <c r="OO4" s="167"/>
      <c r="OP4" s="167"/>
      <c r="OQ4" s="167"/>
      <c r="OR4" s="167"/>
      <c r="OS4" s="167"/>
      <c r="OT4" s="167"/>
      <c r="OU4" s="167"/>
      <c r="OV4" s="167"/>
      <c r="OW4" s="167"/>
      <c r="OX4" s="167"/>
      <c r="OY4" s="167"/>
      <c r="OZ4" s="167"/>
      <c r="PA4" s="167"/>
      <c r="PB4" s="167"/>
      <c r="PC4" s="167"/>
      <c r="PD4" s="167"/>
      <c r="PE4" s="167"/>
      <c r="PF4" s="167"/>
      <c r="PG4" s="167"/>
      <c r="PH4" s="167"/>
      <c r="PI4" s="167"/>
      <c r="PJ4" s="167"/>
      <c r="PK4" s="167"/>
      <c r="PL4" s="167"/>
      <c r="PM4" s="167"/>
      <c r="PN4" s="167"/>
      <c r="PO4" s="167"/>
      <c r="PP4" s="167"/>
      <c r="PQ4" s="167"/>
      <c r="PR4" s="167"/>
      <c r="PS4" s="167"/>
      <c r="PT4" s="167"/>
      <c r="PU4" s="167"/>
      <c r="PV4" s="167"/>
      <c r="PW4" s="167"/>
      <c r="PX4" s="167"/>
      <c r="PY4" s="167"/>
      <c r="PZ4" s="167"/>
      <c r="QA4" s="167"/>
      <c r="QB4" s="167"/>
      <c r="QC4" s="167"/>
      <c r="QD4" s="167"/>
      <c r="QE4" s="167"/>
      <c r="QF4" s="167"/>
      <c r="QG4" s="179"/>
    </row>
    <row r="5" spans="1:449" s="81" customFormat="1" ht="13.15" customHeight="1">
      <c r="A5" s="83" t="s">
        <v>210</v>
      </c>
      <c r="B5" s="83" t="s">
        <v>210</v>
      </c>
      <c r="C5" s="202" t="s">
        <v>268</v>
      </c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3"/>
      <c r="Q5" s="83" t="s">
        <v>210</v>
      </c>
      <c r="R5" s="83" t="s">
        <v>210</v>
      </c>
      <c r="S5" s="83" t="s">
        <v>210</v>
      </c>
      <c r="T5" s="83" t="s">
        <v>210</v>
      </c>
      <c r="U5" s="83" t="s">
        <v>210</v>
      </c>
      <c r="V5" s="83" t="s">
        <v>210</v>
      </c>
      <c r="W5" s="83" t="s">
        <v>210</v>
      </c>
      <c r="X5" s="83" t="s">
        <v>210</v>
      </c>
      <c r="Y5" s="83" t="s">
        <v>210</v>
      </c>
      <c r="Z5" s="83" t="s">
        <v>210</v>
      </c>
      <c r="AA5" s="83" t="s">
        <v>210</v>
      </c>
      <c r="AB5" s="83" t="s">
        <v>210</v>
      </c>
      <c r="AC5" s="83" t="s">
        <v>210</v>
      </c>
      <c r="AD5" s="83" t="s">
        <v>210</v>
      </c>
      <c r="AE5" s="83" t="s">
        <v>210</v>
      </c>
      <c r="AF5" s="83" t="s">
        <v>210</v>
      </c>
      <c r="AG5" s="83" t="s">
        <v>210</v>
      </c>
      <c r="AH5" s="83" t="s">
        <v>210</v>
      </c>
      <c r="AI5" s="83" t="s">
        <v>210</v>
      </c>
      <c r="AJ5" s="83" t="s">
        <v>210</v>
      </c>
      <c r="AK5" s="87" t="s">
        <v>210</v>
      </c>
      <c r="AL5" s="85" t="s">
        <v>210</v>
      </c>
      <c r="AM5" s="85" t="s">
        <v>210</v>
      </c>
      <c r="AN5" s="85" t="s">
        <v>210</v>
      </c>
      <c r="AO5" s="85" t="s">
        <v>210</v>
      </c>
      <c r="AP5" s="85" t="s">
        <v>210</v>
      </c>
      <c r="AQ5" s="85" t="s">
        <v>210</v>
      </c>
      <c r="AR5" s="85" t="s">
        <v>210</v>
      </c>
      <c r="AS5" s="85" t="s">
        <v>210</v>
      </c>
      <c r="AT5" s="85" t="s">
        <v>210</v>
      </c>
      <c r="AU5" s="85" t="s">
        <v>210</v>
      </c>
      <c r="AV5" s="85" t="s">
        <v>210</v>
      </c>
      <c r="AW5" s="85" t="s">
        <v>210</v>
      </c>
      <c r="AX5" s="85" t="s">
        <v>210</v>
      </c>
      <c r="AY5" s="85" t="s">
        <v>210</v>
      </c>
      <c r="AZ5" s="85" t="s">
        <v>210</v>
      </c>
      <c r="BA5" s="85" t="s">
        <v>210</v>
      </c>
      <c r="BB5" s="85" t="s">
        <v>210</v>
      </c>
      <c r="BC5" s="85" t="s">
        <v>210</v>
      </c>
      <c r="BD5" s="85" t="s">
        <v>210</v>
      </c>
      <c r="BE5" s="85" t="s">
        <v>210</v>
      </c>
      <c r="BF5" s="85" t="s">
        <v>210</v>
      </c>
      <c r="BG5" s="85" t="s">
        <v>210</v>
      </c>
      <c r="BH5" s="85" t="s">
        <v>210</v>
      </c>
      <c r="BI5" s="85" t="s">
        <v>210</v>
      </c>
      <c r="BJ5" s="85" t="s">
        <v>210</v>
      </c>
      <c r="BK5" s="85" t="s">
        <v>210</v>
      </c>
      <c r="BL5" s="213" t="s">
        <v>269</v>
      </c>
      <c r="BM5" s="214"/>
      <c r="BN5" s="214"/>
      <c r="BO5" s="214"/>
      <c r="BP5" s="214"/>
      <c r="BQ5" s="214"/>
      <c r="BR5" s="214"/>
      <c r="BS5" s="214"/>
      <c r="BT5" s="215"/>
      <c r="BU5" s="85" t="s">
        <v>210</v>
      </c>
      <c r="BV5" s="85" t="s">
        <v>210</v>
      </c>
      <c r="BW5" s="85" t="s">
        <v>210</v>
      </c>
      <c r="BX5" s="85" t="s">
        <v>210</v>
      </c>
      <c r="BY5" s="85" t="s">
        <v>210</v>
      </c>
      <c r="BZ5" s="85" t="s">
        <v>210</v>
      </c>
      <c r="CA5" s="85" t="s">
        <v>210</v>
      </c>
      <c r="CB5" s="85" t="s">
        <v>210</v>
      </c>
      <c r="CC5" s="85" t="s">
        <v>210</v>
      </c>
      <c r="CD5" s="85" t="s">
        <v>210</v>
      </c>
      <c r="CE5" s="85" t="s">
        <v>210</v>
      </c>
      <c r="CF5" s="85" t="s">
        <v>210</v>
      </c>
      <c r="CG5" s="85" t="s">
        <v>210</v>
      </c>
      <c r="CH5" s="85" t="s">
        <v>210</v>
      </c>
      <c r="CI5" s="85" t="s">
        <v>210</v>
      </c>
      <c r="CJ5" s="85" t="s">
        <v>210</v>
      </c>
      <c r="CK5" s="85" t="s">
        <v>210</v>
      </c>
      <c r="CL5" s="85" t="s">
        <v>210</v>
      </c>
      <c r="CM5" s="85" t="s">
        <v>210</v>
      </c>
      <c r="CN5" s="85" t="s">
        <v>210</v>
      </c>
      <c r="CO5" s="85" t="s">
        <v>210</v>
      </c>
      <c r="CP5" s="85" t="s">
        <v>210</v>
      </c>
      <c r="CQ5" s="85" t="s">
        <v>210</v>
      </c>
      <c r="CR5" s="85" t="s">
        <v>210</v>
      </c>
      <c r="CS5" s="85" t="s">
        <v>210</v>
      </c>
      <c r="CT5" s="85" t="s">
        <v>210</v>
      </c>
      <c r="CU5" s="85"/>
      <c r="CX5" s="85" t="s">
        <v>210</v>
      </c>
      <c r="CY5" s="85" t="s">
        <v>210</v>
      </c>
      <c r="CZ5" s="85" t="s">
        <v>210</v>
      </c>
      <c r="DA5" s="85" t="s">
        <v>210</v>
      </c>
      <c r="DB5" s="85" t="s">
        <v>210</v>
      </c>
      <c r="DC5" s="85" t="s">
        <v>210</v>
      </c>
      <c r="DD5" s="85" t="s">
        <v>210</v>
      </c>
      <c r="DE5" s="85" t="s">
        <v>210</v>
      </c>
      <c r="DF5" s="85" t="s">
        <v>210</v>
      </c>
      <c r="DG5" s="85" t="s">
        <v>210</v>
      </c>
      <c r="DH5" s="85" t="s">
        <v>210</v>
      </c>
      <c r="DI5" s="85" t="s">
        <v>210</v>
      </c>
      <c r="DJ5" s="85" t="s">
        <v>210</v>
      </c>
      <c r="DK5" s="85" t="s">
        <v>210</v>
      </c>
      <c r="DL5" s="85" t="s">
        <v>210</v>
      </c>
      <c r="DM5" s="85" t="s">
        <v>210</v>
      </c>
      <c r="DN5" s="85" t="s">
        <v>210</v>
      </c>
      <c r="DO5" s="85" t="s">
        <v>210</v>
      </c>
      <c r="DP5" s="85" t="s">
        <v>210</v>
      </c>
      <c r="DQ5" s="85" t="s">
        <v>210</v>
      </c>
      <c r="DR5" s="85" t="s">
        <v>210</v>
      </c>
      <c r="DS5" s="85" t="s">
        <v>210</v>
      </c>
      <c r="DT5" s="85" t="s">
        <v>210</v>
      </c>
      <c r="DU5" s="85" t="s">
        <v>210</v>
      </c>
      <c r="DV5" s="85" t="s">
        <v>210</v>
      </c>
      <c r="DW5" s="85" t="s">
        <v>210</v>
      </c>
      <c r="DX5" s="85" t="s">
        <v>210</v>
      </c>
      <c r="DY5" s="84" t="s">
        <v>198</v>
      </c>
      <c r="DZ5" s="83" t="s">
        <v>210</v>
      </c>
      <c r="EA5" s="85" t="s">
        <v>210</v>
      </c>
      <c r="EB5" s="85" t="s">
        <v>210</v>
      </c>
      <c r="EC5" s="85" t="s">
        <v>210</v>
      </c>
      <c r="ED5" s="85" t="s">
        <v>210</v>
      </c>
      <c r="EE5" s="85" t="s">
        <v>210</v>
      </c>
      <c r="EF5" s="85" t="s">
        <v>210</v>
      </c>
      <c r="EG5" s="85" t="s">
        <v>210</v>
      </c>
      <c r="EH5" s="85" t="s">
        <v>210</v>
      </c>
      <c r="EI5" s="85"/>
      <c r="EJ5" s="85"/>
      <c r="EK5" s="85" t="s">
        <v>210</v>
      </c>
      <c r="EL5" s="85" t="s">
        <v>210</v>
      </c>
      <c r="EM5" s="85" t="s">
        <v>210</v>
      </c>
      <c r="EN5" s="85" t="s">
        <v>210</v>
      </c>
      <c r="EO5" s="201" t="s">
        <v>270</v>
      </c>
      <c r="EP5" s="210" t="s">
        <v>271</v>
      </c>
      <c r="EQ5" s="211"/>
      <c r="ER5" s="211"/>
      <c r="ES5" s="212"/>
      <c r="ET5" s="85" t="s">
        <v>210</v>
      </c>
      <c r="EU5" s="85" t="s">
        <v>210</v>
      </c>
      <c r="EV5" s="85" t="s">
        <v>210</v>
      </c>
      <c r="EW5" s="85" t="s">
        <v>210</v>
      </c>
      <c r="EX5" s="85" t="s">
        <v>210</v>
      </c>
      <c r="EY5" s="85" t="s">
        <v>210</v>
      </c>
      <c r="EZ5" s="85" t="s">
        <v>210</v>
      </c>
      <c r="FA5" s="85" t="s">
        <v>210</v>
      </c>
      <c r="FB5" s="85" t="s">
        <v>210</v>
      </c>
      <c r="FC5" s="85" t="s">
        <v>210</v>
      </c>
      <c r="FD5" s="85" t="s">
        <v>210</v>
      </c>
      <c r="FE5" s="85" t="s">
        <v>210</v>
      </c>
      <c r="FF5" s="85" t="s">
        <v>210</v>
      </c>
      <c r="FG5" s="85" t="s">
        <v>210</v>
      </c>
      <c r="FH5" s="85" t="s">
        <v>210</v>
      </c>
      <c r="FI5" s="85" t="s">
        <v>210</v>
      </c>
      <c r="FJ5" s="85" t="s">
        <v>210</v>
      </c>
      <c r="FK5" s="85" t="s">
        <v>210</v>
      </c>
      <c r="FL5" s="85" t="s">
        <v>210</v>
      </c>
      <c r="FM5" s="85" t="s">
        <v>210</v>
      </c>
      <c r="FN5" s="85" t="s">
        <v>210</v>
      </c>
      <c r="FO5" s="85" t="s">
        <v>210</v>
      </c>
      <c r="FP5" s="85" t="s">
        <v>210</v>
      </c>
      <c r="FQ5" s="85" t="s">
        <v>210</v>
      </c>
      <c r="FR5" s="85" t="s">
        <v>210</v>
      </c>
      <c r="FS5" s="85" t="s">
        <v>210</v>
      </c>
      <c r="FT5" s="85" t="s">
        <v>210</v>
      </c>
      <c r="FU5" s="85" t="s">
        <v>210</v>
      </c>
      <c r="FV5" s="85" t="s">
        <v>210</v>
      </c>
      <c r="FW5" s="85" t="s">
        <v>210</v>
      </c>
      <c r="FX5" s="85" t="s">
        <v>210</v>
      </c>
      <c r="FY5" s="85" t="s">
        <v>210</v>
      </c>
      <c r="FZ5" s="85" t="s">
        <v>210</v>
      </c>
      <c r="GA5" s="85" t="s">
        <v>210</v>
      </c>
      <c r="GB5" s="85" t="s">
        <v>210</v>
      </c>
      <c r="GC5" s="85" t="s">
        <v>210</v>
      </c>
      <c r="GD5" s="85" t="s">
        <v>210</v>
      </c>
      <c r="GE5" s="85" t="s">
        <v>210</v>
      </c>
      <c r="GF5" s="85" t="s">
        <v>210</v>
      </c>
      <c r="GG5" s="85" t="s">
        <v>210</v>
      </c>
      <c r="GH5" s="85" t="s">
        <v>210</v>
      </c>
      <c r="GI5" s="85" t="s">
        <v>210</v>
      </c>
      <c r="GJ5" s="85" t="s">
        <v>210</v>
      </c>
      <c r="GK5" s="85" t="s">
        <v>210</v>
      </c>
      <c r="GL5" s="85" t="s">
        <v>210</v>
      </c>
      <c r="GM5" s="85" t="s">
        <v>210</v>
      </c>
      <c r="GN5" s="85" t="s">
        <v>210</v>
      </c>
      <c r="GO5" s="85" t="s">
        <v>210</v>
      </c>
      <c r="GP5" s="85" t="s">
        <v>210</v>
      </c>
      <c r="GQ5" s="85" t="s">
        <v>210</v>
      </c>
      <c r="GW5" s="83"/>
      <c r="GX5" s="83"/>
      <c r="GY5" s="83"/>
      <c r="GZ5" s="83"/>
      <c r="HA5" s="83"/>
      <c r="HB5" s="83"/>
      <c r="HC5" s="207" t="s">
        <v>272</v>
      </c>
      <c r="HD5" s="208"/>
      <c r="HE5" s="208"/>
      <c r="HF5" s="208"/>
      <c r="HG5" s="208"/>
      <c r="HH5" s="208"/>
      <c r="HI5" s="208"/>
      <c r="HJ5" s="208"/>
      <c r="HK5" s="208"/>
      <c r="HL5" s="208"/>
      <c r="HM5" s="208"/>
      <c r="HN5" s="208"/>
      <c r="HO5" s="208"/>
      <c r="HP5" s="208"/>
      <c r="HQ5" s="208"/>
      <c r="HR5" s="208"/>
      <c r="HS5" s="208"/>
      <c r="HT5" s="208"/>
      <c r="HU5" s="208"/>
      <c r="HV5" s="208"/>
      <c r="HW5" s="208"/>
      <c r="HX5" s="208"/>
      <c r="HY5" s="208"/>
      <c r="HZ5" s="208"/>
      <c r="IA5" s="208"/>
      <c r="IB5" s="208"/>
      <c r="IC5" s="208"/>
      <c r="ID5" s="208"/>
      <c r="IE5" s="208"/>
      <c r="IF5" s="208"/>
      <c r="IG5" s="208"/>
      <c r="IH5" s="208"/>
      <c r="II5" s="208"/>
      <c r="IJ5" s="208"/>
      <c r="IK5" s="208"/>
      <c r="IL5" s="208"/>
      <c r="IM5" s="208"/>
      <c r="IN5" s="208"/>
      <c r="IO5" s="208"/>
      <c r="IP5" s="208"/>
      <c r="IQ5" s="208"/>
      <c r="IR5" s="208"/>
      <c r="IS5" s="208"/>
      <c r="IT5" s="209"/>
      <c r="IU5" s="83"/>
      <c r="IV5" s="85" t="s">
        <v>210</v>
      </c>
      <c r="IW5" s="85" t="s">
        <v>210</v>
      </c>
      <c r="IX5" s="85" t="s">
        <v>210</v>
      </c>
      <c r="IY5" s="85" t="s">
        <v>210</v>
      </c>
      <c r="IZ5" s="85" t="s">
        <v>210</v>
      </c>
      <c r="JA5" s="85" t="s">
        <v>210</v>
      </c>
      <c r="JB5" s="85" t="s">
        <v>210</v>
      </c>
      <c r="JC5" s="85" t="s">
        <v>210</v>
      </c>
      <c r="JD5" s="83" t="s">
        <v>210</v>
      </c>
      <c r="JE5" s="83" t="s">
        <v>210</v>
      </c>
      <c r="JF5" s="83" t="s">
        <v>210</v>
      </c>
      <c r="JG5" s="83" t="s">
        <v>210</v>
      </c>
      <c r="JH5" s="83" t="s">
        <v>210</v>
      </c>
      <c r="JI5" s="83" t="s">
        <v>210</v>
      </c>
      <c r="JJ5" s="83" t="s">
        <v>210</v>
      </c>
      <c r="JK5" s="83" t="s">
        <v>210</v>
      </c>
      <c r="JL5" s="83" t="s">
        <v>210</v>
      </c>
      <c r="JM5" s="83" t="s">
        <v>210</v>
      </c>
      <c r="JN5" s="83" t="s">
        <v>210</v>
      </c>
      <c r="JO5" s="83" t="s">
        <v>210</v>
      </c>
      <c r="JP5" s="83" t="s">
        <v>210</v>
      </c>
      <c r="JQ5" s="83" t="s">
        <v>210</v>
      </c>
      <c r="JR5" s="83" t="s">
        <v>210</v>
      </c>
      <c r="JS5" s="83" t="s">
        <v>210</v>
      </c>
      <c r="JT5" s="83" t="s">
        <v>210</v>
      </c>
      <c r="JU5" s="83" t="s">
        <v>210</v>
      </c>
      <c r="JV5" s="83" t="s">
        <v>210</v>
      </c>
      <c r="JW5" s="83" t="s">
        <v>210</v>
      </c>
      <c r="JX5" s="83" t="s">
        <v>210</v>
      </c>
      <c r="JY5" s="83" t="s">
        <v>210</v>
      </c>
      <c r="JZ5" s="83" t="s">
        <v>210</v>
      </c>
      <c r="KA5" s="83" t="s">
        <v>210</v>
      </c>
      <c r="KB5" s="83" t="s">
        <v>210</v>
      </c>
      <c r="KC5" s="83" t="s">
        <v>210</v>
      </c>
      <c r="KD5" s="83" t="s">
        <v>210</v>
      </c>
      <c r="KE5" s="83" t="s">
        <v>210</v>
      </c>
      <c r="KF5" s="83" t="s">
        <v>210</v>
      </c>
      <c r="KG5" s="83" t="s">
        <v>210</v>
      </c>
      <c r="KH5" s="83" t="s">
        <v>210</v>
      </c>
      <c r="KI5" s="207" t="s">
        <v>273</v>
      </c>
      <c r="KJ5" s="208"/>
      <c r="KK5" s="208"/>
      <c r="KL5" s="208"/>
      <c r="KM5" s="208"/>
      <c r="KN5" s="208"/>
      <c r="KO5" s="208"/>
      <c r="KP5" s="208"/>
      <c r="KQ5" s="209"/>
      <c r="KY5" s="83"/>
      <c r="KZ5" s="83"/>
      <c r="LA5" s="83" t="s">
        <v>210</v>
      </c>
      <c r="LB5" s="83" t="s">
        <v>210</v>
      </c>
      <c r="LC5" s="83" t="s">
        <v>210</v>
      </c>
      <c r="LD5" s="83" t="s">
        <v>210</v>
      </c>
      <c r="LE5" s="83" t="s">
        <v>210</v>
      </c>
      <c r="LF5" s="83" t="s">
        <v>210</v>
      </c>
      <c r="LG5" s="83" t="s">
        <v>210</v>
      </c>
      <c r="LH5" s="83" t="s">
        <v>210</v>
      </c>
      <c r="LI5" s="83" t="s">
        <v>210</v>
      </c>
      <c r="LJ5" s="83" t="s">
        <v>210</v>
      </c>
      <c r="LK5" s="83" t="s">
        <v>210</v>
      </c>
      <c r="LL5" s="83" t="s">
        <v>210</v>
      </c>
      <c r="LM5" s="83" t="s">
        <v>210</v>
      </c>
      <c r="LN5" s="83" t="s">
        <v>210</v>
      </c>
      <c r="LO5" s="83" t="s">
        <v>210</v>
      </c>
      <c r="LP5" s="83" t="s">
        <v>210</v>
      </c>
      <c r="LQ5" s="83" t="s">
        <v>210</v>
      </c>
      <c r="LR5" s="83" t="s">
        <v>210</v>
      </c>
      <c r="LS5" s="83" t="s">
        <v>210</v>
      </c>
      <c r="LT5" s="83" t="s">
        <v>210</v>
      </c>
      <c r="LU5" s="83" t="s">
        <v>210</v>
      </c>
      <c r="LV5" s="83" t="s">
        <v>210</v>
      </c>
      <c r="LW5" s="83" t="s">
        <v>210</v>
      </c>
      <c r="LX5" s="83" t="s">
        <v>210</v>
      </c>
      <c r="LY5" s="83" t="s">
        <v>210</v>
      </c>
      <c r="LZ5" s="83" t="s">
        <v>210</v>
      </c>
      <c r="MA5" s="83" t="s">
        <v>210</v>
      </c>
      <c r="MB5" s="83" t="s">
        <v>210</v>
      </c>
      <c r="MC5" s="83" t="s">
        <v>210</v>
      </c>
      <c r="MD5" s="83" t="s">
        <v>210</v>
      </c>
      <c r="ME5" s="83" t="s">
        <v>210</v>
      </c>
      <c r="MF5" s="83" t="s">
        <v>210</v>
      </c>
      <c r="MG5" s="83" t="s">
        <v>210</v>
      </c>
      <c r="MH5" s="83" t="s">
        <v>210</v>
      </c>
      <c r="MI5" s="83" t="s">
        <v>210</v>
      </c>
      <c r="MJ5" s="83" t="s">
        <v>210</v>
      </c>
      <c r="MK5" s="83" t="s">
        <v>210</v>
      </c>
      <c r="ML5" s="83" t="s">
        <v>210</v>
      </c>
      <c r="MM5" s="83" t="s">
        <v>210</v>
      </c>
      <c r="MN5" s="83" t="s">
        <v>210</v>
      </c>
      <c r="MO5" s="83" t="s">
        <v>210</v>
      </c>
      <c r="MP5" s="83" t="s">
        <v>210</v>
      </c>
      <c r="MQ5" s="83" t="s">
        <v>210</v>
      </c>
      <c r="MR5" s="83" t="s">
        <v>210</v>
      </c>
      <c r="MS5" s="83" t="s">
        <v>210</v>
      </c>
      <c r="MT5" s="83" t="s">
        <v>210</v>
      </c>
      <c r="MU5" s="83" t="s">
        <v>210</v>
      </c>
      <c r="MV5" s="83" t="s">
        <v>210</v>
      </c>
      <c r="MW5" s="83" t="s">
        <v>210</v>
      </c>
      <c r="MX5" s="83" t="s">
        <v>210</v>
      </c>
      <c r="MY5" s="83" t="s">
        <v>210</v>
      </c>
      <c r="MZ5" s="83" t="s">
        <v>210</v>
      </c>
      <c r="NA5" s="207" t="s">
        <v>268</v>
      </c>
      <c r="NB5" s="208"/>
      <c r="NC5" s="208"/>
      <c r="ND5" s="208"/>
      <c r="NE5" s="208"/>
      <c r="NF5" s="208"/>
      <c r="NG5" s="208"/>
      <c r="NH5" s="208"/>
      <c r="NI5" s="208"/>
      <c r="NJ5" s="208"/>
      <c r="NK5" s="208"/>
      <c r="NL5" s="208"/>
      <c r="NM5" s="208"/>
      <c r="NN5" s="208"/>
      <c r="NO5" s="208"/>
      <c r="NP5" s="209"/>
      <c r="NQ5" s="83" t="s">
        <v>210</v>
      </c>
      <c r="NR5" s="83" t="s">
        <v>210</v>
      </c>
      <c r="NS5" s="87" t="s">
        <v>210</v>
      </c>
      <c r="NT5" s="83"/>
      <c r="NU5" s="83"/>
      <c r="NV5" s="83"/>
      <c r="NW5" s="87" t="s">
        <v>210</v>
      </c>
      <c r="NX5" s="87" t="s">
        <v>210</v>
      </c>
      <c r="NY5" s="87" t="s">
        <v>210</v>
      </c>
      <c r="NZ5" s="87"/>
      <c r="OA5" s="174"/>
      <c r="OB5" s="168"/>
      <c r="OC5" s="168"/>
      <c r="OD5" s="168"/>
      <c r="OE5" s="168"/>
      <c r="OF5" s="168"/>
      <c r="OG5" s="168"/>
      <c r="OH5" s="168"/>
      <c r="OI5" s="168"/>
      <c r="OJ5" s="168"/>
      <c r="OK5" s="168"/>
      <c r="OL5" s="168"/>
      <c r="OM5" s="168"/>
      <c r="ON5" s="168"/>
      <c r="OO5" s="168"/>
      <c r="OP5" s="168"/>
      <c r="OQ5" s="168"/>
      <c r="OR5" s="168"/>
      <c r="OS5" s="168"/>
      <c r="OT5" s="168"/>
      <c r="OU5" s="168"/>
      <c r="OV5" s="168"/>
      <c r="OW5" s="168"/>
      <c r="OX5" s="168"/>
      <c r="OY5" s="168"/>
      <c r="OZ5" s="168"/>
      <c r="PA5" s="168"/>
      <c r="PB5" s="168"/>
      <c r="PC5" s="168"/>
      <c r="PD5" s="168"/>
      <c r="PE5" s="168"/>
      <c r="PF5" s="168"/>
      <c r="PG5" s="168"/>
      <c r="PH5" s="168"/>
      <c r="PI5" s="168"/>
      <c r="PJ5" s="168"/>
      <c r="PK5" s="168"/>
      <c r="PL5" s="168"/>
      <c r="PM5" s="168"/>
      <c r="PN5" s="168"/>
      <c r="PO5" s="168"/>
      <c r="PP5" s="168"/>
      <c r="PQ5" s="168"/>
      <c r="PR5" s="168"/>
      <c r="PS5" s="168"/>
      <c r="PT5" s="168"/>
      <c r="PU5" s="168"/>
      <c r="PV5" s="168"/>
      <c r="PW5" s="168"/>
      <c r="PX5" s="168"/>
      <c r="PY5" s="168"/>
      <c r="PZ5" s="168"/>
      <c r="QA5" s="168"/>
      <c r="QB5" s="168"/>
      <c r="QC5" s="168"/>
      <c r="QD5" s="168"/>
      <c r="QE5" s="168"/>
      <c r="QF5" s="168"/>
      <c r="QG5" s="180"/>
    </row>
    <row r="6" spans="1:449" s="81" customFormat="1" ht="13.15" customHeight="1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7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5"/>
      <c r="BK6" s="85"/>
      <c r="BL6" s="85"/>
      <c r="BM6" s="85"/>
      <c r="BN6" s="85"/>
      <c r="BO6" s="85"/>
      <c r="BP6" s="85"/>
      <c r="BQ6" s="85"/>
      <c r="BR6" s="85"/>
      <c r="BS6" s="85"/>
      <c r="BT6" s="85"/>
      <c r="BU6" s="85"/>
      <c r="BV6" s="85"/>
      <c r="BW6" s="85"/>
      <c r="BX6" s="85"/>
      <c r="BY6" s="85"/>
      <c r="BZ6" s="85"/>
      <c r="CA6" s="85"/>
      <c r="CB6" s="85"/>
      <c r="CC6" s="85"/>
      <c r="CD6" s="85"/>
      <c r="CE6" s="85"/>
      <c r="CF6" s="65"/>
      <c r="CG6" s="85"/>
      <c r="CH6" s="85"/>
      <c r="CI6" s="85"/>
      <c r="CJ6" s="85"/>
      <c r="CK6" s="85"/>
      <c r="CL6" s="85"/>
      <c r="CM6" s="85"/>
      <c r="CN6" s="85"/>
      <c r="CO6" s="85"/>
      <c r="CP6" s="85"/>
      <c r="CQ6" s="85"/>
      <c r="CR6" s="85"/>
      <c r="CS6" s="85"/>
      <c r="CT6" s="85"/>
      <c r="CU6" s="85"/>
      <c r="CV6" s="85"/>
      <c r="CW6" s="85"/>
      <c r="CX6" s="85"/>
      <c r="CY6" s="85"/>
      <c r="CZ6" s="85"/>
      <c r="DA6" s="85"/>
      <c r="DB6" s="85"/>
      <c r="DC6" s="85"/>
      <c r="DD6" s="85"/>
      <c r="DE6" s="85"/>
      <c r="DF6" s="85"/>
      <c r="DG6" s="85"/>
      <c r="DH6" s="85"/>
      <c r="DI6" s="85"/>
      <c r="DJ6" s="85"/>
      <c r="DK6" s="85"/>
      <c r="DL6" s="85"/>
      <c r="DM6" s="85"/>
      <c r="DN6" s="85"/>
      <c r="DO6" s="85"/>
      <c r="DP6" s="85"/>
      <c r="DQ6" s="85"/>
      <c r="DR6" s="85"/>
      <c r="DS6" s="85"/>
      <c r="DT6" s="85"/>
      <c r="DU6" s="85"/>
      <c r="DV6" s="85"/>
      <c r="DW6" s="85"/>
      <c r="DX6" s="85"/>
      <c r="DY6" s="85"/>
      <c r="DZ6" s="83"/>
      <c r="EA6" s="85"/>
      <c r="EB6" s="85"/>
      <c r="EC6" s="85"/>
      <c r="ED6" s="85"/>
      <c r="EE6" s="85"/>
      <c r="EF6" s="85"/>
      <c r="EG6" s="85"/>
      <c r="EH6" s="85"/>
      <c r="EI6" s="85"/>
      <c r="EJ6" s="85"/>
      <c r="EK6" s="85"/>
      <c r="EL6" s="85"/>
      <c r="EM6" s="85"/>
      <c r="EN6" s="85"/>
      <c r="EO6" s="85"/>
      <c r="EP6" s="85"/>
      <c r="EQ6" s="85"/>
      <c r="ER6" s="85"/>
      <c r="ES6" s="85"/>
      <c r="ET6" s="85"/>
      <c r="EU6" s="85"/>
      <c r="EV6" s="85"/>
      <c r="EW6" s="85"/>
      <c r="EX6" s="85"/>
      <c r="EY6" s="85"/>
      <c r="EZ6" s="85"/>
      <c r="FA6" s="85"/>
      <c r="FB6" s="85"/>
      <c r="FC6" s="85"/>
      <c r="FD6" s="85"/>
      <c r="FE6" s="85"/>
      <c r="FF6" s="85"/>
      <c r="FG6" s="85"/>
      <c r="FH6" s="85"/>
      <c r="FI6" s="85"/>
      <c r="FJ6" s="85"/>
      <c r="FL6" s="85"/>
      <c r="FM6" s="82"/>
      <c r="FO6" s="85"/>
      <c r="FP6" s="85"/>
      <c r="FQ6" s="85"/>
      <c r="FR6" s="85"/>
      <c r="FS6" s="85"/>
      <c r="FT6" s="85"/>
      <c r="FU6" s="85"/>
      <c r="FV6" s="85"/>
      <c r="FW6" s="85"/>
      <c r="FX6" s="85"/>
      <c r="FY6" s="85"/>
      <c r="FZ6" s="85"/>
      <c r="GA6" s="85"/>
      <c r="GB6" s="85"/>
      <c r="GC6" s="85"/>
      <c r="GD6" s="85"/>
      <c r="GE6" s="85"/>
      <c r="GF6" s="85"/>
      <c r="GG6" s="85"/>
      <c r="GH6" s="85"/>
      <c r="GI6" s="85"/>
      <c r="GJ6" s="85"/>
      <c r="GK6" s="85"/>
      <c r="GL6" s="85"/>
      <c r="GM6" s="85"/>
      <c r="GN6" s="85"/>
      <c r="GV6" s="205" t="s">
        <v>274</v>
      </c>
      <c r="GW6" s="205"/>
      <c r="GX6" s="205"/>
      <c r="GY6" s="205"/>
      <c r="GZ6" s="205"/>
      <c r="HA6" s="205"/>
      <c r="HB6" s="205"/>
      <c r="HC6" s="205"/>
      <c r="HD6" s="205"/>
      <c r="HE6" s="205"/>
      <c r="HF6" s="205"/>
      <c r="HG6" s="205"/>
      <c r="HH6" s="205"/>
      <c r="HI6" s="205"/>
      <c r="HJ6" s="205"/>
      <c r="HK6" s="205"/>
      <c r="HL6" s="205"/>
      <c r="HM6" s="205"/>
      <c r="HN6" s="205"/>
      <c r="HO6" s="205"/>
      <c r="HP6" s="205"/>
      <c r="HQ6" s="205"/>
      <c r="HR6" s="205"/>
      <c r="HS6" s="205"/>
      <c r="HT6" s="205"/>
      <c r="HU6" s="205"/>
      <c r="HV6" s="205"/>
      <c r="HW6" s="205"/>
      <c r="HX6" s="205"/>
      <c r="HY6" s="205"/>
      <c r="HZ6" s="205"/>
      <c r="IA6" s="205"/>
      <c r="IB6" s="205"/>
      <c r="IC6" s="205"/>
      <c r="ID6" s="205"/>
      <c r="IE6" s="205"/>
      <c r="IF6" s="205"/>
      <c r="IG6" s="205"/>
      <c r="IH6" s="205"/>
      <c r="II6" s="205"/>
      <c r="IJ6" s="205"/>
      <c r="IK6" s="205"/>
      <c r="IL6" s="205"/>
      <c r="IM6" s="205"/>
      <c r="IV6" s="85"/>
      <c r="IW6" s="85"/>
      <c r="IX6" s="85"/>
      <c r="IY6" s="85"/>
      <c r="IZ6" s="85"/>
      <c r="JA6" s="85"/>
      <c r="JB6" s="85"/>
      <c r="JC6" s="85"/>
      <c r="JD6" s="83"/>
      <c r="JE6" s="83"/>
      <c r="JF6" s="83"/>
      <c r="JG6" s="83"/>
      <c r="JH6" s="83"/>
      <c r="JI6" s="83"/>
      <c r="JJ6" s="83"/>
      <c r="JK6" s="83"/>
      <c r="JL6" s="83"/>
      <c r="JM6" s="83"/>
      <c r="JN6" s="83"/>
      <c r="JO6" s="83"/>
      <c r="JP6" s="83"/>
      <c r="JQ6" s="83"/>
      <c r="JR6" s="83"/>
      <c r="JS6" s="83"/>
      <c r="JT6" s="83"/>
      <c r="JU6" s="83"/>
      <c r="JV6" s="83"/>
      <c r="JW6" s="83"/>
      <c r="JX6" s="83"/>
      <c r="JY6" s="83"/>
      <c r="JZ6" s="83"/>
      <c r="KA6" s="83"/>
      <c r="KB6" s="83"/>
      <c r="KC6" s="83"/>
      <c r="KD6" s="83"/>
      <c r="KE6" s="83"/>
      <c r="KF6" s="83"/>
      <c r="KG6" s="83"/>
      <c r="KH6" s="83"/>
      <c r="KI6" s="83"/>
      <c r="KJ6" s="83"/>
      <c r="KK6" s="83"/>
      <c r="KL6" s="83"/>
      <c r="KM6" s="83"/>
      <c r="KN6" s="83"/>
      <c r="KO6" s="83"/>
      <c r="KP6" s="202" t="s">
        <v>275</v>
      </c>
      <c r="KQ6" s="204"/>
      <c r="KR6" s="204"/>
      <c r="KS6" s="204"/>
      <c r="KT6" s="204"/>
      <c r="KU6" s="204"/>
      <c r="KV6" s="204"/>
      <c r="KW6" s="204"/>
      <c r="KX6" s="203"/>
      <c r="LF6" s="83"/>
      <c r="LG6" s="83"/>
      <c r="LH6" s="83"/>
      <c r="LI6" s="83"/>
      <c r="LJ6" s="83"/>
      <c r="LK6" s="83"/>
      <c r="LL6" s="83"/>
      <c r="LM6" s="83"/>
      <c r="LN6" s="83"/>
      <c r="LO6" s="83"/>
      <c r="LP6" s="83"/>
      <c r="LQ6" s="83"/>
      <c r="LR6" s="83"/>
      <c r="LS6" s="83"/>
      <c r="LT6" s="83"/>
      <c r="LU6" s="83"/>
      <c r="LV6" s="83"/>
      <c r="LW6" s="83"/>
      <c r="LX6" s="83"/>
      <c r="LY6" s="83"/>
      <c r="LZ6" s="83"/>
      <c r="MA6" s="83"/>
      <c r="MB6" s="83"/>
      <c r="MC6" s="83"/>
      <c r="MD6" s="83"/>
      <c r="ME6" s="83"/>
      <c r="MF6" s="83"/>
      <c r="MG6" s="83"/>
      <c r="MH6" s="83"/>
      <c r="MI6" s="83"/>
      <c r="MJ6" s="83"/>
      <c r="MK6" s="83"/>
      <c r="ML6" s="83"/>
      <c r="MM6" s="83"/>
      <c r="MN6" s="83"/>
      <c r="MO6" s="83"/>
      <c r="MP6" s="83"/>
      <c r="MQ6" s="83"/>
      <c r="MR6" s="83"/>
      <c r="MS6" s="83"/>
      <c r="MT6" s="83"/>
      <c r="MU6" s="83"/>
      <c r="MV6" s="83"/>
      <c r="MW6" s="83"/>
      <c r="MX6" s="83"/>
      <c r="MY6" s="83"/>
      <c r="MZ6" s="83"/>
      <c r="NA6" s="83"/>
      <c r="NB6" s="83"/>
      <c r="NC6" s="83"/>
      <c r="ND6" s="83"/>
      <c r="NE6" s="83"/>
      <c r="NH6" s="83"/>
      <c r="NI6" s="83"/>
      <c r="NJ6" s="83"/>
      <c r="NK6" s="83"/>
      <c r="NL6" s="83"/>
      <c r="NM6" s="83"/>
      <c r="NN6" s="83"/>
      <c r="NO6" s="83"/>
      <c r="NP6" s="83"/>
      <c r="NQ6" s="86"/>
      <c r="NR6" s="86"/>
      <c r="NS6" s="86"/>
      <c r="NT6" s="86"/>
      <c r="NU6" s="86"/>
      <c r="NV6" s="86"/>
      <c r="NW6" s="86"/>
      <c r="NX6" s="86"/>
      <c r="NY6" s="86"/>
      <c r="NZ6" s="86"/>
      <c r="OA6" s="174"/>
      <c r="OB6" s="168"/>
      <c r="OC6" s="168"/>
      <c r="OD6" s="168"/>
      <c r="OE6" s="168"/>
      <c r="OF6" s="168"/>
      <c r="OG6" s="168"/>
      <c r="OH6" s="168"/>
      <c r="OI6" s="168"/>
      <c r="OJ6" s="168"/>
      <c r="OK6" s="168"/>
      <c r="OL6" s="168"/>
      <c r="OM6" s="168"/>
      <c r="ON6" s="168"/>
      <c r="OO6" s="168"/>
      <c r="OP6" s="168"/>
      <c r="OQ6" s="168"/>
      <c r="OR6" s="168"/>
      <c r="OS6" s="168"/>
      <c r="OT6" s="168"/>
      <c r="OU6" s="168"/>
      <c r="OV6" s="168"/>
      <c r="OW6" s="168"/>
      <c r="OX6" s="168"/>
      <c r="OY6" s="168"/>
      <c r="OZ6" s="168"/>
      <c r="PA6" s="168"/>
      <c r="PB6" s="168"/>
      <c r="PC6" s="168"/>
      <c r="PD6" s="168"/>
      <c r="PE6" s="168"/>
      <c r="PF6" s="168"/>
      <c r="PG6" s="168"/>
      <c r="PH6" s="168"/>
      <c r="PI6" s="168"/>
      <c r="PJ6" s="168"/>
      <c r="PK6" s="168"/>
      <c r="PL6" s="168"/>
      <c r="PM6" s="168"/>
      <c r="PN6" s="168"/>
      <c r="PO6" s="168"/>
      <c r="PP6" s="168"/>
      <c r="PQ6" s="168"/>
      <c r="PR6" s="168"/>
      <c r="PS6" s="168"/>
      <c r="PT6" s="168"/>
      <c r="PU6" s="168"/>
      <c r="PV6" s="168"/>
      <c r="PW6" s="168"/>
      <c r="PX6" s="168"/>
      <c r="PY6" s="168"/>
      <c r="PZ6" s="168"/>
      <c r="QA6" s="168"/>
      <c r="QB6" s="168"/>
      <c r="QC6" s="168"/>
      <c r="QD6" s="168"/>
      <c r="QE6" s="168"/>
      <c r="QF6" s="168"/>
      <c r="QG6" s="180"/>
    </row>
    <row r="7" spans="1:449" s="12" customFormat="1" ht="12" customHeight="1">
      <c r="A7" s="97"/>
      <c r="AK7" s="63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G7" s="33"/>
      <c r="CH7" s="65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33"/>
      <c r="DB7" s="65"/>
      <c r="DC7" s="65"/>
      <c r="DD7" s="65"/>
      <c r="DE7" s="65"/>
      <c r="DF7" s="65"/>
      <c r="DG7" s="65"/>
      <c r="DH7" s="65"/>
      <c r="DI7" s="65"/>
      <c r="DJ7" s="65"/>
      <c r="DK7" s="65"/>
      <c r="DL7" s="65"/>
      <c r="DM7" s="65"/>
      <c r="DN7" s="65"/>
      <c r="DO7" s="65"/>
      <c r="DP7" s="65"/>
      <c r="DQ7" s="65"/>
      <c r="DR7" s="65"/>
      <c r="DS7" s="65"/>
      <c r="DT7" s="65"/>
      <c r="DU7" s="65"/>
      <c r="DV7" s="65"/>
      <c r="DW7" s="65"/>
      <c r="DX7" s="65"/>
      <c r="DY7" s="65"/>
      <c r="DZ7" s="11"/>
      <c r="EA7" s="65"/>
      <c r="EB7" s="65"/>
      <c r="EC7" s="65"/>
      <c r="ED7" s="65"/>
      <c r="EE7" s="65"/>
      <c r="EF7" s="65"/>
      <c r="EG7" s="189"/>
      <c r="EH7" s="189"/>
      <c r="EI7" s="189"/>
      <c r="EJ7" s="118"/>
      <c r="EK7" s="65"/>
      <c r="EL7" s="65"/>
      <c r="EM7" s="65"/>
      <c r="EN7" s="65"/>
      <c r="EO7" s="65"/>
      <c r="EP7" s="65"/>
      <c r="EQ7" s="65"/>
      <c r="ER7" s="65"/>
      <c r="ES7" s="65"/>
      <c r="ET7" s="65"/>
      <c r="EU7" s="65"/>
      <c r="EV7" s="65"/>
      <c r="EW7" s="65"/>
      <c r="EX7" s="65"/>
      <c r="EY7" s="65"/>
      <c r="EZ7" s="65"/>
      <c r="FA7" s="65"/>
      <c r="FB7" s="65"/>
      <c r="FC7" s="65"/>
      <c r="FD7" s="65"/>
      <c r="FE7" s="65"/>
      <c r="FF7" s="65"/>
      <c r="FG7" s="65"/>
      <c r="FH7" s="65"/>
      <c r="FI7" s="65"/>
      <c r="FJ7" s="65"/>
      <c r="FK7" s="65"/>
      <c r="FL7" s="65"/>
      <c r="FN7" s="65"/>
      <c r="FO7" s="65"/>
      <c r="FP7" s="65"/>
      <c r="FQ7" s="65"/>
      <c r="FR7" s="65"/>
      <c r="FS7" s="65"/>
      <c r="FT7" s="65"/>
      <c r="FU7" s="65"/>
      <c r="FV7" s="65"/>
      <c r="FW7" s="65"/>
      <c r="FX7" s="65"/>
      <c r="FY7" s="65"/>
      <c r="FZ7" s="65"/>
      <c r="GA7" s="65"/>
      <c r="GB7" s="65"/>
      <c r="GC7" s="65"/>
      <c r="GD7" s="65"/>
      <c r="GE7" s="65"/>
      <c r="GF7" s="65"/>
      <c r="GG7" s="65"/>
      <c r="GH7" s="65"/>
      <c r="GI7" s="65"/>
      <c r="GJ7" s="65"/>
      <c r="GK7" s="65"/>
      <c r="GL7" s="65"/>
      <c r="GM7" s="65"/>
      <c r="GN7" s="65"/>
      <c r="GO7" s="65"/>
      <c r="GP7" s="65"/>
      <c r="GQ7" s="65"/>
      <c r="GR7" s="65"/>
      <c r="GS7" s="65"/>
      <c r="GT7" s="65"/>
      <c r="GU7" s="65"/>
      <c r="IS7" s="65"/>
      <c r="IT7" s="65"/>
      <c r="IU7" s="65"/>
      <c r="IV7" s="65"/>
      <c r="IW7" s="65"/>
      <c r="IX7" s="65"/>
      <c r="IY7" s="65"/>
      <c r="IZ7" s="65"/>
      <c r="JA7" s="65"/>
      <c r="JB7" s="65"/>
      <c r="JC7" s="65"/>
      <c r="JD7" s="11"/>
      <c r="JE7" s="11"/>
      <c r="JF7" s="11"/>
      <c r="JG7" s="11"/>
      <c r="JH7" s="11"/>
      <c r="JI7" s="11"/>
      <c r="JJ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Q7" s="1" t="s">
        <v>245</v>
      </c>
      <c r="NR7" s="1" t="s">
        <v>246</v>
      </c>
      <c r="NS7" s="1" t="s">
        <v>276</v>
      </c>
      <c r="NT7" s="1" t="s">
        <v>248</v>
      </c>
      <c r="NU7" s="1" t="s">
        <v>205</v>
      </c>
      <c r="NV7" s="1" t="s">
        <v>277</v>
      </c>
      <c r="NW7" s="1" t="s">
        <v>250</v>
      </c>
      <c r="NX7" s="1" t="s">
        <v>251</v>
      </c>
      <c r="NY7" s="78" t="s">
        <v>252</v>
      </c>
      <c r="NZ7" s="1" t="s">
        <v>278</v>
      </c>
      <c r="OA7" s="175"/>
      <c r="OB7" s="169"/>
      <c r="OC7" s="169"/>
      <c r="OD7" s="169"/>
      <c r="OE7" s="169"/>
      <c r="OF7" s="169"/>
      <c r="OG7" s="169"/>
      <c r="OH7" s="169"/>
      <c r="OI7" s="169"/>
      <c r="OJ7" s="169"/>
      <c r="OK7" s="169"/>
      <c r="OL7" s="169"/>
      <c r="OM7" s="169"/>
      <c r="ON7" s="169"/>
      <c r="OO7" s="169"/>
      <c r="OP7" s="169"/>
      <c r="OQ7" s="169"/>
      <c r="OR7" s="169"/>
      <c r="OS7" s="169"/>
      <c r="OT7" s="169"/>
      <c r="OU7" s="169"/>
      <c r="OV7" s="169"/>
      <c r="OW7" s="169"/>
      <c r="OX7" s="169"/>
      <c r="OY7" s="169"/>
      <c r="OZ7" s="169"/>
      <c r="PA7" s="169"/>
      <c r="PB7" s="169"/>
      <c r="PC7" s="169"/>
      <c r="PD7" s="169"/>
      <c r="PE7" s="169"/>
      <c r="PF7" s="169"/>
      <c r="PG7" s="169"/>
      <c r="PH7" s="169"/>
      <c r="PI7" s="169"/>
      <c r="PJ7" s="169"/>
      <c r="PK7" s="169"/>
      <c r="PL7" s="169"/>
      <c r="PM7" s="169"/>
      <c r="PN7" s="169"/>
      <c r="PO7" s="169"/>
      <c r="PP7" s="169"/>
      <c r="PQ7" s="169"/>
      <c r="PR7" s="169"/>
      <c r="PS7" s="169"/>
      <c r="PT7" s="169"/>
      <c r="PU7" s="169"/>
      <c r="PV7" s="169"/>
      <c r="PW7" s="169"/>
      <c r="PX7" s="169"/>
      <c r="PY7" s="169"/>
      <c r="PZ7" s="169"/>
      <c r="QA7" s="169"/>
      <c r="QB7" s="169"/>
      <c r="QC7" s="169"/>
      <c r="QD7" s="169"/>
      <c r="QE7" s="169"/>
      <c r="QF7" s="169"/>
      <c r="QG7" s="181"/>
    </row>
    <row r="8" spans="1:449">
      <c r="A8" s="97" t="s">
        <v>279</v>
      </c>
      <c r="B8" s="63" t="s">
        <v>280</v>
      </c>
      <c r="C8" s="93" t="s">
        <v>4</v>
      </c>
      <c r="D8" s="93" t="s">
        <v>4</v>
      </c>
      <c r="E8" s="63"/>
      <c r="F8" s="63"/>
      <c r="G8" s="63"/>
      <c r="H8" s="72" t="s">
        <v>0</v>
      </c>
      <c r="I8" s="72" t="s">
        <v>0</v>
      </c>
      <c r="J8" s="68" t="s">
        <v>281</v>
      </c>
      <c r="K8" s="68" t="s">
        <v>281</v>
      </c>
      <c r="L8" s="70" t="s">
        <v>2</v>
      </c>
      <c r="M8" s="93" t="s">
        <v>4</v>
      </c>
      <c r="N8" s="33"/>
      <c r="O8" s="33"/>
      <c r="P8" s="33"/>
      <c r="Q8" s="33"/>
      <c r="R8" s="33" t="s">
        <v>206</v>
      </c>
      <c r="S8" s="33" t="s">
        <v>206</v>
      </c>
      <c r="T8" s="33" t="s">
        <v>207</v>
      </c>
      <c r="U8" s="33" t="s">
        <v>207</v>
      </c>
      <c r="V8" s="33" t="s">
        <v>208</v>
      </c>
      <c r="W8" s="33" t="s">
        <v>208</v>
      </c>
      <c r="X8" s="33"/>
      <c r="Y8" s="33"/>
      <c r="Z8" s="33"/>
      <c r="AA8" s="72" t="s">
        <v>0</v>
      </c>
      <c r="AB8" s="72" t="s">
        <v>0</v>
      </c>
      <c r="AC8" s="70" t="s">
        <v>2</v>
      </c>
      <c r="AD8" s="70" t="s">
        <v>2</v>
      </c>
      <c r="AE8" s="93" t="s">
        <v>4</v>
      </c>
      <c r="AF8" s="33"/>
      <c r="AG8" s="33"/>
      <c r="AH8" s="33"/>
      <c r="AI8" s="33"/>
      <c r="AJ8" s="33" t="s">
        <v>206</v>
      </c>
      <c r="AK8" s="72" t="s">
        <v>0</v>
      </c>
      <c r="AL8" s="70" t="s">
        <v>2</v>
      </c>
      <c r="AM8" s="93" t="s">
        <v>4</v>
      </c>
      <c r="AN8" s="93" t="s">
        <v>4</v>
      </c>
      <c r="AO8" s="1"/>
      <c r="AP8" s="1"/>
      <c r="AQ8" s="1"/>
      <c r="AR8" s="1"/>
      <c r="AS8" s="72" t="s">
        <v>0</v>
      </c>
      <c r="AT8" s="70" t="s">
        <v>2</v>
      </c>
      <c r="AU8" s="33" t="s">
        <v>207</v>
      </c>
      <c r="AV8" s="93" t="s">
        <v>4</v>
      </c>
      <c r="AW8" s="93" t="s">
        <v>4</v>
      </c>
      <c r="AX8" s="33"/>
      <c r="AY8" s="33"/>
      <c r="AZ8" s="33"/>
      <c r="BA8" s="72" t="s">
        <v>0</v>
      </c>
      <c r="BB8" s="72" t="s">
        <v>0</v>
      </c>
      <c r="BC8" s="70" t="s">
        <v>2</v>
      </c>
      <c r="BD8" s="70" t="s">
        <v>2</v>
      </c>
      <c r="BE8" s="71" t="s">
        <v>4</v>
      </c>
      <c r="BF8" s="33" t="s">
        <v>208</v>
      </c>
      <c r="BG8" s="33"/>
      <c r="BJ8" s="72" t="s">
        <v>0</v>
      </c>
      <c r="BK8" s="33" t="s">
        <v>206</v>
      </c>
      <c r="BL8" s="70" t="s">
        <v>2</v>
      </c>
      <c r="BM8" s="70" t="s">
        <v>2</v>
      </c>
      <c r="BN8" s="33" t="s">
        <v>208</v>
      </c>
      <c r="BO8" s="33"/>
      <c r="BP8" s="33"/>
      <c r="BQ8" s="33"/>
      <c r="BR8" s="33"/>
      <c r="BS8" s="72" t="s">
        <v>0</v>
      </c>
      <c r="BT8" s="33" t="s">
        <v>206</v>
      </c>
      <c r="BU8" s="33" t="s">
        <v>207</v>
      </c>
      <c r="BV8" s="93" t="s">
        <v>4</v>
      </c>
      <c r="BW8" s="93" t="s">
        <v>4</v>
      </c>
      <c r="BX8" s="1"/>
      <c r="BY8" s="1"/>
      <c r="BZ8" s="1"/>
      <c r="CA8" s="1"/>
      <c r="CB8" s="72" t="s">
        <v>0</v>
      </c>
      <c r="CC8" s="70" t="s">
        <v>2</v>
      </c>
      <c r="CD8" s="70" t="s">
        <v>2</v>
      </c>
      <c r="CE8" s="93" t="s">
        <v>4</v>
      </c>
      <c r="CF8" s="33" t="s">
        <v>208</v>
      </c>
      <c r="CG8" s="33"/>
      <c r="CH8" s="33"/>
      <c r="CI8" s="33"/>
      <c r="CJ8" s="68" t="s">
        <v>281</v>
      </c>
      <c r="CK8" s="68" t="s">
        <v>281</v>
      </c>
      <c r="CL8" s="70" t="s">
        <v>2</v>
      </c>
      <c r="CM8" s="70" t="s">
        <v>2</v>
      </c>
      <c r="CN8" s="71" t="s">
        <v>4</v>
      </c>
      <c r="CO8" s="71" t="s">
        <v>4</v>
      </c>
      <c r="CQ8" s="33"/>
      <c r="CR8" s="33"/>
      <c r="CS8" s="33" t="s">
        <v>206</v>
      </c>
      <c r="CT8" s="33" t="s">
        <v>206</v>
      </c>
      <c r="CU8" s="33" t="s">
        <v>207</v>
      </c>
      <c r="CV8" s="33" t="s">
        <v>208</v>
      </c>
      <c r="CW8" s="33" t="s">
        <v>208</v>
      </c>
      <c r="CY8" s="33"/>
      <c r="CZ8" s="33"/>
      <c r="DA8" s="33"/>
      <c r="DB8" s="72" t="s">
        <v>0</v>
      </c>
      <c r="DC8" s="72" t="s">
        <v>0</v>
      </c>
      <c r="DD8" s="70" t="s">
        <v>2</v>
      </c>
      <c r="DE8" s="93" t="s">
        <v>4</v>
      </c>
      <c r="DF8" s="33" t="s">
        <v>208</v>
      </c>
      <c r="DG8" s="1"/>
      <c r="DH8" s="1"/>
      <c r="DI8" s="1"/>
      <c r="DJ8" s="1"/>
      <c r="DK8" s="72" t="s">
        <v>0</v>
      </c>
      <c r="DL8" s="70" t="s">
        <v>2</v>
      </c>
      <c r="DM8" s="33" t="s">
        <v>207</v>
      </c>
      <c r="DN8" s="93" t="s">
        <v>4</v>
      </c>
      <c r="DO8" s="33" t="s">
        <v>208</v>
      </c>
      <c r="DP8" s="33"/>
      <c r="DQ8" s="33"/>
      <c r="DR8" s="33"/>
      <c r="DS8" s="33" t="s">
        <v>206</v>
      </c>
      <c r="DT8" s="33" t="s">
        <v>206</v>
      </c>
      <c r="DU8" s="33" t="s">
        <v>207</v>
      </c>
      <c r="DV8" s="1" t="s">
        <v>207</v>
      </c>
      <c r="DW8" s="1" t="s">
        <v>208</v>
      </c>
      <c r="DX8" s="1" t="s">
        <v>208</v>
      </c>
      <c r="DY8" s="33"/>
      <c r="DZ8" s="33"/>
      <c r="EA8" s="33"/>
      <c r="EB8" s="72" t="s">
        <v>0</v>
      </c>
      <c r="EC8" s="33" t="s">
        <v>206</v>
      </c>
      <c r="ED8" s="70" t="s">
        <v>2</v>
      </c>
      <c r="EE8" s="70" t="s">
        <v>2</v>
      </c>
      <c r="EF8" s="187" t="s">
        <v>4</v>
      </c>
      <c r="EG8" s="116"/>
      <c r="EH8" s="116"/>
      <c r="EI8" s="138"/>
      <c r="EJ8" s="116"/>
      <c r="EK8" s="188" t="s">
        <v>0</v>
      </c>
      <c r="EL8" s="72" t="s">
        <v>0</v>
      </c>
      <c r="EM8" s="70" t="s">
        <v>2</v>
      </c>
      <c r="EN8" s="93" t="s">
        <v>4</v>
      </c>
      <c r="EO8" s="93" t="s">
        <v>4</v>
      </c>
      <c r="EP8" s="1"/>
      <c r="EQ8" s="1"/>
      <c r="ER8" s="1"/>
      <c r="ES8" s="1"/>
      <c r="ET8" s="133" t="s">
        <v>0</v>
      </c>
      <c r="EU8" s="70" t="s">
        <v>2</v>
      </c>
      <c r="EV8" s="70" t="s">
        <v>2</v>
      </c>
      <c r="EW8" s="93" t="s">
        <v>4</v>
      </c>
      <c r="EX8" s="93" t="s">
        <v>4</v>
      </c>
      <c r="EY8" s="33"/>
      <c r="EZ8" s="33"/>
      <c r="FA8" s="33"/>
      <c r="FB8" s="72" t="s">
        <v>0</v>
      </c>
      <c r="FC8" s="72" t="s">
        <v>0</v>
      </c>
      <c r="FD8" s="70" t="s">
        <v>2</v>
      </c>
      <c r="FE8" s="70" t="s">
        <v>2</v>
      </c>
      <c r="FF8" s="71" t="s">
        <v>4</v>
      </c>
      <c r="FG8" s="71" t="s">
        <v>4</v>
      </c>
      <c r="FH8" s="33"/>
      <c r="FI8" s="33"/>
      <c r="FJ8" s="33"/>
      <c r="FK8" s="72" t="s">
        <v>0</v>
      </c>
      <c r="FL8" s="72" t="s">
        <v>0</v>
      </c>
      <c r="FM8" s="70" t="s">
        <v>2</v>
      </c>
      <c r="FN8" s="70" t="s">
        <v>2</v>
      </c>
      <c r="FO8" s="93" t="s">
        <v>4</v>
      </c>
      <c r="FP8" s="33"/>
      <c r="FQ8" s="33"/>
      <c r="FR8" s="33"/>
      <c r="FS8" s="33"/>
      <c r="FT8" s="72" t="s">
        <v>0</v>
      </c>
      <c r="FU8" s="72" t="s">
        <v>0</v>
      </c>
      <c r="FV8" s="70" t="s">
        <v>2</v>
      </c>
      <c r="FW8" s="93" t="s">
        <v>4</v>
      </c>
      <c r="FX8" s="93" t="s">
        <v>4</v>
      </c>
      <c r="FY8" s="1"/>
      <c r="FZ8" s="1"/>
      <c r="GA8" s="1"/>
      <c r="GB8" s="1"/>
      <c r="GC8" s="72" t="s">
        <v>0</v>
      </c>
      <c r="GD8" s="33" t="s">
        <v>207</v>
      </c>
      <c r="GE8" s="70" t="s">
        <v>2</v>
      </c>
      <c r="GF8" s="93" t="s">
        <v>4</v>
      </c>
      <c r="GG8" s="93" t="s">
        <v>4</v>
      </c>
      <c r="GH8" s="33"/>
      <c r="GI8" s="33"/>
      <c r="GJ8" s="33"/>
      <c r="GK8" s="72" t="s">
        <v>0</v>
      </c>
      <c r="GL8" s="72" t="s">
        <v>0</v>
      </c>
      <c r="GM8" s="70" t="s">
        <v>2</v>
      </c>
      <c r="GN8" s="70" t="s">
        <v>2</v>
      </c>
      <c r="GO8" s="71" t="s">
        <v>4</v>
      </c>
      <c r="GP8" s="71" t="s">
        <v>4</v>
      </c>
      <c r="GQ8" s="33"/>
      <c r="GR8" s="33"/>
      <c r="GS8" s="33"/>
      <c r="GT8" s="72" t="s">
        <v>0</v>
      </c>
      <c r="GU8" s="72" t="s">
        <v>0</v>
      </c>
      <c r="GV8" s="33" t="s">
        <v>207</v>
      </c>
      <c r="GW8" s="33" t="s">
        <v>207</v>
      </c>
      <c r="GX8" s="93" t="s">
        <v>4</v>
      </c>
      <c r="GY8" s="33"/>
      <c r="GZ8" s="33"/>
      <c r="HA8" s="33"/>
      <c r="HB8" s="33"/>
      <c r="HC8" s="72" t="s">
        <v>0</v>
      </c>
      <c r="HD8" s="33" t="s">
        <v>206</v>
      </c>
      <c r="HE8" s="70" t="s">
        <v>2</v>
      </c>
      <c r="HF8" s="93" t="s">
        <v>4</v>
      </c>
      <c r="HG8" s="33" t="s">
        <v>208</v>
      </c>
      <c r="HH8" s="1"/>
      <c r="HI8" s="1"/>
      <c r="HJ8" s="1"/>
      <c r="HK8" s="1"/>
      <c r="HL8" s="72" t="s">
        <v>0</v>
      </c>
      <c r="HM8" s="70" t="s">
        <v>2</v>
      </c>
      <c r="HN8" s="33" t="s">
        <v>207</v>
      </c>
      <c r="HO8" s="93" t="s">
        <v>4</v>
      </c>
      <c r="HP8" s="33" t="s">
        <v>208</v>
      </c>
      <c r="HQ8" s="33"/>
      <c r="HR8" s="33"/>
      <c r="HS8" s="33"/>
      <c r="HT8" s="72" t="s">
        <v>0</v>
      </c>
      <c r="HU8" s="33" t="s">
        <v>206</v>
      </c>
      <c r="HV8" s="70" t="s">
        <v>2</v>
      </c>
      <c r="HW8" s="70" t="s">
        <v>2</v>
      </c>
      <c r="HX8" s="71" t="s">
        <v>4</v>
      </c>
      <c r="HY8" s="33" t="s">
        <v>208</v>
      </c>
      <c r="HZ8" s="33"/>
      <c r="IA8" s="33"/>
      <c r="IB8" s="33"/>
      <c r="IC8" s="33" t="s">
        <v>206</v>
      </c>
      <c r="ID8" s="33" t="s">
        <v>206</v>
      </c>
      <c r="IE8" s="33" t="s">
        <v>207</v>
      </c>
      <c r="IF8" s="33" t="s">
        <v>207</v>
      </c>
      <c r="IG8" s="33" t="s">
        <v>208</v>
      </c>
      <c r="IH8" s="33"/>
      <c r="II8" s="33"/>
      <c r="IJ8" s="33"/>
      <c r="IK8" s="33"/>
      <c r="IL8" s="33" t="s">
        <v>206</v>
      </c>
      <c r="IM8" s="33" t="s">
        <v>206</v>
      </c>
      <c r="IN8" s="33" t="s">
        <v>207</v>
      </c>
      <c r="IO8" s="33" t="s">
        <v>208</v>
      </c>
      <c r="IP8" s="33" t="s">
        <v>208</v>
      </c>
      <c r="IQ8" s="1"/>
      <c r="IR8" s="1"/>
      <c r="IS8" s="1"/>
      <c r="IT8" s="1"/>
      <c r="IU8" s="33" t="s">
        <v>206</v>
      </c>
      <c r="IV8" s="33" t="s">
        <v>207</v>
      </c>
      <c r="IW8" s="33" t="s">
        <v>207</v>
      </c>
      <c r="IX8" s="33" t="s">
        <v>208</v>
      </c>
      <c r="IY8" s="33" t="s">
        <v>208</v>
      </c>
      <c r="IZ8" s="33"/>
      <c r="JA8" s="33"/>
      <c r="JB8" s="33"/>
      <c r="JC8" s="72" t="s">
        <v>0</v>
      </c>
      <c r="JD8" s="72" t="s">
        <v>0</v>
      </c>
      <c r="JE8" s="70" t="s">
        <v>2</v>
      </c>
      <c r="JF8" s="70" t="s">
        <v>2</v>
      </c>
      <c r="JG8" s="71" t="s">
        <v>4</v>
      </c>
      <c r="JH8" s="71" t="s">
        <v>4</v>
      </c>
      <c r="JI8" s="33"/>
      <c r="JJ8" s="33"/>
      <c r="JK8" s="33"/>
      <c r="JL8" s="72" t="s">
        <v>0</v>
      </c>
      <c r="JM8" s="72" t="s">
        <v>0</v>
      </c>
      <c r="JN8" s="70" t="s">
        <v>2</v>
      </c>
      <c r="JO8" s="70" t="s">
        <v>2</v>
      </c>
      <c r="JP8" s="93" t="s">
        <v>4</v>
      </c>
      <c r="JQ8" s="33"/>
      <c r="JR8" s="33"/>
      <c r="JS8" s="33"/>
      <c r="JT8" s="33"/>
      <c r="JU8" s="72" t="s">
        <v>0</v>
      </c>
      <c r="JV8" s="72" t="s">
        <v>0</v>
      </c>
      <c r="JW8" s="70" t="s">
        <v>2</v>
      </c>
      <c r="JX8" s="93" t="s">
        <v>4</v>
      </c>
      <c r="JY8" s="93" t="s">
        <v>4</v>
      </c>
      <c r="JZ8" s="1"/>
      <c r="KA8" s="1"/>
      <c r="KB8" s="1"/>
      <c r="KC8" s="1"/>
      <c r="KD8" s="72" t="s">
        <v>0</v>
      </c>
      <c r="KE8" s="70" t="s">
        <v>2</v>
      </c>
      <c r="KF8" s="70" t="s">
        <v>2</v>
      </c>
      <c r="KG8" s="93" t="s">
        <v>4</v>
      </c>
      <c r="KH8" s="93" t="s">
        <v>4</v>
      </c>
      <c r="KI8" s="33"/>
      <c r="KJ8" s="33"/>
      <c r="KK8" s="33"/>
      <c r="KL8" s="72" t="s">
        <v>0</v>
      </c>
      <c r="KM8" s="72" t="s">
        <v>0</v>
      </c>
      <c r="KN8" s="70" t="s">
        <v>2</v>
      </c>
      <c r="KO8" s="70" t="s">
        <v>2</v>
      </c>
      <c r="KP8" s="71" t="s">
        <v>4</v>
      </c>
      <c r="KQ8" s="71" t="s">
        <v>4</v>
      </c>
      <c r="KR8" s="33"/>
      <c r="KS8" s="33"/>
      <c r="KT8" s="33"/>
      <c r="KU8" s="72" t="s">
        <v>0</v>
      </c>
      <c r="KV8" s="72" t="s">
        <v>0</v>
      </c>
      <c r="KW8" s="70" t="s">
        <v>2</v>
      </c>
      <c r="KX8" s="70" t="s">
        <v>2</v>
      </c>
      <c r="KY8" s="93" t="s">
        <v>4</v>
      </c>
      <c r="KZ8" s="33"/>
      <c r="LA8" s="33"/>
      <c r="LB8" s="33"/>
      <c r="LC8" s="33"/>
      <c r="LD8" s="72" t="s">
        <v>0</v>
      </c>
      <c r="LE8" s="72" t="s">
        <v>0</v>
      </c>
      <c r="LF8" s="70" t="s">
        <v>2</v>
      </c>
      <c r="LG8" s="93" t="s">
        <v>4</v>
      </c>
      <c r="LH8" s="93" t="s">
        <v>4</v>
      </c>
      <c r="LI8" s="1"/>
      <c r="LJ8" s="1"/>
      <c r="LK8" s="1"/>
      <c r="LL8" s="1"/>
      <c r="LM8" s="72" t="s">
        <v>0</v>
      </c>
      <c r="LN8" s="70" t="s">
        <v>2</v>
      </c>
      <c r="LO8" s="70" t="s">
        <v>2</v>
      </c>
      <c r="LP8" s="93" t="s">
        <v>4</v>
      </c>
      <c r="LQ8" s="93" t="s">
        <v>4</v>
      </c>
      <c r="LR8" s="33"/>
      <c r="LS8" s="33"/>
      <c r="LT8" s="33"/>
      <c r="LU8" s="72" t="s">
        <v>0</v>
      </c>
      <c r="LV8" s="72" t="s">
        <v>0</v>
      </c>
      <c r="LW8" s="70" t="s">
        <v>2</v>
      </c>
      <c r="LX8" s="70" t="s">
        <v>2</v>
      </c>
      <c r="LY8" s="71" t="s">
        <v>4</v>
      </c>
      <c r="LZ8" s="71" t="s">
        <v>4</v>
      </c>
      <c r="MA8" s="33"/>
      <c r="MB8" s="33"/>
      <c r="MC8" s="33"/>
      <c r="MD8" s="72" t="s">
        <v>0</v>
      </c>
      <c r="ME8" s="72" t="s">
        <v>0</v>
      </c>
      <c r="MF8" s="70" t="s">
        <v>2</v>
      </c>
      <c r="MG8" s="70" t="s">
        <v>2</v>
      </c>
      <c r="MH8" s="93" t="s">
        <v>4</v>
      </c>
      <c r="MI8" s="33"/>
      <c r="MJ8" s="33"/>
      <c r="MK8" s="33"/>
      <c r="ML8" s="33"/>
      <c r="MM8" s="72" t="s">
        <v>0</v>
      </c>
      <c r="MN8" s="72" t="s">
        <v>0</v>
      </c>
      <c r="MO8" s="70" t="s">
        <v>2</v>
      </c>
      <c r="MP8" s="93" t="s">
        <v>4</v>
      </c>
      <c r="MQ8" s="93" t="s">
        <v>4</v>
      </c>
      <c r="MR8" s="1"/>
      <c r="MS8" s="1"/>
      <c r="MT8" s="1"/>
      <c r="MU8" s="1"/>
      <c r="MV8" s="72" t="s">
        <v>0</v>
      </c>
      <c r="MW8" s="70" t="s">
        <v>2</v>
      </c>
      <c r="MX8" s="70" t="s">
        <v>2</v>
      </c>
      <c r="MY8" s="93" t="s">
        <v>4</v>
      </c>
      <c r="MZ8" s="93" t="s">
        <v>4</v>
      </c>
      <c r="NA8" s="33"/>
      <c r="NB8" s="33"/>
      <c r="NC8" s="33"/>
      <c r="ND8" s="72" t="s">
        <v>0</v>
      </c>
      <c r="NE8" s="72" t="s">
        <v>0</v>
      </c>
      <c r="NF8" s="70" t="s">
        <v>2</v>
      </c>
      <c r="NG8" s="70" t="s">
        <v>2</v>
      </c>
      <c r="NH8" s="71" t="s">
        <v>4</v>
      </c>
      <c r="NI8" s="71" t="s">
        <v>4</v>
      </c>
      <c r="NJ8" s="33"/>
      <c r="NK8" s="33"/>
      <c r="NL8" s="33"/>
      <c r="NM8" s="191" t="s">
        <v>206</v>
      </c>
      <c r="NN8" s="192" t="s">
        <v>206</v>
      </c>
      <c r="NO8" s="70" t="s">
        <v>2</v>
      </c>
      <c r="NP8" s="33" t="s">
        <v>207</v>
      </c>
      <c r="NQ8" s="73">
        <f>COUNTIF(J8:NP8,"o")</f>
        <v>53</v>
      </c>
      <c r="NR8" s="73">
        <f>COUNTIF(J8:NP8,"m")</f>
        <v>56</v>
      </c>
      <c r="NS8" s="73">
        <f>COUNTIF(J8:NP8,"mx")</f>
        <v>4</v>
      </c>
      <c r="NT8" s="73">
        <f>COUNTIF(J8:NP8,"n")</f>
        <v>55</v>
      </c>
      <c r="NU8" s="73">
        <f>COUNTIF(J8:NP8,"z")</f>
        <v>0</v>
      </c>
      <c r="NV8" s="73">
        <f>COUNTIF(J8:NP8,"v")</f>
        <v>0</v>
      </c>
      <c r="NW8" s="73">
        <f>COUNTIF(J8:NP8,"x")</f>
        <v>0</v>
      </c>
      <c r="NX8" s="73">
        <f>COUNTIF(J8:NP8,"Opl")+COUNTIF(J8:NP8,"Examen")</f>
        <v>0</v>
      </c>
      <c r="NY8" s="77">
        <f>SUM(NQ8:NX9)</f>
        <v>225</v>
      </c>
      <c r="NZ8" s="74">
        <f>NY8*8/53</f>
        <v>33.962264150943398</v>
      </c>
      <c r="OA8" s="146"/>
    </row>
    <row r="9" spans="1:449">
      <c r="A9" s="97"/>
      <c r="B9" s="73"/>
      <c r="C9" s="73"/>
      <c r="D9" s="73"/>
      <c r="E9" s="73"/>
      <c r="F9" s="73"/>
      <c r="G9" s="73"/>
      <c r="H9" s="73"/>
      <c r="I9" s="73"/>
      <c r="J9" s="1"/>
      <c r="K9" s="1"/>
      <c r="L9" s="1"/>
      <c r="M9" s="1"/>
      <c r="N9" s="1"/>
      <c r="O9" s="1"/>
      <c r="P9" s="1"/>
      <c r="Q9" s="1"/>
      <c r="R9" s="103" t="s">
        <v>6</v>
      </c>
      <c r="S9" s="103" t="s">
        <v>6</v>
      </c>
      <c r="T9" s="103" t="s">
        <v>6</v>
      </c>
      <c r="U9" s="103" t="s">
        <v>6</v>
      </c>
      <c r="V9" s="103" t="s">
        <v>6</v>
      </c>
      <c r="W9" s="103" t="s">
        <v>6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93" t="s">
        <v>4</v>
      </c>
      <c r="AP9" s="1"/>
      <c r="AQ9" s="1"/>
      <c r="AR9" s="1"/>
      <c r="AS9" s="1"/>
      <c r="AT9" s="1"/>
      <c r="AU9" s="93" t="s">
        <v>4</v>
      </c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10" t="s">
        <v>8</v>
      </c>
      <c r="BH9" s="110" t="s">
        <v>8</v>
      </c>
      <c r="BI9" s="110" t="s">
        <v>8</v>
      </c>
      <c r="BJ9" s="1"/>
      <c r="BK9" s="119" t="s">
        <v>282</v>
      </c>
      <c r="BL9" s="1"/>
      <c r="BM9" s="1"/>
      <c r="BN9" s="110" t="s">
        <v>8</v>
      </c>
      <c r="BO9" s="1"/>
      <c r="BP9" s="1"/>
      <c r="BQ9" s="1"/>
      <c r="BR9" s="1"/>
      <c r="BS9" s="1"/>
      <c r="BT9" s="1"/>
      <c r="BU9" s="93" t="s">
        <v>4</v>
      </c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19" t="s">
        <v>282</v>
      </c>
      <c r="CK9" s="1"/>
      <c r="CL9" s="1"/>
      <c r="CM9" s="1"/>
      <c r="CN9" s="1"/>
      <c r="CO9" s="1"/>
      <c r="CP9" s="71" t="s">
        <v>4</v>
      </c>
      <c r="CQ9" s="1"/>
      <c r="CR9" s="1"/>
      <c r="CS9" s="106" t="s">
        <v>283</v>
      </c>
      <c r="CT9" s="68" t="s">
        <v>281</v>
      </c>
      <c r="CU9" s="72" t="s">
        <v>0</v>
      </c>
      <c r="CV9" s="68" t="s">
        <v>281</v>
      </c>
      <c r="CW9" s="70" t="s">
        <v>2</v>
      </c>
      <c r="CX9" s="1"/>
      <c r="CY9" s="1"/>
      <c r="CZ9" s="106" t="s">
        <v>283</v>
      </c>
      <c r="DA9" s="1"/>
      <c r="DB9" s="1"/>
      <c r="DC9" s="1"/>
      <c r="DD9" s="1"/>
      <c r="DE9" s="1"/>
      <c r="DF9" s="1"/>
      <c r="DG9" s="106" t="s">
        <v>283</v>
      </c>
      <c r="DH9" s="1"/>
      <c r="DI9" s="1"/>
      <c r="DJ9" s="1"/>
      <c r="DK9" s="1"/>
      <c r="DL9" s="1"/>
      <c r="DM9" s="100" t="s">
        <v>281</v>
      </c>
      <c r="DN9" s="106" t="s">
        <v>283</v>
      </c>
      <c r="DO9" s="1"/>
      <c r="DP9" s="1"/>
      <c r="DQ9" s="1"/>
      <c r="DR9" s="1"/>
      <c r="DS9" s="103" t="s">
        <v>6</v>
      </c>
      <c r="DT9" s="103" t="s">
        <v>6</v>
      </c>
      <c r="DU9" s="103" t="s">
        <v>6</v>
      </c>
      <c r="DV9" s="103" t="s">
        <v>6</v>
      </c>
      <c r="DW9" s="103" t="s">
        <v>6</v>
      </c>
      <c r="DX9" s="103" t="s">
        <v>6</v>
      </c>
      <c r="DY9" s="1"/>
      <c r="DZ9" s="1"/>
      <c r="EA9" s="1"/>
      <c r="EB9" s="1"/>
      <c r="EC9" s="106" t="s">
        <v>284</v>
      </c>
      <c r="ED9" s="1"/>
      <c r="EE9" s="1"/>
      <c r="EF9" s="1"/>
      <c r="EH9" s="116"/>
      <c r="EI9" s="190"/>
      <c r="EJ9" s="190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72" t="s">
        <v>0</v>
      </c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28" t="s">
        <v>6</v>
      </c>
      <c r="GW9" s="128" t="s">
        <v>6</v>
      </c>
      <c r="GX9" s="1"/>
      <c r="GY9" s="1"/>
      <c r="GZ9" s="1"/>
      <c r="HA9" s="1"/>
      <c r="HB9" s="72" t="s">
        <v>0</v>
      </c>
      <c r="HC9" s="1"/>
      <c r="HD9" s="70" t="s">
        <v>2</v>
      </c>
      <c r="HE9" s="1"/>
      <c r="HF9" s="1"/>
      <c r="HG9" s="1"/>
      <c r="HH9" s="1"/>
      <c r="HI9" s="1"/>
      <c r="HJ9" s="1"/>
      <c r="HK9" s="72" t="s">
        <v>0</v>
      </c>
      <c r="HL9" s="1"/>
      <c r="HM9" s="1"/>
      <c r="HN9" s="93" t="s">
        <v>4</v>
      </c>
      <c r="HO9" s="1"/>
      <c r="HP9" s="1"/>
      <c r="HQ9" s="1"/>
      <c r="HR9" s="1"/>
      <c r="HS9" s="72" t="s">
        <v>0</v>
      </c>
      <c r="HT9" s="1"/>
      <c r="HU9" s="70" t="s">
        <v>2</v>
      </c>
      <c r="HV9" s="1"/>
      <c r="HW9" s="1"/>
      <c r="HX9" s="1"/>
      <c r="HY9" s="1"/>
      <c r="HZ9" s="1"/>
      <c r="IA9" s="1"/>
      <c r="IB9" s="1"/>
      <c r="IC9" s="128" t="s">
        <v>6</v>
      </c>
      <c r="ID9" s="128" t="s">
        <v>6</v>
      </c>
      <c r="IE9" s="128" t="s">
        <v>6</v>
      </c>
      <c r="IF9" s="128" t="s">
        <v>6</v>
      </c>
      <c r="IG9" s="128" t="s">
        <v>6</v>
      </c>
      <c r="IH9" s="1"/>
      <c r="II9" s="1"/>
      <c r="IJ9" s="1"/>
      <c r="IK9" s="1"/>
      <c r="IL9" s="128" t="s">
        <v>6</v>
      </c>
      <c r="IM9" s="128" t="s">
        <v>6</v>
      </c>
      <c r="IN9" s="128" t="s">
        <v>6</v>
      </c>
      <c r="IO9" s="128" t="s">
        <v>6</v>
      </c>
      <c r="IP9" s="128" t="s">
        <v>6</v>
      </c>
      <c r="IQ9" s="1"/>
      <c r="IR9" s="1"/>
      <c r="IS9" s="1"/>
      <c r="IT9" s="1"/>
      <c r="IU9" s="128" t="s">
        <v>6</v>
      </c>
      <c r="IV9" s="128" t="s">
        <v>6</v>
      </c>
      <c r="IW9" s="128" t="s">
        <v>6</v>
      </c>
      <c r="IX9" s="128" t="s">
        <v>6</v>
      </c>
      <c r="IY9" s="128" t="s">
        <v>6</v>
      </c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93" t="s">
        <v>6</v>
      </c>
      <c r="NN9" s="194" t="s">
        <v>6</v>
      </c>
      <c r="NO9" s="1"/>
      <c r="NP9" s="135" t="s">
        <v>4</v>
      </c>
      <c r="NQ9" s="73">
        <f t="shared" ref="NQ9:NQ23" si="0">COUNTIF(J9:NP9,"o")</f>
        <v>5</v>
      </c>
      <c r="NR9" s="73">
        <f t="shared" ref="NR9:NR23" si="1">COUNTIF(J9:NP9,"m")</f>
        <v>3</v>
      </c>
      <c r="NS9" s="73">
        <f t="shared" ref="NS9:NS23" si="2">COUNTIF(J9:NP9,"mx")</f>
        <v>3</v>
      </c>
      <c r="NT9" s="73">
        <f t="shared" ref="NT9:NT23" si="3">COUNTIF(J9:NP9,"n")</f>
        <v>6</v>
      </c>
      <c r="NU9" s="73">
        <f t="shared" ref="NU9:NU23" si="4">COUNTIF(J9:NP9,"z")</f>
        <v>0</v>
      </c>
      <c r="NV9" s="73">
        <f t="shared" ref="NV9:NV23" si="5">COUNTIF(J9:NP9,"v")</f>
        <v>31</v>
      </c>
      <c r="NW9" s="73">
        <f t="shared" ref="NW9:NW23" si="6">COUNTIF(J9:NP9,"x")</f>
        <v>4</v>
      </c>
      <c r="NX9" s="73">
        <f>COUNTIF(J9:NP9,"Opl")+COUNTIF(J9:NP9,"Examen")</f>
        <v>5</v>
      </c>
      <c r="NY9" s="73"/>
      <c r="NZ9" s="74"/>
      <c r="OA9" s="146"/>
    </row>
    <row r="10" spans="1:449">
      <c r="A10" s="97" t="s">
        <v>203</v>
      </c>
      <c r="B10" s="63" t="s">
        <v>285</v>
      </c>
      <c r="C10" s="33" t="s">
        <v>207</v>
      </c>
      <c r="D10" s="33" t="s">
        <v>207</v>
      </c>
      <c r="E10" s="33" t="s">
        <v>208</v>
      </c>
      <c r="F10" s="33" t="s">
        <v>208</v>
      </c>
      <c r="H10" s="63"/>
      <c r="I10" s="63"/>
      <c r="J10" s="1"/>
      <c r="K10" s="33" t="s">
        <v>206</v>
      </c>
      <c r="L10" s="33" t="s">
        <v>207</v>
      </c>
      <c r="M10" s="33" t="s">
        <v>207</v>
      </c>
      <c r="N10" s="33" t="s">
        <v>208</v>
      </c>
      <c r="O10" s="33" t="s">
        <v>208</v>
      </c>
      <c r="P10" s="33"/>
      <c r="Q10" s="33"/>
      <c r="R10" s="33"/>
      <c r="S10" s="72" t="s">
        <v>0</v>
      </c>
      <c r="T10" s="33" t="s">
        <v>206</v>
      </c>
      <c r="U10" s="70" t="s">
        <v>2</v>
      </c>
      <c r="V10" s="33" t="s">
        <v>207</v>
      </c>
      <c r="W10" s="71" t="s">
        <v>4</v>
      </c>
      <c r="X10" s="33" t="s">
        <v>208</v>
      </c>
      <c r="Y10" s="33"/>
      <c r="Z10" s="33"/>
      <c r="AA10" s="33"/>
      <c r="AB10" s="100" t="s">
        <v>281</v>
      </c>
      <c r="AC10" s="72" t="s">
        <v>0</v>
      </c>
      <c r="AD10" s="70" t="s">
        <v>2</v>
      </c>
      <c r="AE10" s="70" t="s">
        <v>2</v>
      </c>
      <c r="AF10" s="93" t="s">
        <v>4</v>
      </c>
      <c r="AG10" s="33"/>
      <c r="AH10" s="33"/>
      <c r="AI10" s="33"/>
      <c r="AJ10" s="33"/>
      <c r="AK10" s="33" t="s">
        <v>206</v>
      </c>
      <c r="AL10" s="33" t="s">
        <v>206</v>
      </c>
      <c r="AM10" s="33" t="s">
        <v>207</v>
      </c>
      <c r="AN10" s="33" t="s">
        <v>208</v>
      </c>
      <c r="AO10" s="33" t="s">
        <v>208</v>
      </c>
      <c r="AP10" s="1"/>
      <c r="AQ10" s="1"/>
      <c r="AR10" s="1"/>
      <c r="AS10" s="1"/>
      <c r="AT10" s="33" t="s">
        <v>206</v>
      </c>
      <c r="AU10" s="33" t="s">
        <v>207</v>
      </c>
      <c r="AV10" s="70" t="s">
        <v>2</v>
      </c>
      <c r="AW10" s="33" t="s">
        <v>208</v>
      </c>
      <c r="AX10" s="93" t="s">
        <v>4</v>
      </c>
      <c r="AY10" s="33"/>
      <c r="AZ10" s="33"/>
      <c r="BA10" s="33"/>
      <c r="BB10" s="33" t="s">
        <v>206</v>
      </c>
      <c r="BC10" s="72" t="s">
        <v>0</v>
      </c>
      <c r="BD10" s="70" t="s">
        <v>2</v>
      </c>
      <c r="BE10" s="70" t="s">
        <v>2</v>
      </c>
      <c r="BF10" s="71" t="s">
        <v>4</v>
      </c>
      <c r="BG10" s="71" t="s">
        <v>4</v>
      </c>
      <c r="BH10" s="33"/>
      <c r="BI10" s="33"/>
      <c r="BJ10" s="33"/>
      <c r="BK10" s="72" t="s">
        <v>0</v>
      </c>
      <c r="BL10" s="72" t="s">
        <v>0</v>
      </c>
      <c r="BM10" s="33" t="s">
        <v>207</v>
      </c>
      <c r="BN10" s="33" t="s">
        <v>207</v>
      </c>
      <c r="BO10" s="93" t="s">
        <v>4</v>
      </c>
      <c r="BP10" s="33"/>
      <c r="BQ10" s="33"/>
      <c r="BR10" s="33"/>
      <c r="BS10" s="33"/>
      <c r="BT10" s="72" t="s">
        <v>0</v>
      </c>
      <c r="BU10" s="33" t="s">
        <v>206</v>
      </c>
      <c r="BV10" s="70" t="s">
        <v>2</v>
      </c>
      <c r="BW10" s="33" t="s">
        <v>208</v>
      </c>
      <c r="BX10" s="93" t="s">
        <v>4</v>
      </c>
      <c r="BY10" s="1"/>
      <c r="BZ10" s="1"/>
      <c r="CA10" s="1"/>
      <c r="CB10" s="1"/>
      <c r="CC10" s="72" t="s">
        <v>0</v>
      </c>
      <c r="CD10" s="33" t="s">
        <v>207</v>
      </c>
      <c r="CE10" s="70" t="s">
        <v>2</v>
      </c>
      <c r="CF10" s="93" t="s">
        <v>4</v>
      </c>
      <c r="CG10" s="93" t="s">
        <v>4</v>
      </c>
      <c r="CH10" s="33"/>
      <c r="CI10" s="33"/>
      <c r="CJ10" s="33"/>
      <c r="CK10" s="72" t="s">
        <v>0</v>
      </c>
      <c r="CL10" s="72" t="s">
        <v>0</v>
      </c>
      <c r="CM10" s="70" t="s">
        <v>2</v>
      </c>
      <c r="CN10" s="33" t="s">
        <v>207</v>
      </c>
      <c r="CO10" s="33" t="s">
        <v>208</v>
      </c>
      <c r="CP10" s="33" t="s">
        <v>208</v>
      </c>
      <c r="CQ10" s="33"/>
      <c r="CR10" s="33"/>
      <c r="CS10" s="33"/>
      <c r="CT10" s="72" t="s">
        <v>0</v>
      </c>
      <c r="CU10" s="33" t="s">
        <v>206</v>
      </c>
      <c r="CV10" s="70" t="s">
        <v>2</v>
      </c>
      <c r="CW10" s="93" t="s">
        <v>4</v>
      </c>
      <c r="CX10" s="93" t="s">
        <v>4</v>
      </c>
      <c r="CY10" s="33"/>
      <c r="CZ10" s="33"/>
      <c r="DA10" s="33"/>
      <c r="DB10" s="33"/>
      <c r="DC10" s="33" t="s">
        <v>206</v>
      </c>
      <c r="DD10" s="33" t="s">
        <v>206</v>
      </c>
      <c r="DE10" s="33" t="s">
        <v>207</v>
      </c>
      <c r="DF10" s="33" t="s">
        <v>208</v>
      </c>
      <c r="DG10" s="33" t="s">
        <v>208</v>
      </c>
      <c r="DH10" s="1"/>
      <c r="DI10" s="1"/>
      <c r="DJ10" s="1"/>
      <c r="DK10" s="1"/>
      <c r="DL10" s="72" t="s">
        <v>0</v>
      </c>
      <c r="DM10" s="70" t="s">
        <v>2</v>
      </c>
      <c r="DN10" s="70" t="s">
        <v>2</v>
      </c>
      <c r="DO10" s="93" t="s">
        <v>4</v>
      </c>
      <c r="DP10" s="93" t="s">
        <v>4</v>
      </c>
      <c r="DQ10" s="33"/>
      <c r="DR10" s="33"/>
      <c r="DS10" s="33"/>
      <c r="DT10" s="33" t="s">
        <v>206</v>
      </c>
      <c r="DU10" s="33" t="s">
        <v>206</v>
      </c>
      <c r="DV10" s="33" t="s">
        <v>207</v>
      </c>
      <c r="DW10" s="33" t="s">
        <v>207</v>
      </c>
      <c r="DX10" s="33" t="s">
        <v>208</v>
      </c>
      <c r="DY10" s="33" t="s">
        <v>208</v>
      </c>
      <c r="DZ10" s="33"/>
      <c r="EA10" s="33"/>
      <c r="EB10" s="33"/>
      <c r="EC10" s="72" t="s">
        <v>0</v>
      </c>
      <c r="ED10" s="72" t="s">
        <v>0</v>
      </c>
      <c r="EE10" s="70" t="s">
        <v>2</v>
      </c>
      <c r="EF10" s="70" t="s">
        <v>2</v>
      </c>
      <c r="EG10" s="93" t="s">
        <v>4</v>
      </c>
      <c r="EH10" s="33"/>
      <c r="EI10" s="33"/>
      <c r="EJ10" s="33"/>
      <c r="EK10" s="33"/>
      <c r="EL10" s="1" t="s">
        <v>206</v>
      </c>
      <c r="EM10" s="72" t="s">
        <v>0</v>
      </c>
      <c r="EN10" s="70" t="s">
        <v>2</v>
      </c>
      <c r="EO10" s="1" t="s">
        <v>208</v>
      </c>
      <c r="EP10" s="93" t="s">
        <v>4</v>
      </c>
      <c r="ER10" s="1"/>
      <c r="ES10" s="1"/>
      <c r="ET10" s="1"/>
      <c r="EU10" s="133" t="s">
        <v>0</v>
      </c>
      <c r="EV10" s="70" t="s">
        <v>2</v>
      </c>
      <c r="EW10" s="70" t="s">
        <v>2</v>
      </c>
      <c r="EX10" s="93" t="s">
        <v>4</v>
      </c>
      <c r="EY10" s="93" t="s">
        <v>4</v>
      </c>
      <c r="EZ10" s="33"/>
      <c r="FA10" s="33"/>
      <c r="FB10" s="33"/>
      <c r="FC10" s="72" t="s">
        <v>0</v>
      </c>
      <c r="FD10" s="72" t="s">
        <v>0</v>
      </c>
      <c r="FE10" s="70" t="s">
        <v>2</v>
      </c>
      <c r="FF10" s="70" t="s">
        <v>2</v>
      </c>
      <c r="FG10" s="71" t="s">
        <v>4</v>
      </c>
      <c r="FH10" s="71" t="s">
        <v>4</v>
      </c>
      <c r="FI10" s="33"/>
      <c r="FJ10" s="33"/>
      <c r="FK10" s="33"/>
      <c r="FL10" s="72" t="s">
        <v>0</v>
      </c>
      <c r="FM10" s="72" t="s">
        <v>0</v>
      </c>
      <c r="FN10" s="70" t="s">
        <v>2</v>
      </c>
      <c r="FO10" s="70" t="s">
        <v>2</v>
      </c>
      <c r="FP10" s="93" t="s">
        <v>4</v>
      </c>
      <c r="FQ10" s="33"/>
      <c r="FR10" s="33"/>
      <c r="FS10" s="33"/>
      <c r="FT10" s="33"/>
      <c r="FU10" s="33" t="s">
        <v>206</v>
      </c>
      <c r="FV10" s="33" t="s">
        <v>206</v>
      </c>
      <c r="FW10" s="33" t="s">
        <v>207</v>
      </c>
      <c r="FX10" s="33" t="s">
        <v>208</v>
      </c>
      <c r="FY10" s="33" t="s">
        <v>208</v>
      </c>
      <c r="FZ10" s="1"/>
      <c r="GA10" s="1"/>
      <c r="GB10" s="1"/>
      <c r="GC10" s="1"/>
      <c r="GD10" s="33" t="s">
        <v>206</v>
      </c>
      <c r="GE10" s="33" t="s">
        <v>207</v>
      </c>
      <c r="GF10" s="33" t="s">
        <v>207</v>
      </c>
      <c r="GG10" s="33" t="s">
        <v>208</v>
      </c>
      <c r="GH10" s="33" t="s">
        <v>208</v>
      </c>
      <c r="GI10" s="33"/>
      <c r="GJ10" s="33"/>
      <c r="GK10" s="33"/>
      <c r="GL10" s="72" t="s">
        <v>0</v>
      </c>
      <c r="GM10" s="72" t="s">
        <v>0</v>
      </c>
      <c r="GN10" s="70" t="s">
        <v>2</v>
      </c>
      <c r="GO10" s="70" t="s">
        <v>2</v>
      </c>
      <c r="GP10" s="71" t="s">
        <v>4</v>
      </c>
      <c r="GQ10" s="71" t="s">
        <v>4</v>
      </c>
      <c r="GR10" s="33"/>
      <c r="GS10" s="33"/>
      <c r="GT10" s="33"/>
      <c r="GU10" s="72" t="s">
        <v>0</v>
      </c>
      <c r="GV10" s="122" t="s">
        <v>206</v>
      </c>
      <c r="GW10" s="70" t="s">
        <v>2</v>
      </c>
      <c r="GX10" s="70" t="s">
        <v>2</v>
      </c>
      <c r="GY10" s="93" t="s">
        <v>4</v>
      </c>
      <c r="GZ10" s="93" t="s">
        <v>4</v>
      </c>
      <c r="HA10" s="33"/>
      <c r="HB10" s="33"/>
      <c r="HC10" s="33"/>
      <c r="HD10" s="72" t="s">
        <v>0</v>
      </c>
      <c r="HE10" s="72" t="s">
        <v>0</v>
      </c>
      <c r="HF10" s="70" t="s">
        <v>2</v>
      </c>
      <c r="HG10" s="93" t="s">
        <v>4</v>
      </c>
      <c r="HH10" s="93" t="s">
        <v>4</v>
      </c>
      <c r="HI10" s="1"/>
      <c r="HJ10" s="1"/>
      <c r="HK10" s="1"/>
      <c r="HL10" s="1"/>
      <c r="HM10" s="72" t="s">
        <v>0</v>
      </c>
      <c r="HN10" s="70" t="s">
        <v>2</v>
      </c>
      <c r="HO10" s="70" t="s">
        <v>2</v>
      </c>
      <c r="HP10" s="93" t="s">
        <v>4</v>
      </c>
      <c r="HQ10" s="93" t="s">
        <v>4</v>
      </c>
      <c r="HR10" s="33"/>
      <c r="HS10" s="33"/>
      <c r="HT10" s="33"/>
      <c r="HU10" s="72" t="s">
        <v>0</v>
      </c>
      <c r="HV10" s="72" t="s">
        <v>0</v>
      </c>
      <c r="HW10" s="70" t="s">
        <v>2</v>
      </c>
      <c r="HX10" s="70" t="s">
        <v>2</v>
      </c>
      <c r="HY10" s="71" t="s">
        <v>4</v>
      </c>
      <c r="HZ10" s="71" t="s">
        <v>4</v>
      </c>
      <c r="IA10" s="33"/>
      <c r="IB10" s="33"/>
      <c r="IC10" s="33"/>
      <c r="ID10" s="72" t="s">
        <v>0</v>
      </c>
      <c r="IE10" s="33" t="s">
        <v>206</v>
      </c>
      <c r="IF10" s="70" t="s">
        <v>2</v>
      </c>
      <c r="IG10" s="33" t="s">
        <v>207</v>
      </c>
      <c r="IH10" s="93" t="s">
        <v>4</v>
      </c>
      <c r="II10" s="33"/>
      <c r="IJ10" s="33"/>
      <c r="IK10" s="33"/>
      <c r="IL10" s="33"/>
      <c r="IM10" s="33" t="s">
        <v>206</v>
      </c>
      <c r="IN10" s="33" t="s">
        <v>206</v>
      </c>
      <c r="IO10" s="33" t="s">
        <v>207</v>
      </c>
      <c r="IP10" s="93" t="s">
        <v>4</v>
      </c>
      <c r="IQ10" s="33" t="s">
        <v>208</v>
      </c>
      <c r="IR10" s="1"/>
      <c r="IS10" s="1"/>
      <c r="IT10" s="1"/>
      <c r="IU10" s="1"/>
      <c r="IV10" s="72" t="s">
        <v>0</v>
      </c>
      <c r="IW10" s="70" t="s">
        <v>2</v>
      </c>
      <c r="IX10" s="70" t="s">
        <v>2</v>
      </c>
      <c r="IY10" s="93" t="s">
        <v>4</v>
      </c>
      <c r="IZ10" s="93" t="s">
        <v>4</v>
      </c>
      <c r="JA10" s="33"/>
      <c r="JB10" s="33"/>
      <c r="JC10" s="33"/>
      <c r="JD10" s="72" t="s">
        <v>0</v>
      </c>
      <c r="JE10" s="72" t="s">
        <v>0</v>
      </c>
      <c r="JF10" s="70" t="s">
        <v>2</v>
      </c>
      <c r="JG10" s="70" t="s">
        <v>2</v>
      </c>
      <c r="JH10" s="33" t="s">
        <v>208</v>
      </c>
      <c r="JI10" s="71" t="s">
        <v>4</v>
      </c>
      <c r="JJ10" s="33"/>
      <c r="JK10" s="33"/>
      <c r="JL10" s="33"/>
      <c r="JM10" s="72" t="s">
        <v>0</v>
      </c>
      <c r="JN10" s="72" t="s">
        <v>0</v>
      </c>
      <c r="JO10" s="70" t="s">
        <v>2</v>
      </c>
      <c r="JP10" s="70" t="s">
        <v>2</v>
      </c>
      <c r="JQ10" s="93" t="s">
        <v>4</v>
      </c>
      <c r="JR10" s="33"/>
      <c r="JS10" s="33"/>
      <c r="JT10" s="33"/>
      <c r="JU10" s="33"/>
      <c r="JV10" s="33" t="s">
        <v>206</v>
      </c>
      <c r="JW10" s="33" t="s">
        <v>206</v>
      </c>
      <c r="JX10" s="33" t="s">
        <v>207</v>
      </c>
      <c r="JY10" s="33" t="s">
        <v>208</v>
      </c>
      <c r="JZ10" s="33" t="s">
        <v>208</v>
      </c>
      <c r="KA10" s="1"/>
      <c r="KB10" s="1"/>
      <c r="KC10" s="1"/>
      <c r="KD10" s="1"/>
      <c r="KE10" s="72" t="s">
        <v>0</v>
      </c>
      <c r="KF10" s="70" t="s">
        <v>2</v>
      </c>
      <c r="KG10" s="70" t="s">
        <v>2</v>
      </c>
      <c r="KH10" s="93" t="s">
        <v>4</v>
      </c>
      <c r="KI10" s="93" t="s">
        <v>4</v>
      </c>
      <c r="KJ10" s="33"/>
      <c r="KK10" s="33"/>
      <c r="KL10" s="33"/>
      <c r="KM10" s="72" t="s">
        <v>0</v>
      </c>
      <c r="KN10" s="72" t="s">
        <v>0</v>
      </c>
      <c r="KO10" s="70" t="s">
        <v>2</v>
      </c>
      <c r="KP10" s="70" t="s">
        <v>2</v>
      </c>
      <c r="KQ10" s="71" t="s">
        <v>4</v>
      </c>
      <c r="KR10" s="71" t="s">
        <v>4</v>
      </c>
      <c r="KS10" s="33"/>
      <c r="KT10" s="33"/>
      <c r="KU10" s="33"/>
      <c r="KV10" s="72" t="s">
        <v>0</v>
      </c>
      <c r="KW10" s="72" t="s">
        <v>0</v>
      </c>
      <c r="KX10" s="70" t="s">
        <v>2</v>
      </c>
      <c r="KY10" s="70" t="s">
        <v>2</v>
      </c>
      <c r="KZ10" s="93" t="s">
        <v>4</v>
      </c>
      <c r="LA10" s="33"/>
      <c r="LB10" s="33"/>
      <c r="LC10" s="33"/>
      <c r="LD10" s="33"/>
      <c r="LE10" s="72" t="s">
        <v>0</v>
      </c>
      <c r="LF10" s="72" t="s">
        <v>0</v>
      </c>
      <c r="LG10" s="70" t="s">
        <v>2</v>
      </c>
      <c r="LH10" s="93" t="s">
        <v>4</v>
      </c>
      <c r="LI10" s="93" t="s">
        <v>4</v>
      </c>
      <c r="LJ10" s="1"/>
      <c r="LK10" s="1"/>
      <c r="LL10" s="1"/>
      <c r="LM10" s="1"/>
      <c r="LN10" s="72" t="s">
        <v>0</v>
      </c>
      <c r="LO10" s="70" t="s">
        <v>2</v>
      </c>
      <c r="LP10" s="70" t="s">
        <v>2</v>
      </c>
      <c r="LQ10" s="93" t="s">
        <v>4</v>
      </c>
      <c r="LR10" s="93" t="s">
        <v>4</v>
      </c>
      <c r="LS10" s="33"/>
      <c r="LT10" s="33"/>
      <c r="LU10" s="33"/>
      <c r="LV10" s="72" t="s">
        <v>0</v>
      </c>
      <c r="LW10" s="72" t="s">
        <v>0</v>
      </c>
      <c r="LX10" s="70" t="s">
        <v>2</v>
      </c>
      <c r="LY10" s="70" t="s">
        <v>2</v>
      </c>
      <c r="LZ10" s="71" t="s">
        <v>4</v>
      </c>
      <c r="MA10" s="71" t="s">
        <v>4</v>
      </c>
      <c r="MB10" s="33"/>
      <c r="MC10" s="33"/>
      <c r="MD10" s="33"/>
      <c r="ME10" s="72" t="s">
        <v>0</v>
      </c>
      <c r="MF10" s="72" t="s">
        <v>0</v>
      </c>
      <c r="MG10" s="70" t="s">
        <v>2</v>
      </c>
      <c r="MH10" s="70" t="s">
        <v>2</v>
      </c>
      <c r="MI10" s="93" t="s">
        <v>4</v>
      </c>
      <c r="MJ10" s="33"/>
      <c r="MK10" s="33"/>
      <c r="ML10" s="33"/>
      <c r="MM10" s="33"/>
      <c r="MN10" s="72" t="s">
        <v>0</v>
      </c>
      <c r="MO10" s="72" t="s">
        <v>0</v>
      </c>
      <c r="MP10" s="70" t="s">
        <v>2</v>
      </c>
      <c r="MQ10" s="93" t="s">
        <v>4</v>
      </c>
      <c r="MR10" s="93" t="s">
        <v>4</v>
      </c>
      <c r="MS10" s="1"/>
      <c r="MT10" s="1"/>
      <c r="MU10" s="1"/>
      <c r="MV10" s="1"/>
      <c r="MW10" s="72" t="s">
        <v>0</v>
      </c>
      <c r="MX10" s="70" t="s">
        <v>2</v>
      </c>
      <c r="MY10" s="70" t="s">
        <v>2</v>
      </c>
      <c r="MZ10" s="93" t="s">
        <v>4</v>
      </c>
      <c r="NA10" s="93" t="s">
        <v>4</v>
      </c>
      <c r="NB10" s="33"/>
      <c r="NC10" s="33"/>
      <c r="ND10" s="33"/>
      <c r="NE10" s="33" t="s">
        <v>206</v>
      </c>
      <c r="NF10" s="33" t="s">
        <v>206</v>
      </c>
      <c r="NG10" s="33" t="s">
        <v>207</v>
      </c>
      <c r="NH10" s="191" t="s">
        <v>207</v>
      </c>
      <c r="NI10" s="192" t="s">
        <v>208</v>
      </c>
      <c r="NJ10" s="192" t="s">
        <v>208</v>
      </c>
      <c r="NK10" s="33"/>
      <c r="NL10" s="33"/>
      <c r="NM10" s="33"/>
      <c r="NN10" s="72" t="s">
        <v>0</v>
      </c>
      <c r="NO10" s="72" t="s">
        <v>0</v>
      </c>
      <c r="NP10" s="70" t="s">
        <v>2</v>
      </c>
      <c r="NQ10" s="73">
        <f t="shared" si="0"/>
        <v>50</v>
      </c>
      <c r="NR10" s="73">
        <f t="shared" si="1"/>
        <v>54</v>
      </c>
      <c r="NS10" s="73">
        <f t="shared" si="2"/>
        <v>1</v>
      </c>
      <c r="NT10" s="73">
        <f t="shared" si="3"/>
        <v>52</v>
      </c>
      <c r="NU10" s="73">
        <f t="shared" si="4"/>
        <v>0</v>
      </c>
      <c r="NV10" s="73">
        <f t="shared" si="5"/>
        <v>0</v>
      </c>
      <c r="NW10" s="73">
        <f t="shared" si="6"/>
        <v>0</v>
      </c>
      <c r="NX10" s="73">
        <f>COUNTIF(J10:NP10,"Opl")+COUNTIF(J10:NP10,"Examen")</f>
        <v>0</v>
      </c>
      <c r="NY10" s="77">
        <f>SUM(NQ10:NX11)</f>
        <v>224</v>
      </c>
      <c r="NZ10" s="74">
        <f t="shared" ref="NZ10:NZ22" si="7">NY10*8/53</f>
        <v>33.811320754716981</v>
      </c>
      <c r="OA10" s="145" t="s">
        <v>286</v>
      </c>
    </row>
    <row r="11" spans="1:449" ht="12" customHeight="1">
      <c r="A11" s="97"/>
      <c r="B11" s="73"/>
      <c r="C11" s="103" t="s">
        <v>6</v>
      </c>
      <c r="D11" s="103" t="s">
        <v>6</v>
      </c>
      <c r="E11" s="103" t="s">
        <v>6</v>
      </c>
      <c r="F11" s="103" t="s">
        <v>6</v>
      </c>
      <c r="G11" s="73"/>
      <c r="H11" s="73"/>
      <c r="I11" s="73"/>
      <c r="J11" s="1"/>
      <c r="K11" s="103" t="s">
        <v>6</v>
      </c>
      <c r="L11" s="103" t="s">
        <v>6</v>
      </c>
      <c r="M11" s="103" t="s">
        <v>6</v>
      </c>
      <c r="N11" s="103" t="s">
        <v>6</v>
      </c>
      <c r="O11" s="103" t="s">
        <v>6</v>
      </c>
      <c r="P11" s="1"/>
      <c r="Q11" s="1"/>
      <c r="R11" s="1"/>
      <c r="S11" s="1"/>
      <c r="T11" s="70" t="s">
        <v>2</v>
      </c>
      <c r="U11" s="1"/>
      <c r="V11" s="71" t="s">
        <v>4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93" t="s">
        <v>4</v>
      </c>
      <c r="AH11" s="1"/>
      <c r="AI11" s="1"/>
      <c r="AJ11" s="1"/>
      <c r="AK11" s="103" t="s">
        <v>6</v>
      </c>
      <c r="AL11" s="103" t="s">
        <v>6</v>
      </c>
      <c r="AM11" s="103" t="s">
        <v>6</v>
      </c>
      <c r="AN11" s="103" t="s">
        <v>6</v>
      </c>
      <c r="AO11" s="103" t="s">
        <v>6</v>
      </c>
      <c r="AP11" s="1"/>
      <c r="AQ11" s="1"/>
      <c r="AR11" s="1"/>
      <c r="AS11" s="1"/>
      <c r="AT11" s="1"/>
      <c r="AU11" s="72" t="s">
        <v>0</v>
      </c>
      <c r="AV11" s="1"/>
      <c r="AW11" s="70" t="s">
        <v>2</v>
      </c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71" t="s">
        <v>4</v>
      </c>
      <c r="BI11" s="1"/>
      <c r="BJ11" s="1"/>
      <c r="BK11" s="1"/>
      <c r="BL11" s="1"/>
      <c r="BM11" s="72" t="s">
        <v>0</v>
      </c>
      <c r="BN11" s="93" t="s">
        <v>4</v>
      </c>
      <c r="BO11" s="1"/>
      <c r="BP11" s="1"/>
      <c r="BQ11" s="1"/>
      <c r="BR11" s="1"/>
      <c r="BS11" s="1"/>
      <c r="BT11" s="1"/>
      <c r="BU11" s="70" t="s">
        <v>2</v>
      </c>
      <c r="BV11" s="1"/>
      <c r="BW11" s="70" t="s">
        <v>2</v>
      </c>
      <c r="BX11" s="1"/>
      <c r="BY11" s="1"/>
      <c r="BZ11" s="1"/>
      <c r="CA11" s="1"/>
      <c r="CB11" s="1"/>
      <c r="CC11" s="1"/>
      <c r="CD11" s="72" t="s">
        <v>0</v>
      </c>
      <c r="CE11" s="1"/>
      <c r="CF11" s="1"/>
      <c r="CG11" s="1"/>
      <c r="CH11" s="1"/>
      <c r="CI11" s="1"/>
      <c r="CJ11" s="1"/>
      <c r="CK11" s="1"/>
      <c r="CL11" s="1"/>
      <c r="CM11" s="1"/>
      <c r="CN11" s="103" t="s">
        <v>6</v>
      </c>
      <c r="CO11" s="103" t="s">
        <v>6</v>
      </c>
      <c r="CP11" s="1"/>
      <c r="CQ11" s="1"/>
      <c r="CR11" s="1"/>
      <c r="CS11" s="72" t="s">
        <v>0</v>
      </c>
      <c r="CU11" s="70" t="s">
        <v>2</v>
      </c>
      <c r="CX11" s="33"/>
      <c r="CY11" s="1"/>
      <c r="CZ11" s="1"/>
      <c r="DA11" s="1"/>
      <c r="DB11" s="1"/>
      <c r="DC11" s="103" t="s">
        <v>6</v>
      </c>
      <c r="DD11" s="103" t="s">
        <v>6</v>
      </c>
      <c r="DE11" s="103" t="s">
        <v>6</v>
      </c>
      <c r="DF11" s="103" t="s">
        <v>6</v>
      </c>
      <c r="DG11" s="103" t="s">
        <v>6</v>
      </c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72" t="s">
        <v>0</v>
      </c>
      <c r="DT11" s="72" t="s">
        <v>0</v>
      </c>
      <c r="DU11" s="70" t="s">
        <v>2</v>
      </c>
      <c r="DV11" s="70" t="s">
        <v>2</v>
      </c>
      <c r="DW11" s="71" t="s">
        <v>4</v>
      </c>
      <c r="DX11" s="71" t="s">
        <v>4</v>
      </c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70" t="s">
        <v>2</v>
      </c>
      <c r="EP11" s="1"/>
      <c r="EQ11" s="93" t="s">
        <v>4</v>
      </c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28" t="s">
        <v>6</v>
      </c>
      <c r="FV11" s="128" t="s">
        <v>6</v>
      </c>
      <c r="FW11" s="128" t="s">
        <v>6</v>
      </c>
      <c r="FX11" s="128" t="s">
        <v>6</v>
      </c>
      <c r="FY11" s="128" t="s">
        <v>6</v>
      </c>
      <c r="FZ11" s="1"/>
      <c r="GA11" s="1"/>
      <c r="GB11" s="1"/>
      <c r="GC11" s="1"/>
      <c r="GD11" s="128" t="s">
        <v>6</v>
      </c>
      <c r="GE11" s="128" t="s">
        <v>6</v>
      </c>
      <c r="GF11" s="128" t="s">
        <v>6</v>
      </c>
      <c r="GG11" s="128" t="s">
        <v>6</v>
      </c>
      <c r="GH11" s="128" t="s">
        <v>6</v>
      </c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70" t="s">
        <v>2</v>
      </c>
      <c r="GW11" s="1"/>
      <c r="GX11" s="1"/>
      <c r="GY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70" t="s">
        <v>2</v>
      </c>
      <c r="IF11" s="1"/>
      <c r="IG11" s="93" t="s">
        <v>4</v>
      </c>
      <c r="IH11" s="1"/>
      <c r="II11" s="1"/>
      <c r="IJ11" s="1"/>
      <c r="IK11" s="1"/>
      <c r="IL11" s="72" t="s">
        <v>0</v>
      </c>
      <c r="IM11" s="70" t="s">
        <v>2</v>
      </c>
      <c r="IN11" s="70" t="s">
        <v>2</v>
      </c>
      <c r="IO11" s="93" t="s">
        <v>4</v>
      </c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70" t="s">
        <v>2</v>
      </c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28" t="s">
        <v>6</v>
      </c>
      <c r="JW11" s="128" t="s">
        <v>6</v>
      </c>
      <c r="JX11" s="128" t="s">
        <v>6</v>
      </c>
      <c r="JY11" s="128" t="s">
        <v>6</v>
      </c>
      <c r="JZ11" s="128" t="s">
        <v>6</v>
      </c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03" t="s">
        <v>6</v>
      </c>
      <c r="NF11" s="103" t="s">
        <v>6</v>
      </c>
      <c r="NG11" s="103" t="s">
        <v>6</v>
      </c>
      <c r="NH11" s="193" t="s">
        <v>6</v>
      </c>
      <c r="NI11" s="194" t="s">
        <v>6</v>
      </c>
      <c r="NJ11" s="194" t="s">
        <v>6</v>
      </c>
      <c r="NK11" s="1"/>
      <c r="NL11" s="1"/>
      <c r="NM11" s="1"/>
      <c r="NN11" s="1"/>
      <c r="NO11" s="1"/>
      <c r="NP11" s="1"/>
      <c r="NQ11" s="73">
        <f t="shared" si="0"/>
        <v>7</v>
      </c>
      <c r="NR11" s="73">
        <f t="shared" si="1"/>
        <v>13</v>
      </c>
      <c r="NS11" s="73">
        <f t="shared" si="2"/>
        <v>0</v>
      </c>
      <c r="NT11" s="73">
        <f t="shared" si="3"/>
        <v>9</v>
      </c>
      <c r="NU11" s="73">
        <f t="shared" si="4"/>
        <v>0</v>
      </c>
      <c r="NV11" s="73">
        <f t="shared" si="5"/>
        <v>38</v>
      </c>
      <c r="NW11" s="73">
        <f t="shared" si="6"/>
        <v>0</v>
      </c>
      <c r="NX11" s="73">
        <f>COUNTIF(J11:NP11,"Opl")+COUNTIF(J11:NP11,"Examen")</f>
        <v>0</v>
      </c>
      <c r="NY11" s="73"/>
      <c r="NZ11" s="74"/>
      <c r="OA11" s="146"/>
    </row>
    <row r="12" spans="1:449" ht="11.25" customHeight="1">
      <c r="A12" s="97" t="s">
        <v>85</v>
      </c>
      <c r="B12" s="63" t="s">
        <v>287</v>
      </c>
      <c r="C12" s="33"/>
      <c r="D12" s="33"/>
      <c r="E12" s="33"/>
      <c r="F12" s="33"/>
      <c r="G12" s="72" t="s">
        <v>0</v>
      </c>
      <c r="H12" s="72" t="s">
        <v>0</v>
      </c>
      <c r="I12" s="33"/>
      <c r="J12" s="1"/>
      <c r="K12" s="1"/>
      <c r="L12" s="72" t="s">
        <v>0</v>
      </c>
      <c r="M12" s="68" t="s">
        <v>281</v>
      </c>
      <c r="N12" s="71" t="s">
        <v>4</v>
      </c>
      <c r="O12" s="93" t="s">
        <v>4</v>
      </c>
      <c r="P12" s="33" t="s">
        <v>208</v>
      </c>
      <c r="Q12" s="120" t="s">
        <v>282</v>
      </c>
      <c r="R12" s="33"/>
      <c r="S12" s="33"/>
      <c r="T12" s="72" t="s">
        <v>0</v>
      </c>
      <c r="U12" s="108" t="s">
        <v>10</v>
      </c>
      <c r="V12" s="70" t="s">
        <v>2</v>
      </c>
      <c r="W12" s="70" t="s">
        <v>2</v>
      </c>
      <c r="X12" s="71" t="s">
        <v>4</v>
      </c>
      <c r="Y12" s="108" t="s">
        <v>10</v>
      </c>
      <c r="Z12" s="33"/>
      <c r="AA12" s="33"/>
      <c r="AB12" s="33"/>
      <c r="AC12" s="108" t="s">
        <v>10</v>
      </c>
      <c r="AD12" s="108" t="s">
        <v>10</v>
      </c>
      <c r="AE12" s="108" t="s">
        <v>10</v>
      </c>
      <c r="AF12" s="108" t="s">
        <v>10</v>
      </c>
      <c r="AG12" s="108" t="s">
        <v>10</v>
      </c>
      <c r="AH12" s="33"/>
      <c r="AI12" s="33"/>
      <c r="AJ12" s="33"/>
      <c r="AK12" s="33"/>
      <c r="AL12" s="108" t="s">
        <v>10</v>
      </c>
      <c r="AM12" s="108" t="s">
        <v>10</v>
      </c>
      <c r="AN12" s="108" t="s">
        <v>10</v>
      </c>
      <c r="AO12" s="108" t="s">
        <v>10</v>
      </c>
      <c r="AP12" s="108" t="s">
        <v>10</v>
      </c>
      <c r="AQ12" s="1"/>
      <c r="AR12" s="1"/>
      <c r="AS12" s="1"/>
      <c r="AT12" s="1"/>
      <c r="AU12" s="108" t="s">
        <v>10</v>
      </c>
      <c r="AV12" s="108" t="s">
        <v>10</v>
      </c>
      <c r="AW12" s="108" t="s">
        <v>10</v>
      </c>
      <c r="AX12" s="108" t="s">
        <v>10</v>
      </c>
      <c r="AY12" s="108" t="s">
        <v>10</v>
      </c>
      <c r="AZ12" s="33"/>
      <c r="BA12" s="33"/>
      <c r="BB12" s="33"/>
      <c r="BC12" s="108" t="s">
        <v>10</v>
      </c>
      <c r="BD12" s="108" t="s">
        <v>10</v>
      </c>
      <c r="BE12" s="108" t="s">
        <v>10</v>
      </c>
      <c r="BF12" s="108" t="s">
        <v>10</v>
      </c>
      <c r="BG12" s="108" t="s">
        <v>10</v>
      </c>
      <c r="BH12" s="108" t="s">
        <v>10</v>
      </c>
      <c r="BI12" s="33"/>
      <c r="BJ12" s="33"/>
      <c r="BK12" s="33"/>
      <c r="BL12" s="108" t="s">
        <v>10</v>
      </c>
      <c r="BM12" s="108" t="s">
        <v>10</v>
      </c>
      <c r="BN12" s="108" t="s">
        <v>10</v>
      </c>
      <c r="BO12" s="108" t="s">
        <v>10</v>
      </c>
      <c r="BP12" s="108" t="s">
        <v>10</v>
      </c>
      <c r="BQ12" s="33"/>
      <c r="BR12" s="33"/>
      <c r="BS12" s="33"/>
      <c r="BT12" s="33"/>
      <c r="BU12" s="108" t="s">
        <v>10</v>
      </c>
      <c r="BV12" s="108" t="s">
        <v>10</v>
      </c>
      <c r="BW12" s="108" t="s">
        <v>10</v>
      </c>
      <c r="BX12" s="108" t="s">
        <v>10</v>
      </c>
      <c r="BY12" s="108" t="s">
        <v>10</v>
      </c>
      <c r="BZ12" s="1"/>
      <c r="CA12" s="1"/>
      <c r="CB12" s="1"/>
      <c r="CC12" s="1"/>
      <c r="CD12" s="108" t="s">
        <v>10</v>
      </c>
      <c r="CE12" s="108" t="s">
        <v>10</v>
      </c>
      <c r="CF12" s="108" t="s">
        <v>10</v>
      </c>
      <c r="CG12" s="108" t="s">
        <v>10</v>
      </c>
      <c r="CH12" s="108" t="s">
        <v>10</v>
      </c>
      <c r="CI12" s="33"/>
      <c r="CJ12" s="33"/>
      <c r="CK12" s="33"/>
      <c r="CL12" s="108" t="s">
        <v>10</v>
      </c>
      <c r="CM12" s="108" t="s">
        <v>10</v>
      </c>
      <c r="CN12" s="108" t="s">
        <v>10</v>
      </c>
      <c r="CO12" s="108" t="s">
        <v>10</v>
      </c>
      <c r="CP12" s="108" t="s">
        <v>10</v>
      </c>
      <c r="CQ12" s="108" t="s">
        <v>10</v>
      </c>
      <c r="CR12" s="33"/>
      <c r="CS12" s="33"/>
      <c r="CT12" s="33"/>
      <c r="CU12" s="72" t="s">
        <v>0</v>
      </c>
      <c r="CV12" s="108" t="s">
        <v>10</v>
      </c>
      <c r="CW12" s="70" t="s">
        <v>2</v>
      </c>
      <c r="CX12" s="108" t="s">
        <v>10</v>
      </c>
      <c r="CY12" s="93" t="s">
        <v>4</v>
      </c>
      <c r="CZ12" s="33"/>
      <c r="DA12" s="33"/>
      <c r="DB12" s="33"/>
      <c r="DC12" s="33"/>
      <c r="DD12" s="72" t="s">
        <v>0</v>
      </c>
      <c r="DE12" s="33" t="s">
        <v>206</v>
      </c>
      <c r="DF12" s="33" t="s">
        <v>207</v>
      </c>
      <c r="DG12" s="93" t="s">
        <v>4</v>
      </c>
      <c r="DH12" s="1" t="s">
        <v>208</v>
      </c>
      <c r="DI12" s="1"/>
      <c r="DJ12" s="1"/>
      <c r="DK12" s="1"/>
      <c r="DL12" s="1"/>
      <c r="DM12" s="72" t="s">
        <v>0</v>
      </c>
      <c r="DN12" s="70" t="s">
        <v>2</v>
      </c>
      <c r="DO12" s="70" t="s">
        <v>2</v>
      </c>
      <c r="DP12" s="1" t="s">
        <v>208</v>
      </c>
      <c r="DQ12" s="1" t="s">
        <v>208</v>
      </c>
      <c r="DR12" s="33"/>
      <c r="DS12" s="33"/>
      <c r="DT12" s="33"/>
      <c r="DU12" s="72" t="s">
        <v>0</v>
      </c>
      <c r="DV12" s="72" t="s">
        <v>0</v>
      </c>
      <c r="DW12" s="33" t="s">
        <v>207</v>
      </c>
      <c r="DX12" s="70" t="s">
        <v>2</v>
      </c>
      <c r="DY12" s="71" t="s">
        <v>4</v>
      </c>
      <c r="DZ12" s="1" t="s">
        <v>208</v>
      </c>
      <c r="EA12" s="33"/>
      <c r="EB12" s="33"/>
      <c r="EC12" s="33"/>
      <c r="ED12" s="72" t="s">
        <v>0</v>
      </c>
      <c r="EE12" s="72" t="s">
        <v>0</v>
      </c>
      <c r="EF12" s="70" t="s">
        <v>2</v>
      </c>
      <c r="EG12" s="70" t="s">
        <v>2</v>
      </c>
      <c r="EH12" s="93" t="s">
        <v>4</v>
      </c>
      <c r="EI12" s="33"/>
      <c r="EJ12" s="33"/>
      <c r="EK12" s="33"/>
      <c r="EL12" s="33"/>
      <c r="EM12" s="72" t="s">
        <v>0</v>
      </c>
      <c r="EN12" s="72" t="s">
        <v>0</v>
      </c>
      <c r="EO12" s="70" t="s">
        <v>2</v>
      </c>
      <c r="EP12" s="1" t="s">
        <v>208</v>
      </c>
      <c r="EQ12" s="33" t="s">
        <v>208</v>
      </c>
      <c r="ER12" s="1"/>
      <c r="ES12" s="1"/>
      <c r="ET12" s="1"/>
      <c r="EU12" s="1"/>
      <c r="EV12" s="72" t="s">
        <v>0</v>
      </c>
      <c r="EW12" s="70" t="s">
        <v>2</v>
      </c>
      <c r="EX12" s="70" t="s">
        <v>2</v>
      </c>
      <c r="EY12" s="33" t="s">
        <v>208</v>
      </c>
      <c r="EZ12" s="93" t="s">
        <v>4</v>
      </c>
      <c r="FA12" s="33"/>
      <c r="FB12" s="33"/>
      <c r="FC12" s="33"/>
      <c r="FD12" s="72" t="s">
        <v>0</v>
      </c>
      <c r="FE12" s="33" t="s">
        <v>206</v>
      </c>
      <c r="FF12" s="33" t="s">
        <v>207</v>
      </c>
      <c r="FG12" s="33" t="s">
        <v>207</v>
      </c>
      <c r="FH12" s="71" t="s">
        <v>4</v>
      </c>
      <c r="FI12" s="71" t="s">
        <v>4</v>
      </c>
      <c r="FJ12" s="33"/>
      <c r="FK12" s="33"/>
      <c r="FL12" s="33"/>
      <c r="FM12" s="72" t="s">
        <v>0</v>
      </c>
      <c r="FN12" s="72" t="s">
        <v>0</v>
      </c>
      <c r="FO12" s="33" t="s">
        <v>207</v>
      </c>
      <c r="FP12" s="70" t="s">
        <v>2</v>
      </c>
      <c r="FQ12" s="93" t="s">
        <v>4</v>
      </c>
      <c r="FR12" s="33"/>
      <c r="FS12" s="33"/>
      <c r="FT12" s="33"/>
      <c r="FU12" s="33"/>
      <c r="FV12" s="72" t="s">
        <v>0</v>
      </c>
      <c r="FW12" s="33" t="s">
        <v>206</v>
      </c>
      <c r="FX12" s="70" t="s">
        <v>2</v>
      </c>
      <c r="FY12" s="93" t="s">
        <v>4</v>
      </c>
      <c r="FZ12" s="1" t="s">
        <v>208</v>
      </c>
      <c r="GA12" s="1"/>
      <c r="GB12" s="1"/>
      <c r="GC12" s="1"/>
      <c r="GD12" s="1"/>
      <c r="GE12" s="72" t="s">
        <v>0</v>
      </c>
      <c r="GF12" s="70" t="s">
        <v>2</v>
      </c>
      <c r="GG12" s="70" t="s">
        <v>2</v>
      </c>
      <c r="GH12" s="93" t="s">
        <v>4</v>
      </c>
      <c r="GI12" s="93" t="s">
        <v>4</v>
      </c>
      <c r="GJ12" s="33"/>
      <c r="GK12" s="33"/>
      <c r="GL12" s="33"/>
      <c r="GM12" s="72" t="s">
        <v>0</v>
      </c>
      <c r="GN12" s="72" t="s">
        <v>0</v>
      </c>
      <c r="GO12" s="70" t="s">
        <v>2</v>
      </c>
      <c r="GP12" s="70" t="s">
        <v>2</v>
      </c>
      <c r="GQ12" s="71" t="s">
        <v>4</v>
      </c>
      <c r="GR12" s="71" t="s">
        <v>4</v>
      </c>
      <c r="GS12" s="33"/>
      <c r="GT12" s="33"/>
      <c r="GU12" s="33"/>
      <c r="GV12" s="72" t="s">
        <v>0</v>
      </c>
      <c r="GW12" s="33" t="s">
        <v>206</v>
      </c>
      <c r="GX12" s="33" t="s">
        <v>207</v>
      </c>
      <c r="GY12" s="33" t="s">
        <v>207</v>
      </c>
      <c r="GZ12" s="33" t="s">
        <v>208</v>
      </c>
      <c r="HA12" s="33"/>
      <c r="HB12" s="33"/>
      <c r="HC12" s="33"/>
      <c r="HD12" s="33"/>
      <c r="HE12" s="72" t="s">
        <v>0</v>
      </c>
      <c r="HF12" s="72" t="s">
        <v>0</v>
      </c>
      <c r="HG12" s="70" t="s">
        <v>2</v>
      </c>
      <c r="HH12" s="93" t="s">
        <v>4</v>
      </c>
      <c r="HI12" s="93" t="s">
        <v>4</v>
      </c>
      <c r="HJ12" s="1"/>
      <c r="HK12" s="1"/>
      <c r="HL12" s="1"/>
      <c r="HM12" s="1"/>
      <c r="HN12" s="72" t="s">
        <v>0</v>
      </c>
      <c r="HO12" s="70" t="s">
        <v>2</v>
      </c>
      <c r="HP12" s="70" t="s">
        <v>2</v>
      </c>
      <c r="HQ12" s="93" t="s">
        <v>4</v>
      </c>
      <c r="HR12" s="93" t="s">
        <v>4</v>
      </c>
      <c r="HS12" s="33"/>
      <c r="HT12" s="33"/>
      <c r="HU12" s="33"/>
      <c r="HV12" s="72" t="s">
        <v>0</v>
      </c>
      <c r="HW12" s="72" t="s">
        <v>0</v>
      </c>
      <c r="HX12" s="70" t="s">
        <v>2</v>
      </c>
      <c r="HY12" s="70" t="s">
        <v>2</v>
      </c>
      <c r="HZ12" s="71" t="s">
        <v>4</v>
      </c>
      <c r="IA12" s="71" t="s">
        <v>4</v>
      </c>
      <c r="IB12" s="33"/>
      <c r="IC12" s="33"/>
      <c r="ID12" s="33"/>
      <c r="IE12" s="72" t="s">
        <v>0</v>
      </c>
      <c r="IF12" s="72" t="s">
        <v>0</v>
      </c>
      <c r="IG12" s="70" t="s">
        <v>2</v>
      </c>
      <c r="IH12" s="70" t="s">
        <v>2</v>
      </c>
      <c r="II12" s="93" t="s">
        <v>4</v>
      </c>
      <c r="IJ12" s="33"/>
      <c r="IK12" s="33"/>
      <c r="IL12" s="33"/>
      <c r="IM12" s="33"/>
      <c r="IN12" s="72" t="s">
        <v>0</v>
      </c>
      <c r="IO12" s="33" t="s">
        <v>206</v>
      </c>
      <c r="IP12" s="70" t="s">
        <v>2</v>
      </c>
      <c r="IQ12" s="93" t="s">
        <v>4</v>
      </c>
      <c r="IR12" s="33" t="s">
        <v>208</v>
      </c>
      <c r="IS12" s="1"/>
      <c r="IT12" s="1"/>
      <c r="IU12" s="1"/>
      <c r="IV12" s="1"/>
      <c r="IW12" s="72" t="s">
        <v>0</v>
      </c>
      <c r="IX12" s="70" t="s">
        <v>2</v>
      </c>
      <c r="IY12" s="70" t="s">
        <v>2</v>
      </c>
      <c r="IZ12" s="93" t="s">
        <v>4</v>
      </c>
      <c r="JA12" s="1" t="s">
        <v>208</v>
      </c>
      <c r="JB12" s="33"/>
      <c r="JC12" s="33"/>
      <c r="JD12" s="33"/>
      <c r="JE12" s="33" t="s">
        <v>206</v>
      </c>
      <c r="JF12" s="33" t="s">
        <v>206</v>
      </c>
      <c r="JG12" s="33" t="s">
        <v>207</v>
      </c>
      <c r="JH12" s="33" t="s">
        <v>207</v>
      </c>
      <c r="JI12" s="33" t="s">
        <v>208</v>
      </c>
      <c r="JJ12" s="33" t="s">
        <v>208</v>
      </c>
      <c r="JK12" s="33"/>
      <c r="JL12" s="33"/>
      <c r="JM12" s="33"/>
      <c r="JN12" s="33" t="s">
        <v>206</v>
      </c>
      <c r="JO12" s="33" t="s">
        <v>206</v>
      </c>
      <c r="JP12" s="33" t="s">
        <v>207</v>
      </c>
      <c r="JQ12" s="33" t="s">
        <v>207</v>
      </c>
      <c r="JR12" s="33" t="s">
        <v>208</v>
      </c>
      <c r="JS12" s="33"/>
      <c r="JT12" s="33"/>
      <c r="JU12" s="33"/>
      <c r="JV12" s="33"/>
      <c r="JW12" s="72" t="s">
        <v>0</v>
      </c>
      <c r="JX12" s="33" t="s">
        <v>206</v>
      </c>
      <c r="JY12" s="70" t="s">
        <v>2</v>
      </c>
      <c r="JZ12" s="93" t="s">
        <v>4</v>
      </c>
      <c r="KA12" s="33" t="s">
        <v>208</v>
      </c>
      <c r="KB12" s="1"/>
      <c r="KC12" s="1"/>
      <c r="KD12" s="1"/>
      <c r="KE12" s="1"/>
      <c r="KF12" s="72" t="s">
        <v>0</v>
      </c>
      <c r="KG12" s="70" t="s">
        <v>2</v>
      </c>
      <c r="KH12" s="70" t="s">
        <v>2</v>
      </c>
      <c r="KI12" s="93" t="s">
        <v>4</v>
      </c>
      <c r="KJ12" s="33" t="s">
        <v>208</v>
      </c>
      <c r="KK12" s="33"/>
      <c r="KL12" s="33"/>
      <c r="KM12" s="33"/>
      <c r="KN12" s="72" t="s">
        <v>0</v>
      </c>
      <c r="KO12" s="72" t="s">
        <v>0</v>
      </c>
      <c r="KP12" s="70" t="s">
        <v>2</v>
      </c>
      <c r="KQ12" s="70" t="s">
        <v>2</v>
      </c>
      <c r="KR12" s="71" t="s">
        <v>4</v>
      </c>
      <c r="KS12" s="33" t="s">
        <v>208</v>
      </c>
      <c r="KT12" s="33"/>
      <c r="KU12" s="33"/>
      <c r="KV12" s="33"/>
      <c r="KW12" s="72" t="s">
        <v>0</v>
      </c>
      <c r="KX12" s="72" t="s">
        <v>0</v>
      </c>
      <c r="KY12" s="70" t="s">
        <v>2</v>
      </c>
      <c r="KZ12" s="70" t="s">
        <v>2</v>
      </c>
      <c r="LA12" s="93" t="s">
        <v>4</v>
      </c>
      <c r="LB12" s="33"/>
      <c r="LC12" s="115"/>
      <c r="LD12" s="115"/>
      <c r="LE12" s="33"/>
      <c r="LF12" s="72" t="s">
        <v>0</v>
      </c>
      <c r="LG12" s="72" t="s">
        <v>0</v>
      </c>
      <c r="LH12" s="70" t="s">
        <v>2</v>
      </c>
      <c r="LI12" s="93" t="s">
        <v>4</v>
      </c>
      <c r="LJ12" s="33" t="s">
        <v>208</v>
      </c>
      <c r="LK12" s="1"/>
      <c r="LL12" s="1"/>
      <c r="LM12" s="1"/>
      <c r="LN12" s="1"/>
      <c r="LO12" s="72" t="s">
        <v>0</v>
      </c>
      <c r="LP12" s="70" t="s">
        <v>2</v>
      </c>
      <c r="LQ12" s="70" t="s">
        <v>2</v>
      </c>
      <c r="LR12" s="93" t="s">
        <v>4</v>
      </c>
      <c r="LS12" s="93" t="s">
        <v>4</v>
      </c>
      <c r="LT12" s="33"/>
      <c r="LU12" s="33"/>
      <c r="LV12" s="33"/>
      <c r="LW12" s="72" t="s">
        <v>0</v>
      </c>
      <c r="LX12" s="72" t="s">
        <v>0</v>
      </c>
      <c r="LY12" s="70" t="s">
        <v>2</v>
      </c>
      <c r="LZ12" s="70" t="s">
        <v>2</v>
      </c>
      <c r="MA12" s="71" t="s">
        <v>4</v>
      </c>
      <c r="MB12" s="33" t="s">
        <v>208</v>
      </c>
      <c r="MC12" s="33"/>
      <c r="MD12" s="33"/>
      <c r="ME12" s="33"/>
      <c r="MF12" s="72" t="s">
        <v>0</v>
      </c>
      <c r="MG12" s="72" t="s">
        <v>0</v>
      </c>
      <c r="MH12" s="70" t="s">
        <v>2</v>
      </c>
      <c r="MI12" s="70" t="s">
        <v>2</v>
      </c>
      <c r="MJ12" s="93" t="s">
        <v>4</v>
      </c>
      <c r="MK12" s="33"/>
      <c r="ML12" s="33"/>
      <c r="MM12" s="33"/>
      <c r="MN12" s="33"/>
      <c r="MO12" s="72" t="s">
        <v>0</v>
      </c>
      <c r="MP12" s="72" t="s">
        <v>0</v>
      </c>
      <c r="MQ12" s="70" t="s">
        <v>2</v>
      </c>
      <c r="MR12" s="93" t="s">
        <v>4</v>
      </c>
      <c r="MS12" s="93" t="s">
        <v>4</v>
      </c>
      <c r="MT12" s="1"/>
      <c r="MU12" s="1"/>
      <c r="MV12" s="1"/>
      <c r="MW12" s="1"/>
      <c r="MX12" s="72" t="s">
        <v>0</v>
      </c>
      <c r="MY12" s="70" t="s">
        <v>2</v>
      </c>
      <c r="MZ12" s="70" t="s">
        <v>2</v>
      </c>
      <c r="NA12" s="93" t="s">
        <v>4</v>
      </c>
      <c r="NB12" s="93" t="s">
        <v>4</v>
      </c>
      <c r="NC12" s="33"/>
      <c r="ND12" s="33"/>
      <c r="NE12" s="33"/>
      <c r="NF12" s="72" t="s">
        <v>0</v>
      </c>
      <c r="NG12" s="72" t="s">
        <v>0</v>
      </c>
      <c r="NH12" s="70" t="s">
        <v>2</v>
      </c>
      <c r="NI12" s="70" t="s">
        <v>2</v>
      </c>
      <c r="NJ12" s="71" t="s">
        <v>4</v>
      </c>
      <c r="NK12" s="122" t="s">
        <v>208</v>
      </c>
      <c r="NL12" s="33"/>
      <c r="NM12" s="33" t="s">
        <v>210</v>
      </c>
      <c r="NN12" s="195" t="s">
        <v>210</v>
      </c>
      <c r="NO12" s="192" t="s">
        <v>206</v>
      </c>
      <c r="NP12" s="192" t="s">
        <v>206</v>
      </c>
      <c r="NQ12" s="73">
        <f t="shared" si="0"/>
        <v>47</v>
      </c>
      <c r="NR12" s="73">
        <f t="shared" si="1"/>
        <v>46</v>
      </c>
      <c r="NS12" s="73">
        <f t="shared" si="2"/>
        <v>1</v>
      </c>
      <c r="NT12" s="73">
        <f t="shared" si="3"/>
        <v>39</v>
      </c>
      <c r="NU12" s="73">
        <f t="shared" si="4"/>
        <v>46</v>
      </c>
      <c r="NV12" s="73">
        <f t="shared" si="5"/>
        <v>0</v>
      </c>
      <c r="NW12" s="73">
        <f t="shared" si="6"/>
        <v>0</v>
      </c>
      <c r="NX12" s="73">
        <f>COUNTIF(J12:NP12,"Opl")+COUNTIF(J12:NP12,"Examen")</f>
        <v>0</v>
      </c>
      <c r="NY12" s="77">
        <f>SUM(NQ12:NX13)</f>
        <v>224</v>
      </c>
      <c r="NZ12" s="74">
        <f t="shared" si="7"/>
        <v>33.811320754716981</v>
      </c>
      <c r="OA12" s="145" t="s">
        <v>288</v>
      </c>
    </row>
    <row r="13" spans="1:449">
      <c r="A13" s="97"/>
      <c r="B13" s="73"/>
      <c r="C13" s="73"/>
      <c r="D13" s="73"/>
      <c r="E13" s="73"/>
      <c r="F13" s="73"/>
      <c r="G13" s="73"/>
      <c r="H13" s="73"/>
      <c r="I13" s="73"/>
      <c r="J13" s="1"/>
      <c r="K13" s="1"/>
      <c r="L13" s="1"/>
      <c r="M13" s="1"/>
      <c r="N13" s="1"/>
      <c r="O13" s="1"/>
      <c r="P13" s="103" t="s">
        <v>6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33"/>
      <c r="CM13" s="33"/>
      <c r="CN13" s="33"/>
      <c r="CO13" s="33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68" t="s">
        <v>281</v>
      </c>
      <c r="DF13" s="93" t="s">
        <v>4</v>
      </c>
      <c r="DG13" s="1"/>
      <c r="DH13" s="103" t="s">
        <v>6</v>
      </c>
      <c r="DI13" s="1"/>
      <c r="DJ13" s="1"/>
      <c r="DK13" s="1"/>
      <c r="DL13" s="1"/>
      <c r="DM13" s="1"/>
      <c r="DN13" s="1"/>
      <c r="DO13" s="1"/>
      <c r="DP13" s="100" t="s">
        <v>281</v>
      </c>
      <c r="DQ13" s="103" t="s">
        <v>6</v>
      </c>
      <c r="DR13" s="1"/>
      <c r="DS13" s="1"/>
      <c r="DT13" s="1"/>
      <c r="DU13" s="1"/>
      <c r="DV13" s="1"/>
      <c r="DW13" s="100" t="s">
        <v>281</v>
      </c>
      <c r="DX13" s="1"/>
      <c r="DY13" s="1"/>
      <c r="DZ13" s="103" t="s">
        <v>6</v>
      </c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 t="s">
        <v>289</v>
      </c>
      <c r="EL13" s="1"/>
      <c r="EM13" s="1"/>
      <c r="EN13" s="1"/>
      <c r="EO13" s="1"/>
      <c r="EP13" s="70" t="s">
        <v>2</v>
      </c>
      <c r="EQ13" s="1"/>
      <c r="ER13" s="70" t="s">
        <v>2</v>
      </c>
      <c r="ES13" s="1"/>
      <c r="ET13" s="1"/>
      <c r="EU13" s="1"/>
      <c r="EV13" s="1"/>
      <c r="EW13" s="1"/>
      <c r="EX13" s="1"/>
      <c r="EY13" s="103" t="s">
        <v>6</v>
      </c>
      <c r="EZ13" s="1"/>
      <c r="FA13" s="1"/>
      <c r="FB13" s="1"/>
      <c r="FC13" s="1"/>
      <c r="FD13" s="1"/>
      <c r="FE13" s="103" t="s">
        <v>6</v>
      </c>
      <c r="FF13" s="103" t="s">
        <v>6</v>
      </c>
      <c r="FG13" s="103" t="s">
        <v>6</v>
      </c>
      <c r="FH13" s="1"/>
      <c r="FI13" s="1"/>
      <c r="FJ13" s="1"/>
      <c r="FK13" s="1"/>
      <c r="FL13" s="1"/>
      <c r="FM13" s="1"/>
      <c r="FN13" s="1"/>
      <c r="FO13" s="72" t="s">
        <v>0</v>
      </c>
      <c r="FP13" s="1"/>
      <c r="FQ13" s="1"/>
      <c r="FR13" s="1"/>
      <c r="FS13" s="1"/>
      <c r="FT13" s="1"/>
      <c r="FU13" s="1"/>
      <c r="FV13" s="1"/>
      <c r="FW13" s="70" t="s">
        <v>2</v>
      </c>
      <c r="FX13" s="1"/>
      <c r="FY13" s="1"/>
      <c r="FZ13" s="103" t="s">
        <v>6</v>
      </c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28" t="s">
        <v>6</v>
      </c>
      <c r="GX13" s="128" t="s">
        <v>6</v>
      </c>
      <c r="GY13" s="128" t="s">
        <v>6</v>
      </c>
      <c r="GZ13" s="128" t="s">
        <v>6</v>
      </c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72" t="s">
        <v>0</v>
      </c>
      <c r="IN13" s="1"/>
      <c r="IO13" s="70" t="s">
        <v>2</v>
      </c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28" t="s">
        <v>6</v>
      </c>
      <c r="JB13" s="1"/>
      <c r="JC13" s="106" t="s">
        <v>283</v>
      </c>
      <c r="JE13" s="128" t="s">
        <v>6</v>
      </c>
      <c r="JF13" s="128" t="s">
        <v>6</v>
      </c>
      <c r="JG13" s="128" t="s">
        <v>6</v>
      </c>
      <c r="JH13" s="128" t="s">
        <v>6</v>
      </c>
      <c r="JI13" s="128" t="s">
        <v>6</v>
      </c>
      <c r="JJ13" s="128" t="s">
        <v>6</v>
      </c>
      <c r="JK13" s="1"/>
      <c r="JL13" s="1"/>
      <c r="JM13" s="1"/>
      <c r="JN13" s="128" t="s">
        <v>6</v>
      </c>
      <c r="JO13" s="128" t="s">
        <v>6</v>
      </c>
      <c r="JP13" s="128" t="s">
        <v>6</v>
      </c>
      <c r="JQ13" s="106" t="s">
        <v>283</v>
      </c>
      <c r="JR13" s="128" t="s">
        <v>6</v>
      </c>
      <c r="JS13" s="1"/>
      <c r="JT13" s="1"/>
      <c r="JU13" s="1"/>
      <c r="JV13" s="1"/>
      <c r="JW13" s="1"/>
      <c r="JX13" s="70" t="s">
        <v>2</v>
      </c>
      <c r="JY13" s="1"/>
      <c r="JZ13" s="1"/>
      <c r="KA13" s="200" t="s">
        <v>6</v>
      </c>
      <c r="KB13" s="1"/>
      <c r="KC13" s="1"/>
      <c r="KD13" s="1"/>
      <c r="KE13" s="1"/>
      <c r="KF13" s="1"/>
      <c r="KG13" s="1"/>
      <c r="KH13" s="1"/>
      <c r="KI13" s="1"/>
      <c r="KJ13" s="200" t="s">
        <v>6</v>
      </c>
      <c r="KK13" s="1"/>
      <c r="KL13" s="1"/>
      <c r="KM13" s="1"/>
      <c r="KN13" s="1"/>
      <c r="KO13" s="1"/>
      <c r="KP13" s="1"/>
      <c r="KQ13" s="1"/>
      <c r="KR13" s="1"/>
      <c r="KS13" s="200" t="s">
        <v>6</v>
      </c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200" t="s">
        <v>6</v>
      </c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200" t="s">
        <v>6</v>
      </c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96" t="s">
        <v>0</v>
      </c>
      <c r="NN13" s="197" t="s">
        <v>210</v>
      </c>
      <c r="NO13" s="194" t="s">
        <v>6</v>
      </c>
      <c r="NP13" s="194" t="s">
        <v>6</v>
      </c>
      <c r="NQ13" s="73">
        <f t="shared" si="0"/>
        <v>3</v>
      </c>
      <c r="NR13" s="73">
        <f t="shared" si="1"/>
        <v>5</v>
      </c>
      <c r="NS13" s="73">
        <f t="shared" si="2"/>
        <v>3</v>
      </c>
      <c r="NT13" s="73">
        <f t="shared" si="3"/>
        <v>1</v>
      </c>
      <c r="NU13" s="73">
        <f t="shared" si="4"/>
        <v>0</v>
      </c>
      <c r="NV13" s="73">
        <f t="shared" si="5"/>
        <v>31</v>
      </c>
      <c r="NW13" s="73">
        <f t="shared" si="6"/>
        <v>0</v>
      </c>
      <c r="NX13" s="73">
        <f>COUNTIF(J13:NP13,"Opl")+COUNTIF(J13:NP13,"Examen")</f>
        <v>2</v>
      </c>
      <c r="NY13" s="73"/>
      <c r="NZ13" s="74"/>
      <c r="OA13" s="146"/>
    </row>
    <row r="14" spans="1:449">
      <c r="A14" s="97" t="s">
        <v>290</v>
      </c>
      <c r="B14" s="63" t="s">
        <v>291</v>
      </c>
      <c r="C14" s="72" t="s">
        <v>0</v>
      </c>
      <c r="D14" s="72" t="s">
        <v>0</v>
      </c>
      <c r="E14" s="70" t="s">
        <v>2</v>
      </c>
      <c r="F14" s="70" t="s">
        <v>2</v>
      </c>
      <c r="G14" s="93" t="s">
        <v>4</v>
      </c>
      <c r="H14" s="63"/>
      <c r="I14" s="63"/>
      <c r="J14" s="1"/>
      <c r="K14" s="1"/>
      <c r="L14" s="1"/>
      <c r="M14" s="72" t="s">
        <v>0</v>
      </c>
      <c r="N14" s="70" t="s">
        <v>2</v>
      </c>
      <c r="O14" s="70" t="s">
        <v>2</v>
      </c>
      <c r="P14" s="93" t="s">
        <v>4</v>
      </c>
      <c r="Q14" s="33" t="s">
        <v>208</v>
      </c>
      <c r="R14" s="33"/>
      <c r="S14" s="106" t="s">
        <v>283</v>
      </c>
      <c r="T14" s="33"/>
      <c r="U14" s="72" t="s">
        <v>0</v>
      </c>
      <c r="V14" s="72" t="s">
        <v>0</v>
      </c>
      <c r="W14" s="70" t="s">
        <v>2</v>
      </c>
      <c r="X14" s="70" t="s">
        <v>2</v>
      </c>
      <c r="Y14" s="72" t="s">
        <v>0</v>
      </c>
      <c r="Z14" s="106" t="s">
        <v>283</v>
      </c>
      <c r="AA14" s="33"/>
      <c r="AB14" s="33"/>
      <c r="AC14" s="33"/>
      <c r="AD14" s="72" t="s">
        <v>0</v>
      </c>
      <c r="AE14" s="72" t="s">
        <v>0</v>
      </c>
      <c r="AF14" s="70" t="s">
        <v>2</v>
      </c>
      <c r="AG14" s="106" t="s">
        <v>283</v>
      </c>
      <c r="AH14" s="93" t="s">
        <v>4</v>
      </c>
      <c r="AI14" s="33"/>
      <c r="AJ14" s="33"/>
      <c r="AK14" s="33"/>
      <c r="AL14" s="108" t="s">
        <v>10</v>
      </c>
      <c r="AM14" s="108" t="s">
        <v>10</v>
      </c>
      <c r="AN14" s="108" t="s">
        <v>10</v>
      </c>
      <c r="AO14" s="108" t="s">
        <v>10</v>
      </c>
      <c r="AP14" s="108" t="s">
        <v>10</v>
      </c>
      <c r="AQ14" s="1"/>
      <c r="AR14" s="1"/>
      <c r="AS14" s="1"/>
      <c r="AT14" s="1"/>
      <c r="AU14" s="1"/>
      <c r="AV14" s="108" t="s">
        <v>10</v>
      </c>
      <c r="AW14" s="108" t="s">
        <v>10</v>
      </c>
      <c r="AX14" s="108" t="s">
        <v>10</v>
      </c>
      <c r="AY14" s="108" t="s">
        <v>10</v>
      </c>
      <c r="AZ14" s="108" t="s">
        <v>10</v>
      </c>
      <c r="BA14" s="33"/>
      <c r="BB14" s="33"/>
      <c r="BC14" s="33"/>
      <c r="BD14" s="72" t="s">
        <v>0</v>
      </c>
      <c r="BE14" s="72" t="s">
        <v>0</v>
      </c>
      <c r="BF14" s="70" t="s">
        <v>2</v>
      </c>
      <c r="BG14" s="33" t="s">
        <v>207</v>
      </c>
      <c r="BH14" s="33" t="s">
        <v>208</v>
      </c>
      <c r="BI14" s="33" t="s">
        <v>208</v>
      </c>
      <c r="BJ14" s="33"/>
      <c r="BK14" s="33"/>
      <c r="BL14" s="33"/>
      <c r="BM14" s="33" t="s">
        <v>206</v>
      </c>
      <c r="BN14" s="33" t="s">
        <v>206</v>
      </c>
      <c r="BO14" s="70" t="s">
        <v>2</v>
      </c>
      <c r="BP14" s="70" t="s">
        <v>2</v>
      </c>
      <c r="BQ14" s="33" t="s">
        <v>208</v>
      </c>
      <c r="BR14" s="33"/>
      <c r="BS14" s="33"/>
      <c r="BT14" s="33"/>
      <c r="BU14" s="33"/>
      <c r="BV14" s="72" t="s">
        <v>0</v>
      </c>
      <c r="BW14" s="72" t="s">
        <v>0</v>
      </c>
      <c r="BX14" s="70" t="s">
        <v>2</v>
      </c>
      <c r="BY14" s="93" t="s">
        <v>4</v>
      </c>
      <c r="BZ14" s="93" t="s">
        <v>4</v>
      </c>
      <c r="CA14" s="1"/>
      <c r="CB14" s="1"/>
      <c r="CC14" s="1"/>
      <c r="CD14" s="1"/>
      <c r="CE14" s="72" t="s">
        <v>0</v>
      </c>
      <c r="CF14" s="70" t="s">
        <v>2</v>
      </c>
      <c r="CG14" s="70" t="s">
        <v>2</v>
      </c>
      <c r="CH14" s="93" t="s">
        <v>4</v>
      </c>
      <c r="CI14" s="93" t="s">
        <v>4</v>
      </c>
      <c r="CJ14" s="119" t="s">
        <v>282</v>
      </c>
      <c r="CK14" s="33"/>
      <c r="CL14" s="33"/>
      <c r="CM14" s="72" t="s">
        <v>0</v>
      </c>
      <c r="CN14" s="33" t="s">
        <v>206</v>
      </c>
      <c r="CO14" s="70" t="s">
        <v>2</v>
      </c>
      <c r="CP14" s="70" t="s">
        <v>2</v>
      </c>
      <c r="CQ14" s="71" t="s">
        <v>4</v>
      </c>
      <c r="CR14" s="71" t="s">
        <v>4</v>
      </c>
      <c r="CS14" s="33"/>
      <c r="CT14" s="33"/>
      <c r="CU14" s="33"/>
      <c r="CV14" s="72" t="s">
        <v>0</v>
      </c>
      <c r="CW14" s="33" t="s">
        <v>206</v>
      </c>
      <c r="CX14" s="70" t="s">
        <v>2</v>
      </c>
      <c r="CY14" s="70" t="s">
        <v>2</v>
      </c>
      <c r="CZ14" s="93" t="s">
        <v>4</v>
      </c>
      <c r="DA14" s="33"/>
      <c r="DB14" s="33"/>
      <c r="DC14" s="33"/>
      <c r="DD14" s="33"/>
      <c r="DE14" s="72" t="s">
        <v>0</v>
      </c>
      <c r="DF14" s="72" t="s">
        <v>0</v>
      </c>
      <c r="DG14" s="70" t="s">
        <v>2</v>
      </c>
      <c r="DH14" s="33" t="s">
        <v>207</v>
      </c>
      <c r="DI14" s="93" t="s">
        <v>4</v>
      </c>
      <c r="DJ14" s="1"/>
      <c r="DK14" s="1"/>
      <c r="DL14" s="1"/>
      <c r="DM14" s="1"/>
      <c r="DN14" s="72" t="s">
        <v>0</v>
      </c>
      <c r="DO14" s="70" t="s">
        <v>2</v>
      </c>
      <c r="DP14" s="70" t="s">
        <v>2</v>
      </c>
      <c r="DQ14" s="93" t="s">
        <v>4</v>
      </c>
      <c r="DR14" s="93" t="s">
        <v>4</v>
      </c>
      <c r="DS14" s="33"/>
      <c r="DT14" s="33"/>
      <c r="DU14" s="33"/>
      <c r="DV14" s="72" t="s">
        <v>0</v>
      </c>
      <c r="DW14" s="33" t="s">
        <v>206</v>
      </c>
      <c r="DX14" s="70" t="s">
        <v>2</v>
      </c>
      <c r="DY14" s="70" t="s">
        <v>2</v>
      </c>
      <c r="DZ14" s="71" t="s">
        <v>4</v>
      </c>
      <c r="EA14" s="71" t="s">
        <v>4</v>
      </c>
      <c r="EB14" s="33"/>
      <c r="EC14" s="33"/>
      <c r="ED14" s="33"/>
      <c r="EE14" s="72" t="s">
        <v>0</v>
      </c>
      <c r="EF14" s="72" t="s">
        <v>0</v>
      </c>
      <c r="EG14" s="1" t="s">
        <v>207</v>
      </c>
      <c r="EH14" s="1" t="s">
        <v>207</v>
      </c>
      <c r="EI14" s="1" t="s">
        <v>208</v>
      </c>
      <c r="EJ14" s="33"/>
      <c r="EK14" s="33"/>
      <c r="EL14" s="33"/>
      <c r="EM14" s="33"/>
      <c r="EN14" s="33" t="s">
        <v>206</v>
      </c>
      <c r="EO14" s="72" t="s">
        <v>0</v>
      </c>
      <c r="EP14" s="122" t="s">
        <v>207</v>
      </c>
      <c r="EQ14" s="122" t="s">
        <v>208</v>
      </c>
      <c r="ER14" s="93" t="s">
        <v>4</v>
      </c>
      <c r="ES14" s="1"/>
      <c r="ET14" s="1"/>
      <c r="EU14" s="1"/>
      <c r="EV14" s="1"/>
      <c r="EW14" s="72" t="s">
        <v>0</v>
      </c>
      <c r="EX14" s="1" t="s">
        <v>207</v>
      </c>
      <c r="EY14" s="1" t="s">
        <v>207</v>
      </c>
      <c r="EZ14" s="1" t="s">
        <v>208</v>
      </c>
      <c r="FA14" s="93" t="s">
        <v>4</v>
      </c>
      <c r="FB14" s="33"/>
      <c r="FC14" s="33"/>
      <c r="FD14" s="33"/>
      <c r="FE14" s="72" t="s">
        <v>0</v>
      </c>
      <c r="FF14" s="72" t="s">
        <v>0</v>
      </c>
      <c r="FG14" s="70" t="s">
        <v>2</v>
      </c>
      <c r="FH14" s="70" t="s">
        <v>2</v>
      </c>
      <c r="FI14" s="71" t="s">
        <v>4</v>
      </c>
      <c r="FJ14" s="71" t="s">
        <v>4</v>
      </c>
      <c r="FK14" s="33"/>
      <c r="FL14" s="33"/>
      <c r="FM14" s="33"/>
      <c r="FN14" s="72" t="s">
        <v>0</v>
      </c>
      <c r="FO14" s="33" t="s">
        <v>0</v>
      </c>
      <c r="FP14" s="70" t="s">
        <v>2</v>
      </c>
      <c r="FQ14" s="70" t="s">
        <v>2</v>
      </c>
      <c r="FR14" s="93" t="s">
        <v>4</v>
      </c>
      <c r="FS14" s="33"/>
      <c r="FT14" s="33"/>
      <c r="FU14" s="33"/>
      <c r="FV14" s="33"/>
      <c r="FW14" s="72" t="s">
        <v>0</v>
      </c>
      <c r="FX14" s="72" t="s">
        <v>0</v>
      </c>
      <c r="FY14" s="70" t="s">
        <v>2</v>
      </c>
      <c r="FZ14" s="93" t="s">
        <v>4</v>
      </c>
      <c r="GA14" s="93" t="s">
        <v>4</v>
      </c>
      <c r="GB14" s="1"/>
      <c r="GC14" s="1"/>
      <c r="GD14" s="1"/>
      <c r="GE14" s="1"/>
      <c r="GF14" s="72" t="s">
        <v>0</v>
      </c>
      <c r="GG14" s="70" t="s">
        <v>2</v>
      </c>
      <c r="GH14" s="33" t="s">
        <v>207</v>
      </c>
      <c r="GI14" s="33" t="s">
        <v>208</v>
      </c>
      <c r="GJ14" s="33" t="s">
        <v>208</v>
      </c>
      <c r="GK14" s="33"/>
      <c r="GL14" s="33"/>
      <c r="GM14" s="33"/>
      <c r="GN14" s="72" t="s">
        <v>0</v>
      </c>
      <c r="GO14" s="72" t="s">
        <v>0</v>
      </c>
      <c r="GP14" s="70" t="s">
        <v>2</v>
      </c>
      <c r="GQ14" s="70" t="s">
        <v>2</v>
      </c>
      <c r="GR14" s="71" t="s">
        <v>4</v>
      </c>
      <c r="GS14" s="71" t="s">
        <v>4</v>
      </c>
      <c r="GT14" s="33"/>
      <c r="GU14" s="33"/>
      <c r="GV14" s="33"/>
      <c r="GW14" s="72" t="s">
        <v>0</v>
      </c>
      <c r="GX14" s="72" t="s">
        <v>0</v>
      </c>
      <c r="GY14" s="70" t="s">
        <v>2</v>
      </c>
      <c r="GZ14" s="70" t="s">
        <v>2</v>
      </c>
      <c r="HA14" s="93" t="s">
        <v>4</v>
      </c>
      <c r="HB14" s="33"/>
      <c r="HC14" s="33"/>
      <c r="HD14" s="33"/>
      <c r="HE14" s="33"/>
      <c r="HF14" s="72" t="s">
        <v>0</v>
      </c>
      <c r="HG14" s="72" t="s">
        <v>0</v>
      </c>
      <c r="HH14" s="70" t="s">
        <v>2</v>
      </c>
      <c r="HI14" s="93" t="s">
        <v>4</v>
      </c>
      <c r="HJ14" s="93" t="s">
        <v>4</v>
      </c>
      <c r="HK14" s="1"/>
      <c r="HL14" s="1"/>
      <c r="HM14" s="1"/>
      <c r="HN14" s="1"/>
      <c r="HO14" s="72" t="s">
        <v>0</v>
      </c>
      <c r="HP14" s="70" t="s">
        <v>2</v>
      </c>
      <c r="HQ14" s="33" t="s">
        <v>207</v>
      </c>
      <c r="HR14" s="33" t="s">
        <v>208</v>
      </c>
      <c r="HS14" s="33" t="s">
        <v>208</v>
      </c>
      <c r="HT14" s="33"/>
      <c r="HU14" s="33"/>
      <c r="HV14" s="33"/>
      <c r="HW14" s="33" t="s">
        <v>206</v>
      </c>
      <c r="HX14" s="33" t="s">
        <v>206</v>
      </c>
      <c r="HY14" s="33" t="s">
        <v>207</v>
      </c>
      <c r="HZ14" s="33" t="s">
        <v>207</v>
      </c>
      <c r="IA14" s="33" t="s">
        <v>208</v>
      </c>
      <c r="IB14" s="33" t="s">
        <v>208</v>
      </c>
      <c r="IC14" s="33"/>
      <c r="ID14" s="33"/>
      <c r="IE14" s="33"/>
      <c r="IF14" s="33" t="s">
        <v>206</v>
      </c>
      <c r="IG14" s="33" t="s">
        <v>206</v>
      </c>
      <c r="IH14" s="70" t="s">
        <v>2</v>
      </c>
      <c r="II14" s="70" t="s">
        <v>2</v>
      </c>
      <c r="IJ14" s="93" t="s">
        <v>4</v>
      </c>
      <c r="IK14" s="33"/>
      <c r="IL14" s="33"/>
      <c r="IM14" s="33"/>
      <c r="IN14" s="33"/>
      <c r="IO14" s="72" t="s">
        <v>0</v>
      </c>
      <c r="IP14" s="72" t="s">
        <v>0</v>
      </c>
      <c r="IQ14" s="70" t="s">
        <v>2</v>
      </c>
      <c r="IR14" s="93" t="s">
        <v>4</v>
      </c>
      <c r="IS14" s="93" t="s">
        <v>4</v>
      </c>
      <c r="IT14" s="1"/>
      <c r="IU14" s="1"/>
      <c r="IV14" s="1"/>
      <c r="IW14" s="1"/>
      <c r="IX14" s="72" t="s">
        <v>0</v>
      </c>
      <c r="IY14" s="70" t="s">
        <v>2</v>
      </c>
      <c r="IZ14" s="70" t="s">
        <v>2</v>
      </c>
      <c r="JA14" s="93" t="s">
        <v>4</v>
      </c>
      <c r="JB14" s="93" t="s">
        <v>4</v>
      </c>
      <c r="JC14" s="33"/>
      <c r="JD14" s="33"/>
      <c r="JE14" s="33"/>
      <c r="JF14" s="72" t="s">
        <v>0</v>
      </c>
      <c r="JG14" s="72" t="s">
        <v>0</v>
      </c>
      <c r="JH14" s="33" t="s">
        <v>207</v>
      </c>
      <c r="JI14" s="70" t="s">
        <v>2</v>
      </c>
      <c r="JJ14" s="71" t="s">
        <v>4</v>
      </c>
      <c r="JK14" s="71" t="s">
        <v>4</v>
      </c>
      <c r="JL14" s="33"/>
      <c r="JM14" s="33"/>
      <c r="JN14" s="33"/>
      <c r="JO14" s="72" t="s">
        <v>0</v>
      </c>
      <c r="JP14" s="72" t="s">
        <v>0</v>
      </c>
      <c r="JQ14" s="70" t="s">
        <v>2</v>
      </c>
      <c r="JR14" s="33" t="s">
        <v>207</v>
      </c>
      <c r="JS14" s="93" t="s">
        <v>4</v>
      </c>
      <c r="JT14" s="33"/>
      <c r="JU14" s="33"/>
      <c r="JV14" s="33"/>
      <c r="JW14" s="33"/>
      <c r="JX14" s="72" t="s">
        <v>0</v>
      </c>
      <c r="JY14" s="72" t="s">
        <v>0</v>
      </c>
      <c r="JZ14" s="70" t="s">
        <v>2</v>
      </c>
      <c r="KA14" s="93" t="s">
        <v>4</v>
      </c>
      <c r="KB14" s="93" t="s">
        <v>4</v>
      </c>
      <c r="KC14" s="1"/>
      <c r="KD14" s="1"/>
      <c r="KE14" s="1"/>
      <c r="KF14" s="1"/>
      <c r="KG14" s="72" t="s">
        <v>0</v>
      </c>
      <c r="KH14" s="70" t="s">
        <v>2</v>
      </c>
      <c r="KI14" s="70" t="s">
        <v>2</v>
      </c>
      <c r="KJ14" s="93" t="s">
        <v>4</v>
      </c>
      <c r="KK14" s="93" t="s">
        <v>4</v>
      </c>
      <c r="KL14" s="33"/>
      <c r="KM14" s="33"/>
      <c r="KN14" s="33"/>
      <c r="KO14" s="72" t="s">
        <v>0</v>
      </c>
      <c r="KP14" s="72" t="s">
        <v>0</v>
      </c>
      <c r="KQ14" s="70" t="s">
        <v>2</v>
      </c>
      <c r="KR14" s="70" t="s">
        <v>2</v>
      </c>
      <c r="KS14" s="71" t="s">
        <v>4</v>
      </c>
      <c r="KT14" s="71" t="s">
        <v>4</v>
      </c>
      <c r="KU14" s="33"/>
      <c r="KV14" s="33"/>
      <c r="KW14" s="33"/>
      <c r="KX14" s="72" t="s">
        <v>0</v>
      </c>
      <c r="KY14" s="72" t="s">
        <v>0</v>
      </c>
      <c r="KZ14" s="70" t="s">
        <v>2</v>
      </c>
      <c r="LA14" s="70" t="s">
        <v>2</v>
      </c>
      <c r="LB14" s="93" t="s">
        <v>4</v>
      </c>
      <c r="LC14" s="33"/>
      <c r="LD14" s="33"/>
      <c r="LE14" s="33"/>
      <c r="LF14" s="33"/>
      <c r="LG14" s="72" t="s">
        <v>0</v>
      </c>
      <c r="LH14" s="72" t="s">
        <v>0</v>
      </c>
      <c r="LI14" s="70" t="s">
        <v>2</v>
      </c>
      <c r="LJ14" s="93" t="s">
        <v>4</v>
      </c>
      <c r="LK14" s="93" t="s">
        <v>4</v>
      </c>
      <c r="LL14" s="1"/>
      <c r="LM14" s="1"/>
      <c r="LN14" s="1"/>
      <c r="LO14" s="1"/>
      <c r="LP14" s="72" t="s">
        <v>0</v>
      </c>
      <c r="LQ14" s="70" t="s">
        <v>2</v>
      </c>
      <c r="LR14" s="70" t="s">
        <v>2</v>
      </c>
      <c r="LS14" s="93" t="s">
        <v>4</v>
      </c>
      <c r="LT14" s="93" t="s">
        <v>4</v>
      </c>
      <c r="LU14" s="33"/>
      <c r="LV14" s="33"/>
      <c r="LW14" s="33"/>
      <c r="LX14" s="72" t="s">
        <v>0</v>
      </c>
      <c r="LY14" s="72" t="s">
        <v>0</v>
      </c>
      <c r="LZ14" s="70" t="s">
        <v>2</v>
      </c>
      <c r="MA14" s="70" t="s">
        <v>2</v>
      </c>
      <c r="MB14" s="71" t="s">
        <v>4</v>
      </c>
      <c r="MC14" s="71" t="s">
        <v>4</v>
      </c>
      <c r="MD14" s="33"/>
      <c r="ME14" s="33"/>
      <c r="MF14" s="33"/>
      <c r="MG14" s="72" t="s">
        <v>0</v>
      </c>
      <c r="MH14" s="72" t="s">
        <v>0</v>
      </c>
      <c r="MI14" s="70" t="s">
        <v>2</v>
      </c>
      <c r="MJ14" s="70" t="s">
        <v>2</v>
      </c>
      <c r="MK14" s="93" t="s">
        <v>4</v>
      </c>
      <c r="ML14" s="33"/>
      <c r="MM14" s="33"/>
      <c r="MN14" s="33"/>
      <c r="MO14" s="33"/>
      <c r="MP14" s="72" t="s">
        <v>0</v>
      </c>
      <c r="MQ14" s="72" t="s">
        <v>0</v>
      </c>
      <c r="MR14" s="70" t="s">
        <v>2</v>
      </c>
      <c r="MS14" s="93" t="s">
        <v>4</v>
      </c>
      <c r="MT14" s="93" t="s">
        <v>4</v>
      </c>
      <c r="MU14" s="1"/>
      <c r="MV14" s="1"/>
      <c r="MW14" s="1"/>
      <c r="MX14" s="1"/>
      <c r="MY14" s="72" t="s">
        <v>0</v>
      </c>
      <c r="MZ14" s="70" t="s">
        <v>2</v>
      </c>
      <c r="NA14" s="70" t="s">
        <v>2</v>
      </c>
      <c r="NB14" s="93" t="s">
        <v>4</v>
      </c>
      <c r="NC14" s="93" t="s">
        <v>4</v>
      </c>
      <c r="ND14" s="33"/>
      <c r="NE14" s="33"/>
      <c r="NF14" s="33"/>
      <c r="NG14" s="72" t="s">
        <v>0</v>
      </c>
      <c r="NH14" s="72" t="s">
        <v>0</v>
      </c>
      <c r="NI14" s="70" t="s">
        <v>2</v>
      </c>
      <c r="NJ14" s="70" t="s">
        <v>2</v>
      </c>
      <c r="NK14" s="71" t="s">
        <v>4</v>
      </c>
      <c r="NL14" s="71" t="s">
        <v>4</v>
      </c>
      <c r="NM14" s="198" t="s">
        <v>210</v>
      </c>
      <c r="NN14" s="197" t="s">
        <v>210</v>
      </c>
      <c r="NO14" s="197" t="s">
        <v>210</v>
      </c>
      <c r="NP14" s="199" t="s">
        <v>0</v>
      </c>
      <c r="NQ14" s="73">
        <f t="shared" si="0"/>
        <v>62</v>
      </c>
      <c r="NR14" s="73">
        <f t="shared" si="1"/>
        <v>58</v>
      </c>
      <c r="NS14" s="73">
        <f t="shared" si="2"/>
        <v>0</v>
      </c>
      <c r="NT14" s="73">
        <f t="shared" si="3"/>
        <v>54</v>
      </c>
      <c r="NU14" s="73">
        <f t="shared" si="4"/>
        <v>10</v>
      </c>
      <c r="NV14" s="73">
        <f t="shared" si="5"/>
        <v>0</v>
      </c>
      <c r="NW14" s="73">
        <f t="shared" si="6"/>
        <v>0</v>
      </c>
      <c r="NX14" s="73">
        <f>COUNTIF(J14:NP14,"Opl")+COUNTIF(J14:NP14,"Examen")</f>
        <v>3</v>
      </c>
      <c r="NY14" s="77">
        <f>SUM(NQ14:NX15)</f>
        <v>223</v>
      </c>
      <c r="NZ14" s="74">
        <f t="shared" si="7"/>
        <v>33.660377358490564</v>
      </c>
      <c r="OA14" s="145"/>
    </row>
    <row r="15" spans="1:449">
      <c r="A15" s="97"/>
      <c r="B15" s="73"/>
      <c r="C15" s="73"/>
      <c r="D15" s="73"/>
      <c r="E15" s="73"/>
      <c r="F15" s="73"/>
      <c r="G15" s="73"/>
      <c r="H15" s="73"/>
      <c r="I15" s="73"/>
      <c r="J15" s="1"/>
      <c r="K15" s="1"/>
      <c r="L15" s="1"/>
      <c r="M15" s="109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22" t="s">
        <v>206</v>
      </c>
      <c r="AM15" s="1" t="s">
        <v>206</v>
      </c>
      <c r="AN15" s="1" t="s">
        <v>207</v>
      </c>
      <c r="AO15" s="1" t="s">
        <v>207</v>
      </c>
      <c r="AP15" s="1" t="s">
        <v>208</v>
      </c>
      <c r="AQ15" s="1"/>
      <c r="AR15" s="1"/>
      <c r="AS15" s="1"/>
      <c r="AT15" s="1"/>
      <c r="AU15" s="1"/>
      <c r="AV15" s="33" t="s">
        <v>206</v>
      </c>
      <c r="AW15" s="1" t="s">
        <v>207</v>
      </c>
      <c r="AX15" s="1" t="s">
        <v>207</v>
      </c>
      <c r="AY15" s="33" t="s">
        <v>208</v>
      </c>
      <c r="AZ15" s="1"/>
      <c r="BA15" s="1"/>
      <c r="BB15" s="1"/>
      <c r="BC15" s="1"/>
      <c r="BD15" s="1"/>
      <c r="BE15" s="1"/>
      <c r="BF15" s="1"/>
      <c r="BG15" s="103" t="s">
        <v>6</v>
      </c>
      <c r="BH15" s="103" t="s">
        <v>6</v>
      </c>
      <c r="BI15" s="103" t="s">
        <v>6</v>
      </c>
      <c r="BJ15" s="1"/>
      <c r="BK15" s="1"/>
      <c r="BL15" s="1"/>
      <c r="BM15" s="103" t="s">
        <v>6</v>
      </c>
      <c r="BN15" s="70" t="s">
        <v>2</v>
      </c>
      <c r="BO15" s="1"/>
      <c r="BP15" s="1"/>
      <c r="BQ15" s="70" t="s">
        <v>2</v>
      </c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70" t="s">
        <v>2</v>
      </c>
      <c r="CO15" s="1"/>
      <c r="CP15" s="1"/>
      <c r="CQ15" s="1"/>
      <c r="CR15" s="1"/>
      <c r="CS15" s="1"/>
      <c r="CT15" s="1"/>
      <c r="CU15" s="1"/>
      <c r="CV15" s="1"/>
      <c r="CW15" s="106" t="s">
        <v>283</v>
      </c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70" t="s">
        <v>2</v>
      </c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70" t="s">
        <v>2</v>
      </c>
      <c r="DX15" s="1"/>
      <c r="DY15" s="1"/>
      <c r="DZ15" s="1"/>
      <c r="EA15" s="1"/>
      <c r="EB15" s="1"/>
      <c r="EC15" s="1"/>
      <c r="ED15" s="1"/>
      <c r="EE15" s="1"/>
      <c r="EF15" s="1"/>
      <c r="EG15" s="103" t="s">
        <v>6</v>
      </c>
      <c r="EH15" s="103" t="s">
        <v>6</v>
      </c>
      <c r="EI15" s="103" t="s">
        <v>6</v>
      </c>
      <c r="EJ15" s="1"/>
      <c r="EK15" s="1"/>
      <c r="EL15" s="1"/>
      <c r="EM15" s="1"/>
      <c r="EN15" s="103" t="s">
        <v>6</v>
      </c>
      <c r="EO15" s="1"/>
      <c r="EP15" s="72" t="s">
        <v>0</v>
      </c>
      <c r="EQ15" s="70" t="s">
        <v>2</v>
      </c>
      <c r="ER15" s="1"/>
      <c r="ES15" s="1"/>
      <c r="ET15" s="1"/>
      <c r="EU15" s="1"/>
      <c r="EV15" s="1"/>
      <c r="EW15" s="1"/>
      <c r="EX15" s="103" t="s">
        <v>6</v>
      </c>
      <c r="EY15" s="103" t="s">
        <v>6</v>
      </c>
      <c r="EZ15" s="103" t="s">
        <v>6</v>
      </c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70" t="s">
        <v>2</v>
      </c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28" t="s">
        <v>6</v>
      </c>
      <c r="GI15" s="128" t="s">
        <v>6</v>
      </c>
      <c r="GJ15" s="128" t="s">
        <v>6</v>
      </c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31" t="s">
        <v>281</v>
      </c>
      <c r="HR15" s="131" t="s">
        <v>281</v>
      </c>
      <c r="HS15" s="128" t="s">
        <v>6</v>
      </c>
      <c r="HT15" s="1"/>
      <c r="HU15" s="1"/>
      <c r="HV15" s="1"/>
      <c r="HW15" s="128" t="s">
        <v>6</v>
      </c>
      <c r="HX15" s="128" t="s">
        <v>6</v>
      </c>
      <c r="HY15" s="128" t="s">
        <v>6</v>
      </c>
      <c r="HZ15" s="128" t="s">
        <v>6</v>
      </c>
      <c r="IA15" s="128" t="s">
        <v>6</v>
      </c>
      <c r="IB15" s="128" t="s">
        <v>6</v>
      </c>
      <c r="IC15" s="1"/>
      <c r="ID15" s="1"/>
      <c r="IE15" s="1"/>
      <c r="IF15" s="128" t="s">
        <v>6</v>
      </c>
      <c r="IG15" s="128" t="s">
        <v>6</v>
      </c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72" t="s">
        <v>0</v>
      </c>
      <c r="JI15" s="1"/>
      <c r="JJ15" s="1"/>
      <c r="JK15" s="1"/>
      <c r="JL15" s="1"/>
      <c r="JM15" s="1"/>
      <c r="JN15" s="1"/>
      <c r="JO15" s="1"/>
      <c r="JP15" s="1"/>
      <c r="JQ15" s="1"/>
      <c r="JR15" s="93" t="s">
        <v>4</v>
      </c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73">
        <f t="shared" si="0"/>
        <v>2</v>
      </c>
      <c r="NR15" s="73">
        <f t="shared" si="1"/>
        <v>7</v>
      </c>
      <c r="NS15" s="73">
        <f t="shared" si="2"/>
        <v>2</v>
      </c>
      <c r="NT15" s="73">
        <f t="shared" si="3"/>
        <v>1</v>
      </c>
      <c r="NU15" s="73">
        <f t="shared" si="4"/>
        <v>0</v>
      </c>
      <c r="NV15" s="73">
        <f t="shared" si="5"/>
        <v>23</v>
      </c>
      <c r="NW15" s="73">
        <f t="shared" si="6"/>
        <v>0</v>
      </c>
      <c r="NX15" s="73">
        <f>COUNTIF(J15:NP15,"Opl")+COUNTIF(J15:NP15,"Examen")</f>
        <v>1</v>
      </c>
      <c r="NY15" s="73"/>
      <c r="NZ15" s="74"/>
      <c r="OA15" s="146"/>
    </row>
    <row r="16" spans="1:449">
      <c r="A16" s="97" t="s">
        <v>78</v>
      </c>
      <c r="B16" s="63" t="s">
        <v>292</v>
      </c>
      <c r="C16" s="63"/>
      <c r="D16" s="63"/>
      <c r="E16" s="72" t="s">
        <v>0</v>
      </c>
      <c r="F16" s="72" t="s">
        <v>0</v>
      </c>
      <c r="G16" s="33" t="s">
        <v>207</v>
      </c>
      <c r="H16" s="93" t="s">
        <v>4</v>
      </c>
      <c r="I16" s="93" t="s">
        <v>4</v>
      </c>
      <c r="J16" s="1"/>
      <c r="K16" s="1"/>
      <c r="L16" s="1"/>
      <c r="M16" s="1"/>
      <c r="N16" s="72" t="s">
        <v>0</v>
      </c>
      <c r="O16" s="70" t="s">
        <v>2</v>
      </c>
      <c r="P16" s="70" t="s">
        <v>2</v>
      </c>
      <c r="Q16" s="93" t="s">
        <v>4</v>
      </c>
      <c r="R16" s="93" t="s">
        <v>4</v>
      </c>
      <c r="S16" s="33"/>
      <c r="T16" s="33"/>
      <c r="U16" s="33"/>
      <c r="V16" s="72" t="s">
        <v>0</v>
      </c>
      <c r="W16" s="72" t="s">
        <v>0</v>
      </c>
      <c r="X16" s="70" t="s">
        <v>2</v>
      </c>
      <c r="Y16" s="70" t="s">
        <v>2</v>
      </c>
      <c r="Z16" s="71" t="s">
        <v>4</v>
      </c>
      <c r="AA16" s="71" t="s">
        <v>4</v>
      </c>
      <c r="AB16" s="33"/>
      <c r="AC16" s="33"/>
      <c r="AD16" s="33"/>
      <c r="AE16" s="72" t="s">
        <v>0</v>
      </c>
      <c r="AF16" s="72" t="s">
        <v>0</v>
      </c>
      <c r="AG16" s="70" t="s">
        <v>2</v>
      </c>
      <c r="AH16" s="70" t="s">
        <v>2</v>
      </c>
      <c r="AI16" s="93" t="s">
        <v>4</v>
      </c>
      <c r="AJ16" s="33"/>
      <c r="AK16" s="33"/>
      <c r="AL16" s="33"/>
      <c r="AM16" s="33"/>
      <c r="AN16" s="72" t="s">
        <v>0</v>
      </c>
      <c r="AO16" s="72" t="s">
        <v>0</v>
      </c>
      <c r="AP16" s="70" t="s">
        <v>2</v>
      </c>
      <c r="AQ16" s="93" t="s">
        <v>4</v>
      </c>
      <c r="AR16" s="93" t="s">
        <v>4</v>
      </c>
      <c r="AS16" s="1"/>
      <c r="AT16" s="1"/>
      <c r="AU16" s="1"/>
      <c r="AW16" s="33" t="s">
        <v>206</v>
      </c>
      <c r="AX16" s="70" t="s">
        <v>2</v>
      </c>
      <c r="AY16" s="33" t="s">
        <v>207</v>
      </c>
      <c r="AZ16" s="93" t="s">
        <v>4</v>
      </c>
      <c r="BA16" s="93" t="s">
        <v>4</v>
      </c>
      <c r="BB16" s="33"/>
      <c r="BC16" s="33"/>
      <c r="BD16" s="33"/>
      <c r="BE16" s="72" t="s">
        <v>0</v>
      </c>
      <c r="BF16" s="72" t="s">
        <v>0</v>
      </c>
      <c r="BG16" s="70" t="s">
        <v>2</v>
      </c>
      <c r="BH16" s="70" t="s">
        <v>2</v>
      </c>
      <c r="BI16" s="71" t="s">
        <v>4</v>
      </c>
      <c r="BJ16" s="71" t="s">
        <v>4</v>
      </c>
      <c r="BK16" s="33"/>
      <c r="BL16" s="33"/>
      <c r="BM16" s="33"/>
      <c r="BN16" s="72" t="s">
        <v>0</v>
      </c>
      <c r="BO16" s="72" t="s">
        <v>0</v>
      </c>
      <c r="BP16" s="33" t="s">
        <v>207</v>
      </c>
      <c r="BQ16" s="33" t="s">
        <v>207</v>
      </c>
      <c r="BR16" s="93" t="s">
        <v>4</v>
      </c>
      <c r="BS16" s="33"/>
      <c r="BT16" s="33"/>
      <c r="BU16" s="33"/>
      <c r="BV16" s="33"/>
      <c r="BW16" s="72" t="s">
        <v>0</v>
      </c>
      <c r="BX16" s="72" t="s">
        <v>0</v>
      </c>
      <c r="BY16" s="33" t="s">
        <v>207</v>
      </c>
      <c r="BZ16" s="33" t="s">
        <v>208</v>
      </c>
      <c r="CA16" s="33" t="s">
        <v>208</v>
      </c>
      <c r="CB16" s="1"/>
      <c r="CC16" s="1"/>
      <c r="CD16" s="1"/>
      <c r="CE16" s="1"/>
      <c r="CF16" s="72" t="s">
        <v>0</v>
      </c>
      <c r="CG16" s="70" t="s">
        <v>2</v>
      </c>
      <c r="CH16" s="70" t="s">
        <v>2</v>
      </c>
      <c r="CI16" s="93" t="s">
        <v>4</v>
      </c>
      <c r="CJ16" s="93" t="s">
        <v>4</v>
      </c>
      <c r="CK16" s="33"/>
      <c r="CL16" s="33"/>
      <c r="CM16" s="33"/>
      <c r="CN16" s="72" t="s">
        <v>0</v>
      </c>
      <c r="CO16" s="72" t="s">
        <v>0</v>
      </c>
      <c r="CP16" s="70" t="s">
        <v>2</v>
      </c>
      <c r="CQ16" s="70" t="s">
        <v>2</v>
      </c>
      <c r="CR16" s="33" t="s">
        <v>208</v>
      </c>
      <c r="CS16" s="71" t="s">
        <v>4</v>
      </c>
      <c r="CT16" s="33"/>
      <c r="CU16" s="33"/>
      <c r="CV16" s="33"/>
      <c r="CW16" s="72" t="s">
        <v>0</v>
      </c>
      <c r="CX16" s="72" t="s">
        <v>0</v>
      </c>
      <c r="CY16" s="70" t="s">
        <v>2</v>
      </c>
      <c r="CZ16" s="70" t="s">
        <v>2</v>
      </c>
      <c r="DA16" s="93" t="s">
        <v>4</v>
      </c>
      <c r="DB16" s="33"/>
      <c r="DC16" s="33"/>
      <c r="DD16" s="33"/>
      <c r="DE16" s="1"/>
      <c r="DF16" s="1" t="s">
        <v>206</v>
      </c>
      <c r="DG16" s="1" t="s">
        <v>206</v>
      </c>
      <c r="DH16" t="s">
        <v>207</v>
      </c>
      <c r="DI16" s="93" t="s">
        <v>4</v>
      </c>
      <c r="DJ16" s="93" t="s">
        <v>4</v>
      </c>
      <c r="DK16" s="1"/>
      <c r="DL16" s="1"/>
      <c r="DM16" s="1"/>
      <c r="DN16" s="1"/>
      <c r="DO16" s="72" t="s">
        <v>0</v>
      </c>
      <c r="DP16" t="s">
        <v>207</v>
      </c>
      <c r="DQ16" s="33" t="s">
        <v>207</v>
      </c>
      <c r="DR16" s="93" t="s">
        <v>4</v>
      </c>
      <c r="DS16" s="93" t="s">
        <v>4</v>
      </c>
      <c r="DT16" s="33"/>
      <c r="DU16" s="33"/>
      <c r="DV16" s="33"/>
      <c r="DW16" s="72" t="s">
        <v>0</v>
      </c>
      <c r="DX16" s="72" t="s">
        <v>0</v>
      </c>
      <c r="DY16" s="33" t="s">
        <v>207</v>
      </c>
      <c r="DZ16" s="70" t="s">
        <v>2</v>
      </c>
      <c r="EA16" s="71" t="s">
        <v>4</v>
      </c>
      <c r="EB16" s="71" t="s">
        <v>4</v>
      </c>
      <c r="EC16" s="33"/>
      <c r="ED16" s="33"/>
      <c r="EE16" s="33"/>
      <c r="EF16" s="72" t="s">
        <v>0</v>
      </c>
      <c r="EG16" s="72" t="s">
        <v>0</v>
      </c>
      <c r="EH16" s="70" t="s">
        <v>2</v>
      </c>
      <c r="EI16" s="1" t="s">
        <v>207</v>
      </c>
      <c r="EJ16" s="93" t="s">
        <v>4</v>
      </c>
      <c r="EK16" s="33"/>
      <c r="EL16" s="33"/>
      <c r="EM16" s="33"/>
      <c r="EN16" s="33"/>
      <c r="EO16" s="33" t="s">
        <v>206</v>
      </c>
      <c r="EP16" s="33" t="s">
        <v>206</v>
      </c>
      <c r="EQ16" s="33" t="s">
        <v>207</v>
      </c>
      <c r="ER16" s="33" t="s">
        <v>208</v>
      </c>
      <c r="ES16" s="33" t="s">
        <v>208</v>
      </c>
      <c r="ET16" s="1"/>
      <c r="EU16" s="1"/>
      <c r="EV16" s="1"/>
      <c r="EW16" s="1"/>
      <c r="EX16" s="72" t="s">
        <v>0</v>
      </c>
      <c r="EY16" s="70" t="s">
        <v>2</v>
      </c>
      <c r="EZ16" s="70" t="s">
        <v>2</v>
      </c>
      <c r="FA16" s="93" t="s">
        <v>4</v>
      </c>
      <c r="FB16" s="93" t="s">
        <v>4</v>
      </c>
      <c r="FC16" s="33"/>
      <c r="FD16" s="33"/>
      <c r="FE16" s="33"/>
      <c r="FF16" s="72" t="s">
        <v>0</v>
      </c>
      <c r="FG16" s="72" t="s">
        <v>0</v>
      </c>
      <c r="FH16" s="70" t="s">
        <v>2</v>
      </c>
      <c r="FI16" s="70" t="s">
        <v>2</v>
      </c>
      <c r="FJ16" s="71" t="s">
        <v>4</v>
      </c>
      <c r="FK16" s="71" t="s">
        <v>4</v>
      </c>
      <c r="FL16" s="33"/>
      <c r="FM16" s="33"/>
      <c r="FN16" s="33"/>
      <c r="FO16" s="72" t="s">
        <v>0</v>
      </c>
      <c r="FP16" s="72" t="s">
        <v>0</v>
      </c>
      <c r="FQ16" s="70" t="s">
        <v>2</v>
      </c>
      <c r="FR16" s="70" t="s">
        <v>2</v>
      </c>
      <c r="FS16" s="93" t="s">
        <v>4</v>
      </c>
      <c r="FT16" s="33"/>
      <c r="FU16" s="33"/>
      <c r="FV16" s="33"/>
      <c r="FW16" s="33"/>
      <c r="FX16" s="72" t="s">
        <v>0</v>
      </c>
      <c r="FY16" s="72" t="s">
        <v>0</v>
      </c>
      <c r="FZ16" s="33" t="s">
        <v>207</v>
      </c>
      <c r="GA16" s="33" t="s">
        <v>208</v>
      </c>
      <c r="GB16" s="33" t="s">
        <v>208</v>
      </c>
      <c r="GC16" s="1"/>
      <c r="GD16" s="1"/>
      <c r="GE16" s="1"/>
      <c r="GF16" s="1"/>
      <c r="GG16" s="72" t="s">
        <v>0</v>
      </c>
      <c r="GH16" s="70" t="s">
        <v>2</v>
      </c>
      <c r="GI16" s="70" t="s">
        <v>2</v>
      </c>
      <c r="GJ16" s="93" t="s">
        <v>4</v>
      </c>
      <c r="GK16" s="93" t="s">
        <v>4</v>
      </c>
      <c r="GL16" s="33"/>
      <c r="GM16" s="33"/>
      <c r="GN16" s="33"/>
      <c r="GO16" s="72" t="s">
        <v>0</v>
      </c>
      <c r="GP16" s="72" t="s">
        <v>0</v>
      </c>
      <c r="GQ16" s="70" t="s">
        <v>2</v>
      </c>
      <c r="GR16" s="70" t="s">
        <v>2</v>
      </c>
      <c r="GS16" s="71" t="s">
        <v>4</v>
      </c>
      <c r="GT16" s="71" t="s">
        <v>4</v>
      </c>
      <c r="GU16" s="33"/>
      <c r="GV16" s="33"/>
      <c r="GW16" s="33"/>
      <c r="GX16" s="33" t="s">
        <v>206</v>
      </c>
      <c r="GY16" s="72" t="s">
        <v>0</v>
      </c>
      <c r="GZ16" s="33" t="s">
        <v>207</v>
      </c>
      <c r="HA16" s="70" t="s">
        <v>2</v>
      </c>
      <c r="HB16" s="93" t="s">
        <v>4</v>
      </c>
      <c r="HC16" s="33"/>
      <c r="HD16" s="33"/>
      <c r="HE16" s="33"/>
      <c r="HF16" s="33"/>
      <c r="HG16" s="72" t="s">
        <v>0</v>
      </c>
      <c r="HH16" s="72" t="s">
        <v>0</v>
      </c>
      <c r="HI16" s="70" t="s">
        <v>2</v>
      </c>
      <c r="HJ16" s="33" t="s">
        <v>208</v>
      </c>
      <c r="HK16" s="93" t="s">
        <v>4</v>
      </c>
      <c r="HL16" s="1"/>
      <c r="HM16" s="1"/>
      <c r="HN16" s="1"/>
      <c r="HO16" s="1"/>
      <c r="HP16" s="72" t="s">
        <v>0</v>
      </c>
      <c r="HQ16" s="70" t="s">
        <v>2</v>
      </c>
      <c r="HR16" s="70" t="s">
        <v>2</v>
      </c>
      <c r="HS16" s="93" t="s">
        <v>4</v>
      </c>
      <c r="HT16" s="93" t="s">
        <v>4</v>
      </c>
      <c r="HU16" s="33"/>
      <c r="HV16" s="33"/>
      <c r="HW16" s="33"/>
      <c r="HX16" s="72" t="s">
        <v>0</v>
      </c>
      <c r="HY16" s="72" t="s">
        <v>0</v>
      </c>
      <c r="HZ16" s="70" t="s">
        <v>2</v>
      </c>
      <c r="IA16" s="70" t="s">
        <v>2</v>
      </c>
      <c r="IB16" s="71" t="s">
        <v>4</v>
      </c>
      <c r="IC16" s="71" t="s">
        <v>4</v>
      </c>
      <c r="ID16" s="33"/>
      <c r="IE16" s="33"/>
      <c r="IF16" s="33"/>
      <c r="IG16" s="72" t="s">
        <v>0</v>
      </c>
      <c r="IH16" s="72" t="s">
        <v>0</v>
      </c>
      <c r="II16" s="70" t="s">
        <v>2</v>
      </c>
      <c r="IJ16" s="70" t="s">
        <v>2</v>
      </c>
      <c r="IK16" s="93" t="s">
        <v>4</v>
      </c>
      <c r="IL16" s="33"/>
      <c r="IM16" s="33"/>
      <c r="IN16" s="33"/>
      <c r="IO16" s="33"/>
      <c r="IP16" s="72" t="s">
        <v>0</v>
      </c>
      <c r="IQ16" s="72" t="s">
        <v>0</v>
      </c>
      <c r="IR16" s="70" t="s">
        <v>2</v>
      </c>
      <c r="IS16" s="93" t="s">
        <v>4</v>
      </c>
      <c r="IT16" s="93" t="s">
        <v>4</v>
      </c>
      <c r="IU16" s="1"/>
      <c r="IV16" s="1"/>
      <c r="IW16" s="1"/>
      <c r="IX16" s="1"/>
      <c r="IY16" s="33" t="s">
        <v>206</v>
      </c>
      <c r="IZ16" s="33" t="s">
        <v>207</v>
      </c>
      <c r="JA16" s="33" t="s">
        <v>207</v>
      </c>
      <c r="JB16" s="33" t="s">
        <v>208</v>
      </c>
      <c r="JC16" s="33" t="s">
        <v>208</v>
      </c>
      <c r="JD16" s="33"/>
      <c r="JE16" s="33"/>
      <c r="JF16" s="33"/>
      <c r="JG16" s="33" t="s">
        <v>206</v>
      </c>
      <c r="JH16" s="33" t="s">
        <v>206</v>
      </c>
      <c r="JI16" s="33" t="s">
        <v>207</v>
      </c>
      <c r="JJ16" s="33" t="s">
        <v>207</v>
      </c>
      <c r="JK16" s="33" t="s">
        <v>208</v>
      </c>
      <c r="JL16" s="33" t="s">
        <v>208</v>
      </c>
      <c r="JM16" s="33"/>
      <c r="JN16" s="33"/>
      <c r="JO16" s="33"/>
      <c r="JP16" s="33" t="s">
        <v>206</v>
      </c>
      <c r="JQ16" s="33" t="s">
        <v>206</v>
      </c>
      <c r="JR16" s="33" t="s">
        <v>207</v>
      </c>
      <c r="JS16" s="33" t="s">
        <v>207</v>
      </c>
      <c r="JT16" s="33" t="s">
        <v>208</v>
      </c>
      <c r="JU16" s="33"/>
      <c r="JV16" s="33"/>
      <c r="JW16" s="33"/>
      <c r="JX16" s="33"/>
      <c r="JY16" s="72" t="s">
        <v>0</v>
      </c>
      <c r="JZ16" s="72" t="s">
        <v>0</v>
      </c>
      <c r="KA16" s="70" t="s">
        <v>2</v>
      </c>
      <c r="KB16" s="93" t="s">
        <v>4</v>
      </c>
      <c r="KC16" s="93" t="s">
        <v>4</v>
      </c>
      <c r="KD16" s="1"/>
      <c r="KE16" s="1"/>
      <c r="KF16" s="1"/>
      <c r="KG16" s="1"/>
      <c r="KH16" s="72" t="s">
        <v>0</v>
      </c>
      <c r="KI16" s="70" t="s">
        <v>2</v>
      </c>
      <c r="KJ16" s="70" t="s">
        <v>2</v>
      </c>
      <c r="KK16" s="93" t="s">
        <v>4</v>
      </c>
      <c r="KL16" s="93" t="s">
        <v>4</v>
      </c>
      <c r="KM16" s="33"/>
      <c r="KN16" s="33"/>
      <c r="KO16" s="33"/>
      <c r="KP16" s="72" t="s">
        <v>0</v>
      </c>
      <c r="KQ16" s="72" t="s">
        <v>0</v>
      </c>
      <c r="KR16" s="70" t="s">
        <v>2</v>
      </c>
      <c r="KS16" s="70" t="s">
        <v>2</v>
      </c>
      <c r="KT16" s="71" t="s">
        <v>4</v>
      </c>
      <c r="KU16" s="71" t="s">
        <v>4</v>
      </c>
      <c r="KV16" s="33"/>
      <c r="KW16" s="33"/>
      <c r="KX16" s="33"/>
      <c r="KY16" s="72" t="s">
        <v>0</v>
      </c>
      <c r="KZ16" s="72" t="s">
        <v>0</v>
      </c>
      <c r="LA16" s="70" t="s">
        <v>2</v>
      </c>
      <c r="LB16" s="70" t="s">
        <v>2</v>
      </c>
      <c r="LC16" s="93" t="s">
        <v>4</v>
      </c>
      <c r="LD16" s="33"/>
      <c r="LE16" s="33"/>
      <c r="LF16" s="33"/>
      <c r="LG16" s="33"/>
      <c r="LH16" s="72" t="s">
        <v>0</v>
      </c>
      <c r="LI16" s="72" t="s">
        <v>0</v>
      </c>
      <c r="LJ16" s="70" t="s">
        <v>2</v>
      </c>
      <c r="LK16" s="93" t="s">
        <v>4</v>
      </c>
      <c r="LL16" s="93" t="s">
        <v>4</v>
      </c>
      <c r="LM16" s="1"/>
      <c r="LN16" s="1"/>
      <c r="LO16" s="1"/>
      <c r="LP16" s="1"/>
      <c r="LQ16" s="72" t="s">
        <v>0</v>
      </c>
      <c r="LR16" s="70" t="s">
        <v>2</v>
      </c>
      <c r="LS16" s="70" t="s">
        <v>2</v>
      </c>
      <c r="LT16" s="93" t="s">
        <v>4</v>
      </c>
      <c r="LU16" s="93" t="s">
        <v>4</v>
      </c>
      <c r="LV16" s="33"/>
      <c r="LW16" s="33"/>
      <c r="LX16" s="33"/>
      <c r="LY16" s="72" t="s">
        <v>0</v>
      </c>
      <c r="LZ16" s="72" t="s">
        <v>0</v>
      </c>
      <c r="MA16" s="70" t="s">
        <v>2</v>
      </c>
      <c r="MB16" s="70" t="s">
        <v>2</v>
      </c>
      <c r="MC16" s="71" t="s">
        <v>4</v>
      </c>
      <c r="MD16" s="71" t="s">
        <v>4</v>
      </c>
      <c r="ME16" s="33"/>
      <c r="MF16" s="33"/>
      <c r="MG16" s="33"/>
      <c r="MH16" s="72" t="s">
        <v>0</v>
      </c>
      <c r="MI16" s="72" t="s">
        <v>0</v>
      </c>
      <c r="MJ16" s="70" t="s">
        <v>2</v>
      </c>
      <c r="MK16" s="70" t="s">
        <v>2</v>
      </c>
      <c r="ML16" s="93" t="s">
        <v>4</v>
      </c>
      <c r="MM16" s="33"/>
      <c r="MN16" s="33"/>
      <c r="MO16" s="33"/>
      <c r="MP16" s="33"/>
      <c r="MQ16" s="72" t="s">
        <v>0</v>
      </c>
      <c r="MR16" s="72" t="s">
        <v>0</v>
      </c>
      <c r="MS16" s="70" t="s">
        <v>2</v>
      </c>
      <c r="MT16" s="93" t="s">
        <v>4</v>
      </c>
      <c r="MU16" s="93" t="s">
        <v>4</v>
      </c>
      <c r="MV16" s="1"/>
      <c r="MW16" s="1"/>
      <c r="MX16" s="1"/>
      <c r="MY16" s="1"/>
      <c r="MZ16" s="72" t="s">
        <v>0</v>
      </c>
      <c r="NA16" s="70" t="s">
        <v>2</v>
      </c>
      <c r="NB16" s="70" t="s">
        <v>2</v>
      </c>
      <c r="NC16" s="93" t="s">
        <v>4</v>
      </c>
      <c r="ND16" s="93" t="s">
        <v>4</v>
      </c>
      <c r="NE16" s="33"/>
      <c r="NF16" s="33"/>
      <c r="NG16" s="33"/>
      <c r="NH16" s="191" t="s">
        <v>206</v>
      </c>
      <c r="NI16" s="72" t="s">
        <v>0</v>
      </c>
      <c r="NJ16" s="70" t="s">
        <v>2</v>
      </c>
      <c r="NK16" s="70" t="s">
        <v>2</v>
      </c>
      <c r="NL16" s="71" t="s">
        <v>4</v>
      </c>
      <c r="NM16" s="71" t="s">
        <v>4</v>
      </c>
      <c r="NN16" s="33"/>
      <c r="NO16" s="33"/>
      <c r="NP16" s="33"/>
      <c r="NQ16" s="73">
        <f t="shared" si="0"/>
        <v>61</v>
      </c>
      <c r="NR16" s="73">
        <f t="shared" si="1"/>
        <v>56</v>
      </c>
      <c r="NS16" s="73">
        <f t="shared" si="2"/>
        <v>0</v>
      </c>
      <c r="NT16" s="73">
        <f t="shared" si="3"/>
        <v>61</v>
      </c>
      <c r="NU16" s="73">
        <f t="shared" si="4"/>
        <v>0</v>
      </c>
      <c r="NV16" s="73">
        <f t="shared" si="5"/>
        <v>0</v>
      </c>
      <c r="NW16" s="73">
        <f t="shared" si="6"/>
        <v>0</v>
      </c>
      <c r="NX16" s="73">
        <f>COUNTIF(J16:NP16,"Opl")+COUNTIF(J16:NP16,"Examen")</f>
        <v>0</v>
      </c>
      <c r="NY16" s="77">
        <f>SUM(NQ16:NX17)</f>
        <v>222</v>
      </c>
      <c r="NZ16" s="74">
        <f t="shared" si="7"/>
        <v>33.509433962264154</v>
      </c>
      <c r="OA16" s="145"/>
    </row>
    <row r="17" spans="1:411">
      <c r="A17" s="97"/>
      <c r="B17" s="73"/>
      <c r="C17" s="73"/>
      <c r="D17" s="73"/>
      <c r="E17" s="73"/>
      <c r="F17" s="73"/>
      <c r="G17" s="103" t="s">
        <v>6</v>
      </c>
      <c r="H17" s="73"/>
      <c r="I17" s="7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70" t="s">
        <v>2</v>
      </c>
      <c r="AX17" s="1"/>
      <c r="AY17" s="93" t="s">
        <v>4</v>
      </c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93" t="s">
        <v>4</v>
      </c>
      <c r="BQ17" s="93" t="s">
        <v>4</v>
      </c>
      <c r="BR17" s="1"/>
      <c r="BS17" s="1"/>
      <c r="BT17" s="1"/>
      <c r="BU17" s="1"/>
      <c r="BV17" s="1"/>
      <c r="BW17" s="1"/>
      <c r="BX17" s="1"/>
      <c r="BY17" s="103" t="s">
        <v>6</v>
      </c>
      <c r="BZ17" s="103" t="s">
        <v>6</v>
      </c>
      <c r="CA17" s="103" t="s">
        <v>6</v>
      </c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03" t="s">
        <v>6</v>
      </c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70" t="s">
        <v>2</v>
      </c>
      <c r="DF17" s="70" t="s">
        <v>2</v>
      </c>
      <c r="DG17" s="70" t="s">
        <v>2</v>
      </c>
      <c r="DH17" s="93" t="s">
        <v>4</v>
      </c>
      <c r="DI17" s="1"/>
      <c r="DJ17" s="1"/>
      <c r="DK17" s="1"/>
      <c r="DL17" s="1"/>
      <c r="DM17" s="1"/>
      <c r="DN17" s="1"/>
      <c r="DO17" s="1"/>
      <c r="DP17" s="103" t="s">
        <v>6</v>
      </c>
      <c r="DQ17" s="1"/>
      <c r="DR17" s="1"/>
      <c r="DS17" s="1"/>
      <c r="DT17" s="1"/>
      <c r="DU17" s="1"/>
      <c r="DV17" s="1"/>
      <c r="DW17" s="1"/>
      <c r="DX17" s="1"/>
      <c r="DY17" s="100" t="s">
        <v>281</v>
      </c>
      <c r="DZ17" s="1"/>
      <c r="EA17" s="1"/>
      <c r="EB17" s="1"/>
      <c r="EC17" s="1"/>
      <c r="ED17" s="1"/>
      <c r="EE17" s="1"/>
      <c r="EF17" s="1"/>
      <c r="EG17" s="1"/>
      <c r="EH17" s="1"/>
      <c r="EI17" s="93" t="s">
        <v>4</v>
      </c>
      <c r="EJ17" s="1"/>
      <c r="EK17" s="1"/>
      <c r="EL17" s="1"/>
      <c r="EM17" s="1"/>
      <c r="EN17" s="1"/>
      <c r="EO17" s="103" t="s">
        <v>6</v>
      </c>
      <c r="EP17" s="103" t="s">
        <v>6</v>
      </c>
      <c r="EQ17" s="103" t="s">
        <v>6</v>
      </c>
      <c r="ER17" s="103" t="s">
        <v>6</v>
      </c>
      <c r="ES17" s="103" t="s">
        <v>6</v>
      </c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28" t="s">
        <v>6</v>
      </c>
      <c r="GA17" s="128" t="s">
        <v>6</v>
      </c>
      <c r="GB17" s="128" t="s">
        <v>6</v>
      </c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28" t="s">
        <v>6</v>
      </c>
      <c r="GS17" s="1"/>
      <c r="GT17" s="1"/>
      <c r="GU17" s="1"/>
      <c r="GV17" s="1"/>
      <c r="GW17" s="1"/>
      <c r="GX17" s="1"/>
      <c r="GY17" s="1"/>
      <c r="GZ17" s="72" t="s">
        <v>0</v>
      </c>
      <c r="HA17" s="1"/>
      <c r="HB17" s="1"/>
      <c r="HC17" s="93" t="s">
        <v>4</v>
      </c>
      <c r="HD17" s="1"/>
      <c r="HE17" s="1"/>
      <c r="HF17" s="1"/>
      <c r="HG17" s="1"/>
      <c r="HH17" s="1"/>
      <c r="HI17" s="1"/>
      <c r="HJ17" s="70" t="s">
        <v>2</v>
      </c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28" t="s">
        <v>6</v>
      </c>
      <c r="IZ17" s="128" t="s">
        <v>6</v>
      </c>
      <c r="JA17" s="128" t="s">
        <v>6</v>
      </c>
      <c r="JB17" s="128" t="s">
        <v>6</v>
      </c>
      <c r="JC17" s="128" t="s">
        <v>6</v>
      </c>
      <c r="JD17" s="1"/>
      <c r="JE17" s="1"/>
      <c r="JF17" s="1"/>
      <c r="JG17" s="128" t="s">
        <v>6</v>
      </c>
      <c r="JH17" s="128" t="s">
        <v>6</v>
      </c>
      <c r="JI17" s="128" t="s">
        <v>6</v>
      </c>
      <c r="JJ17" s="128" t="s">
        <v>6</v>
      </c>
      <c r="JK17" s="128" t="s">
        <v>6</v>
      </c>
      <c r="JL17" s="128" t="s">
        <v>6</v>
      </c>
      <c r="JM17" s="1"/>
      <c r="JN17" s="1"/>
      <c r="JO17" s="1"/>
      <c r="JP17" s="128" t="s">
        <v>6</v>
      </c>
      <c r="JQ17" s="128" t="s">
        <v>6</v>
      </c>
      <c r="JR17" s="128" t="s">
        <v>6</v>
      </c>
      <c r="JS17" s="128" t="s">
        <v>6</v>
      </c>
      <c r="JT17" s="128" t="s">
        <v>6</v>
      </c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93" t="s">
        <v>6</v>
      </c>
      <c r="NI17" s="1"/>
      <c r="NJ17" s="1"/>
      <c r="NK17" s="1"/>
      <c r="NL17" s="1"/>
      <c r="NM17" s="1"/>
      <c r="NN17" s="1"/>
      <c r="NO17" s="1"/>
      <c r="NP17" s="1"/>
      <c r="NQ17" s="73">
        <f t="shared" si="0"/>
        <v>1</v>
      </c>
      <c r="NR17" s="73">
        <f t="shared" si="1"/>
        <v>5</v>
      </c>
      <c r="NS17" s="73">
        <f t="shared" si="2"/>
        <v>1</v>
      </c>
      <c r="NT17" s="73">
        <f t="shared" si="3"/>
        <v>6</v>
      </c>
      <c r="NU17" s="73">
        <f t="shared" si="4"/>
        <v>0</v>
      </c>
      <c r="NV17" s="73">
        <f t="shared" si="5"/>
        <v>31</v>
      </c>
      <c r="NW17" s="73">
        <f t="shared" si="6"/>
        <v>0</v>
      </c>
      <c r="NX17" s="73">
        <f>COUNTIF(J17:NP17,"Opl")+COUNTIF(J17:NP17,"Examen")</f>
        <v>0</v>
      </c>
      <c r="NY17" s="73"/>
      <c r="NZ17" s="74"/>
      <c r="OA17" s="146"/>
    </row>
    <row r="18" spans="1:411">
      <c r="A18" s="97" t="s">
        <v>293</v>
      </c>
      <c r="B18" s="63" t="s">
        <v>294</v>
      </c>
      <c r="C18" s="63"/>
      <c r="D18" s="63"/>
      <c r="E18" s="33" t="s">
        <v>206</v>
      </c>
      <c r="F18" s="72" t="s">
        <v>0</v>
      </c>
      <c r="G18" s="70" t="s">
        <v>2</v>
      </c>
      <c r="H18" s="70" t="s">
        <v>2</v>
      </c>
      <c r="I18" s="68" t="s">
        <v>281</v>
      </c>
      <c r="J18" s="93" t="s">
        <v>4</v>
      </c>
      <c r="K18" s="1"/>
      <c r="L18" s="1"/>
      <c r="M18" s="1"/>
      <c r="N18" s="1"/>
      <c r="O18" s="72" t="s">
        <v>0</v>
      </c>
      <c r="P18" s="70" t="s">
        <v>2</v>
      </c>
      <c r="Q18" s="70" t="s">
        <v>2</v>
      </c>
      <c r="R18" s="68" t="s">
        <v>281</v>
      </c>
      <c r="S18" s="93" t="s">
        <v>4</v>
      </c>
      <c r="T18" s="33"/>
      <c r="U18" s="33"/>
      <c r="V18" s="33"/>
      <c r="W18" s="72" t="s">
        <v>0</v>
      </c>
      <c r="X18" s="72" t="s">
        <v>0</v>
      </c>
      <c r="Y18" s="106" t="s">
        <v>283</v>
      </c>
      <c r="Z18" s="33" t="s">
        <v>207</v>
      </c>
      <c r="AA18" s="33" t="s">
        <v>208</v>
      </c>
      <c r="AB18" s="33" t="s">
        <v>208</v>
      </c>
      <c r="AC18" s="33"/>
      <c r="AD18" s="33"/>
      <c r="AE18" s="33"/>
      <c r="AF18" s="72" t="s">
        <v>0</v>
      </c>
      <c r="AG18" s="72" t="s">
        <v>0</v>
      </c>
      <c r="AH18" s="70" t="s">
        <v>2</v>
      </c>
      <c r="AI18" s="70" t="s">
        <v>2</v>
      </c>
      <c r="AJ18" s="93" t="s">
        <v>4</v>
      </c>
      <c r="AL18" s="33"/>
      <c r="AM18" s="33"/>
      <c r="AN18" s="33"/>
      <c r="AO18" s="72" t="s">
        <v>0</v>
      </c>
      <c r="AP18" s="72" t="s">
        <v>0</v>
      </c>
      <c r="AQ18" s="70" t="s">
        <v>2</v>
      </c>
      <c r="AR18" s="33" t="s">
        <v>208</v>
      </c>
      <c r="AS18" s="33" t="s">
        <v>208</v>
      </c>
      <c r="AT18" s="1"/>
      <c r="AU18" s="1"/>
      <c r="AV18" s="1"/>
      <c r="AW18" s="72" t="s">
        <v>0</v>
      </c>
      <c r="AX18" s="72" t="s">
        <v>0</v>
      </c>
      <c r="AY18" s="70" t="s">
        <v>2</v>
      </c>
      <c r="AZ18" s="70" t="s">
        <v>2</v>
      </c>
      <c r="BA18" s="33" t="s">
        <v>208</v>
      </c>
      <c r="BB18" s="33" t="s">
        <v>208</v>
      </c>
      <c r="BC18" s="33"/>
      <c r="BD18" s="33"/>
      <c r="BE18" s="33"/>
      <c r="BG18" s="72" t="s">
        <v>0</v>
      </c>
      <c r="BH18" s="68" t="s">
        <v>281</v>
      </c>
      <c r="BI18" s="70" t="s">
        <v>2</v>
      </c>
      <c r="BJ18" s="33" t="s">
        <v>208</v>
      </c>
      <c r="BK18" s="71" t="s">
        <v>4</v>
      </c>
      <c r="BL18" s="33"/>
      <c r="BM18" s="33"/>
      <c r="BN18" s="33"/>
      <c r="BO18" s="72" t="s">
        <v>0</v>
      </c>
      <c r="BP18" s="72" t="s">
        <v>0</v>
      </c>
      <c r="BQ18" s="70" t="s">
        <v>2</v>
      </c>
      <c r="BR18" s="70" t="s">
        <v>2</v>
      </c>
      <c r="BS18" s="93" t="s">
        <v>4</v>
      </c>
      <c r="BT18" s="33"/>
      <c r="BU18" s="1"/>
      <c r="BV18" s="33"/>
      <c r="BW18" s="33"/>
      <c r="BX18" s="122" t="s">
        <v>206</v>
      </c>
      <c r="BY18" s="33" t="s">
        <v>206</v>
      </c>
      <c r="BZ18" s="70" t="s">
        <v>2</v>
      </c>
      <c r="CA18" s="93" t="s">
        <v>4</v>
      </c>
      <c r="CB18" s="93" t="s">
        <v>4</v>
      </c>
      <c r="CC18" s="1"/>
      <c r="CD18" s="1"/>
      <c r="CE18" s="1"/>
      <c r="CF18" s="72" t="s">
        <v>0</v>
      </c>
      <c r="CG18" s="72" t="s">
        <v>0</v>
      </c>
      <c r="CH18" s="70" t="s">
        <v>2</v>
      </c>
      <c r="CI18" s="70" t="s">
        <v>2</v>
      </c>
      <c r="CJ18" s="68" t="s">
        <v>281</v>
      </c>
      <c r="CK18" s="93" t="s">
        <v>4</v>
      </c>
      <c r="CL18" s="33"/>
      <c r="CM18" s="33"/>
      <c r="CN18" s="33"/>
      <c r="CO18" s="33"/>
      <c r="CP18" s="72" t="s">
        <v>0</v>
      </c>
      <c r="CQ18" s="70" t="s">
        <v>2</v>
      </c>
      <c r="CR18" s="70" t="s">
        <v>2</v>
      </c>
      <c r="CS18" s="33" t="s">
        <v>208</v>
      </c>
      <c r="CT18" s="33" t="s">
        <v>208</v>
      </c>
      <c r="CU18" s="33"/>
      <c r="CV18" s="33"/>
      <c r="CW18" s="33"/>
      <c r="CX18" s="72" t="s">
        <v>0</v>
      </c>
      <c r="CY18" s="72" t="s">
        <v>0</v>
      </c>
      <c r="CZ18" s="70" t="s">
        <v>2</v>
      </c>
      <c r="DA18" s="70" t="s">
        <v>2</v>
      </c>
      <c r="DB18" s="93" t="s">
        <v>4</v>
      </c>
      <c r="DC18" s="33"/>
      <c r="DD18" s="33"/>
      <c r="DE18" s="33"/>
      <c r="DF18" s="33"/>
      <c r="DG18" s="72" t="s">
        <v>0</v>
      </c>
      <c r="DH18" s="72" t="s">
        <v>0</v>
      </c>
      <c r="DI18" s="70" t="s">
        <v>2</v>
      </c>
      <c r="DJ18" s="33" t="s">
        <v>208</v>
      </c>
      <c r="DK18" s="93" t="s">
        <v>4</v>
      </c>
      <c r="DL18" s="1"/>
      <c r="DM18" s="1" t="s">
        <v>282</v>
      </c>
      <c r="DN18" s="1"/>
      <c r="DO18" s="72" t="s">
        <v>0</v>
      </c>
      <c r="DP18" s="72" t="s">
        <v>0</v>
      </c>
      <c r="DQ18" s="70" t="s">
        <v>2</v>
      </c>
      <c r="DR18" s="70" t="s">
        <v>2</v>
      </c>
      <c r="DS18" s="33" t="s">
        <v>208</v>
      </c>
      <c r="DT18" s="33" t="s">
        <v>208</v>
      </c>
      <c r="DU18" s="33"/>
      <c r="DV18" s="33"/>
      <c r="DW18" s="33"/>
      <c r="DY18" s="33" t="s">
        <v>206</v>
      </c>
      <c r="DZ18" s="70" t="s">
        <v>2</v>
      </c>
      <c r="EA18" s="70" t="s">
        <v>2</v>
      </c>
      <c r="EB18" s="1" t="s">
        <v>208</v>
      </c>
      <c r="EC18" s="1" t="s">
        <v>208</v>
      </c>
      <c r="ED18" s="33"/>
      <c r="EE18" s="33"/>
      <c r="EF18" s="33"/>
      <c r="EG18" s="1" t="s">
        <v>206</v>
      </c>
      <c r="EH18" s="1" t="s">
        <v>206</v>
      </c>
      <c r="EI18" s="33" t="s">
        <v>207</v>
      </c>
      <c r="EJ18" s="33" t="s">
        <v>207</v>
      </c>
      <c r="EK18" s="33" t="s">
        <v>208</v>
      </c>
      <c r="EL18" s="33"/>
      <c r="EM18" s="33"/>
      <c r="EN18" s="33"/>
      <c r="EO18" s="33"/>
      <c r="EP18" s="33" t="s">
        <v>206</v>
      </c>
      <c r="EQ18" s="33" t="s">
        <v>206</v>
      </c>
      <c r="ER18" s="33" t="s">
        <v>207</v>
      </c>
      <c r="ES18" s="33" t="s">
        <v>208</v>
      </c>
      <c r="ET18" s="33" t="s">
        <v>208</v>
      </c>
      <c r="EU18" s="1"/>
      <c r="EV18" s="1"/>
      <c r="EW18" s="1"/>
      <c r="EX18" s="72" t="s">
        <v>0</v>
      </c>
      <c r="EY18" s="72" t="s">
        <v>0</v>
      </c>
      <c r="EZ18" s="70" t="s">
        <v>2</v>
      </c>
      <c r="FA18" s="70" t="s">
        <v>2</v>
      </c>
      <c r="FB18" s="33" t="s">
        <v>208</v>
      </c>
      <c r="FC18" s="122" t="s">
        <v>208</v>
      </c>
      <c r="FD18" s="33"/>
      <c r="FE18" s="33"/>
      <c r="FF18" s="33"/>
      <c r="FH18" s="72" t="s">
        <v>0</v>
      </c>
      <c r="FI18" s="70" t="s">
        <v>2</v>
      </c>
      <c r="FJ18" s="70" t="s">
        <v>2</v>
      </c>
      <c r="FK18" s="71" t="s">
        <v>4</v>
      </c>
      <c r="FL18" s="71" t="s">
        <v>4</v>
      </c>
      <c r="FM18" s="33"/>
      <c r="FN18" s="33"/>
      <c r="FO18" s="33"/>
      <c r="FP18" s="72" t="s">
        <v>0</v>
      </c>
      <c r="FQ18" s="72" t="s">
        <v>0</v>
      </c>
      <c r="FR18" s="70" t="s">
        <v>2</v>
      </c>
      <c r="FS18" s="70" t="s">
        <v>2</v>
      </c>
      <c r="FT18" s="93" t="s">
        <v>4</v>
      </c>
      <c r="FU18" s="33"/>
      <c r="FV18" s="33"/>
      <c r="FW18" s="33"/>
      <c r="FX18" s="33"/>
      <c r="FY18" s="72" t="s">
        <v>0</v>
      </c>
      <c r="FZ18" s="33" t="s">
        <v>206</v>
      </c>
      <c r="GA18" s="70" t="s">
        <v>2</v>
      </c>
      <c r="GB18" s="93" t="s">
        <v>4</v>
      </c>
      <c r="GC18" s="93" t="s">
        <v>4</v>
      </c>
      <c r="GD18" s="1"/>
      <c r="GE18" s="1"/>
      <c r="GF18" s="1"/>
      <c r="GG18" s="72" t="s">
        <v>0</v>
      </c>
      <c r="GH18" s="72" t="s">
        <v>0</v>
      </c>
      <c r="GI18" s="70" t="s">
        <v>2</v>
      </c>
      <c r="GJ18" s="70" t="s">
        <v>2</v>
      </c>
      <c r="GK18" s="93" t="s">
        <v>4</v>
      </c>
      <c r="GL18" s="93" t="s">
        <v>4</v>
      </c>
      <c r="GM18" s="33"/>
      <c r="GN18" s="33"/>
      <c r="GO18" s="33"/>
      <c r="GQ18" s="72" t="s">
        <v>0</v>
      </c>
      <c r="GR18" s="70" t="s">
        <v>2</v>
      </c>
      <c r="GS18" s="70" t="s">
        <v>2</v>
      </c>
      <c r="GT18" s="33" t="s">
        <v>208</v>
      </c>
      <c r="GU18" s="33" t="s">
        <v>208</v>
      </c>
      <c r="GV18" s="33"/>
      <c r="GW18" s="33"/>
      <c r="GX18" s="33"/>
      <c r="GY18" s="33" t="s">
        <v>206</v>
      </c>
      <c r="GZ18" s="33" t="s">
        <v>206</v>
      </c>
      <c r="HA18" s="33" t="s">
        <v>207</v>
      </c>
      <c r="HB18" s="33" t="s">
        <v>207</v>
      </c>
      <c r="HC18" s="33" t="s">
        <v>208</v>
      </c>
      <c r="HD18" s="33"/>
      <c r="HE18" s="33"/>
      <c r="HF18" s="33"/>
      <c r="HG18" s="33"/>
      <c r="HH18" s="33" t="s">
        <v>206</v>
      </c>
      <c r="HI18" s="33" t="s">
        <v>206</v>
      </c>
      <c r="HJ18" s="33" t="s">
        <v>207</v>
      </c>
      <c r="HK18" s="33" t="s">
        <v>208</v>
      </c>
      <c r="HL18" s="33" t="s">
        <v>208</v>
      </c>
      <c r="HM18" s="1"/>
      <c r="HN18" s="1"/>
      <c r="HO18" s="1"/>
      <c r="HP18" s="33" t="s">
        <v>206</v>
      </c>
      <c r="HQ18" s="72" t="s">
        <v>0</v>
      </c>
      <c r="HR18" s="33" t="s">
        <v>207</v>
      </c>
      <c r="HS18" s="70" t="s">
        <v>2</v>
      </c>
      <c r="HT18" s="33" t="s">
        <v>208</v>
      </c>
      <c r="HU18" s="93" t="s">
        <v>4</v>
      </c>
      <c r="HV18" s="33"/>
      <c r="HW18" s="33"/>
      <c r="HX18" s="33"/>
      <c r="HZ18" s="72" t="s">
        <v>0</v>
      </c>
      <c r="IA18" s="70" t="s">
        <v>2</v>
      </c>
      <c r="IB18" s="70" t="s">
        <v>2</v>
      </c>
      <c r="IC18" s="71" t="s">
        <v>4</v>
      </c>
      <c r="ID18" s="71" t="s">
        <v>4</v>
      </c>
      <c r="IE18" s="33"/>
      <c r="IF18" s="33"/>
      <c r="IG18" s="33"/>
      <c r="IH18" s="72" t="s">
        <v>0</v>
      </c>
      <c r="II18" s="72" t="s">
        <v>0</v>
      </c>
      <c r="IJ18" s="70" t="s">
        <v>2</v>
      </c>
      <c r="IK18" s="70" t="s">
        <v>2</v>
      </c>
      <c r="IL18" s="93" t="s">
        <v>4</v>
      </c>
      <c r="IM18" s="33"/>
      <c r="IN18" s="33"/>
      <c r="IO18" s="33"/>
      <c r="IP18" s="33"/>
      <c r="IQ18" s="72" t="s">
        <v>0</v>
      </c>
      <c r="IR18" s="72" t="s">
        <v>0</v>
      </c>
      <c r="IS18" s="70" t="s">
        <v>2</v>
      </c>
      <c r="IT18" s="93" t="s">
        <v>4</v>
      </c>
      <c r="IU18" s="93" t="s">
        <v>4</v>
      </c>
      <c r="IV18" s="1"/>
      <c r="IW18" s="1"/>
      <c r="IX18" s="1"/>
      <c r="IY18" s="72" t="s">
        <v>0</v>
      </c>
      <c r="IZ18" s="72" t="s">
        <v>0</v>
      </c>
      <c r="JA18" s="70" t="s">
        <v>2</v>
      </c>
      <c r="JB18" s="70" t="s">
        <v>2</v>
      </c>
      <c r="JC18" s="93" t="s">
        <v>4</v>
      </c>
      <c r="JD18" s="93" t="s">
        <v>4</v>
      </c>
      <c r="JE18" s="33"/>
      <c r="JF18" s="33"/>
      <c r="JG18" s="33"/>
      <c r="JI18" s="72" t="s">
        <v>0</v>
      </c>
      <c r="JJ18" s="70" t="s">
        <v>2</v>
      </c>
      <c r="JK18" s="70" t="s">
        <v>2</v>
      </c>
      <c r="JL18" s="71" t="s">
        <v>4</v>
      </c>
      <c r="JM18" s="71" t="s">
        <v>4</v>
      </c>
      <c r="JN18" s="33"/>
      <c r="JO18" s="33"/>
      <c r="JP18" s="33"/>
      <c r="JQ18" s="72" t="s">
        <v>0</v>
      </c>
      <c r="JR18" s="33" t="s">
        <v>206</v>
      </c>
      <c r="JS18" s="70" t="s">
        <v>2</v>
      </c>
      <c r="JT18" s="70" t="s">
        <v>2</v>
      </c>
      <c r="JU18" s="93" t="s">
        <v>4</v>
      </c>
      <c r="JV18" s="33"/>
      <c r="JW18" s="33"/>
      <c r="JX18" s="33"/>
      <c r="JY18" s="33"/>
      <c r="JZ18" s="72" t="s">
        <v>0</v>
      </c>
      <c r="KA18" s="72" t="s">
        <v>0</v>
      </c>
      <c r="KB18" s="70" t="s">
        <v>2</v>
      </c>
      <c r="KC18" s="93" t="s">
        <v>4</v>
      </c>
      <c r="KD18" s="93" t="s">
        <v>4</v>
      </c>
      <c r="KE18" s="1"/>
      <c r="KF18" s="1"/>
      <c r="KG18" s="1"/>
      <c r="KH18" s="72" t="s">
        <v>0</v>
      </c>
      <c r="KI18" s="72" t="s">
        <v>0</v>
      </c>
      <c r="KJ18" s="70" t="s">
        <v>2</v>
      </c>
      <c r="KK18" s="70" t="s">
        <v>2</v>
      </c>
      <c r="KL18" s="93" t="s">
        <v>4</v>
      </c>
      <c r="KM18" s="93" t="s">
        <v>4</v>
      </c>
      <c r="KN18" s="33"/>
      <c r="KO18" s="33"/>
      <c r="KP18" s="33"/>
      <c r="KR18" s="72" t="s">
        <v>0</v>
      </c>
      <c r="KS18" s="70" t="s">
        <v>2</v>
      </c>
      <c r="KT18" s="70" t="s">
        <v>2</v>
      </c>
      <c r="KU18" s="71" t="s">
        <v>4</v>
      </c>
      <c r="KV18" s="71" t="s">
        <v>4</v>
      </c>
      <c r="KW18" s="33"/>
      <c r="KX18" s="33"/>
      <c r="KY18" s="33"/>
      <c r="KZ18" s="72" t="s">
        <v>0</v>
      </c>
      <c r="LA18" s="72" t="s">
        <v>0</v>
      </c>
      <c r="LB18" s="70" t="s">
        <v>2</v>
      </c>
      <c r="LC18" s="70" t="s">
        <v>2</v>
      </c>
      <c r="LD18" s="93" t="s">
        <v>4</v>
      </c>
      <c r="LE18" s="33"/>
      <c r="LF18" s="33"/>
      <c r="LG18" s="33"/>
      <c r="LH18" s="33"/>
      <c r="LI18" s="72" t="s">
        <v>0</v>
      </c>
      <c r="LJ18" s="72" t="s">
        <v>0</v>
      </c>
      <c r="LK18" s="70" t="s">
        <v>2</v>
      </c>
      <c r="LL18" s="93" t="s">
        <v>4</v>
      </c>
      <c r="LM18" s="93" t="s">
        <v>4</v>
      </c>
      <c r="LN18" s="1"/>
      <c r="LO18" s="1"/>
      <c r="LP18" s="1"/>
      <c r="LQ18" s="72" t="s">
        <v>0</v>
      </c>
      <c r="LR18" s="72" t="s">
        <v>0</v>
      </c>
      <c r="LS18" s="70" t="s">
        <v>2</v>
      </c>
      <c r="LT18" s="70" t="s">
        <v>2</v>
      </c>
      <c r="LU18" s="93" t="s">
        <v>4</v>
      </c>
      <c r="LV18" s="93" t="s">
        <v>4</v>
      </c>
      <c r="LW18" s="33"/>
      <c r="LX18" s="33"/>
      <c r="LY18" s="33"/>
      <c r="MA18" s="72" t="s">
        <v>0</v>
      </c>
      <c r="MB18" s="70" t="s">
        <v>2</v>
      </c>
      <c r="MC18" s="70" t="s">
        <v>2</v>
      </c>
      <c r="MD18" s="71" t="s">
        <v>4</v>
      </c>
      <c r="ME18" s="71" t="s">
        <v>4</v>
      </c>
      <c r="MF18" s="33"/>
      <c r="MG18" s="33"/>
      <c r="MH18" s="33"/>
      <c r="MI18" s="72" t="s">
        <v>0</v>
      </c>
      <c r="MJ18" s="72" t="s">
        <v>0</v>
      </c>
      <c r="MK18" s="70" t="s">
        <v>2</v>
      </c>
      <c r="ML18" s="70" t="s">
        <v>2</v>
      </c>
      <c r="MM18" s="93" t="s">
        <v>4</v>
      </c>
      <c r="MN18" s="33"/>
      <c r="MO18" s="33"/>
      <c r="MP18" s="33"/>
      <c r="MQ18" s="33"/>
      <c r="MR18" s="72" t="s">
        <v>0</v>
      </c>
      <c r="MS18" s="72" t="s">
        <v>0</v>
      </c>
      <c r="MT18" s="70" t="s">
        <v>2</v>
      </c>
      <c r="MU18" s="93" t="s">
        <v>4</v>
      </c>
      <c r="MV18" s="93" t="s">
        <v>4</v>
      </c>
      <c r="MW18" s="1"/>
      <c r="MX18" s="1"/>
      <c r="MY18" s="1"/>
      <c r="MZ18" s="72" t="s">
        <v>0</v>
      </c>
      <c r="NA18" s="72" t="s">
        <v>0</v>
      </c>
      <c r="NB18" s="70" t="s">
        <v>2</v>
      </c>
      <c r="NC18" s="70" t="s">
        <v>2</v>
      </c>
      <c r="ND18" s="93" t="s">
        <v>4</v>
      </c>
      <c r="NE18" s="93" t="s">
        <v>4</v>
      </c>
      <c r="NF18" s="33"/>
      <c r="NG18" s="33"/>
      <c r="NH18" s="33"/>
      <c r="NJ18" s="72" t="s">
        <v>0</v>
      </c>
      <c r="NK18" s="70" t="s">
        <v>2</v>
      </c>
      <c r="NL18" s="70" t="s">
        <v>2</v>
      </c>
      <c r="NM18" s="33" t="s">
        <v>208</v>
      </c>
      <c r="NN18" s="71" t="s">
        <v>4</v>
      </c>
      <c r="NO18" s="33"/>
      <c r="NP18" s="33"/>
      <c r="NQ18" s="73">
        <f t="shared" si="0"/>
        <v>59</v>
      </c>
      <c r="NR18" s="73">
        <f t="shared" si="1"/>
        <v>64</v>
      </c>
      <c r="NS18" s="73">
        <f t="shared" si="2"/>
        <v>3</v>
      </c>
      <c r="NT18" s="73">
        <f t="shared" si="3"/>
        <v>47</v>
      </c>
      <c r="NU18" s="73">
        <f t="shared" si="4"/>
        <v>0</v>
      </c>
      <c r="NV18" s="73">
        <f t="shared" si="5"/>
        <v>0</v>
      </c>
      <c r="NW18" s="73">
        <f t="shared" si="6"/>
        <v>0</v>
      </c>
      <c r="NX18" s="73">
        <f>COUNTIF(J18:NP18,"Opl")+COUNTIF(J18:NP18,"Examen")</f>
        <v>1</v>
      </c>
      <c r="NY18" s="77">
        <f>SUM(NQ18:NX19)</f>
        <v>222</v>
      </c>
      <c r="NZ18" s="74">
        <f t="shared" si="7"/>
        <v>33.509433962264154</v>
      </c>
      <c r="OA18" s="145"/>
      <c r="OB18" s="151" t="s">
        <v>295</v>
      </c>
      <c r="OC18" s="152"/>
      <c r="OD18" s="152" t="s">
        <v>296</v>
      </c>
      <c r="OE18" s="152"/>
      <c r="OF18" s="152"/>
      <c r="OG18" s="152"/>
      <c r="OH18" s="152"/>
      <c r="OI18" s="152"/>
      <c r="OJ18" s="152"/>
      <c r="OK18" s="153"/>
    </row>
    <row r="19" spans="1:41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72" t="s">
        <v>0</v>
      </c>
      <c r="AA19" s="70" t="s">
        <v>2</v>
      </c>
      <c r="AB19" s="103" t="s">
        <v>6</v>
      </c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103" t="s">
        <v>6</v>
      </c>
      <c r="AS19" s="103" t="s">
        <v>6</v>
      </c>
      <c r="AT19" s="33"/>
      <c r="AU19" s="70" t="s">
        <v>2</v>
      </c>
      <c r="AV19" s="72" t="s">
        <v>0</v>
      </c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 t="s">
        <v>207</v>
      </c>
      <c r="BI19" s="33"/>
      <c r="BJ19" s="68" t="s">
        <v>281</v>
      </c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72" t="s">
        <v>0</v>
      </c>
      <c r="BV19" s="33"/>
      <c r="BW19" s="33"/>
      <c r="BX19" s="33"/>
      <c r="BY19" s="70" t="s">
        <v>2</v>
      </c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119" t="s">
        <v>282</v>
      </c>
      <c r="CK19" s="33"/>
      <c r="CL19" s="33"/>
      <c r="CM19" s="33"/>
      <c r="CN19" s="33"/>
      <c r="CO19" s="33"/>
      <c r="CP19" s="33"/>
      <c r="CQ19" s="33"/>
      <c r="CR19" s="33"/>
      <c r="CS19" s="68" t="s">
        <v>281</v>
      </c>
      <c r="CT19" s="115" t="s">
        <v>6</v>
      </c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103" t="s">
        <v>6</v>
      </c>
      <c r="DK19" s="33"/>
      <c r="DL19" s="33"/>
      <c r="DM19" s="33"/>
      <c r="DN19" s="33"/>
      <c r="DO19" s="33"/>
      <c r="DP19" s="33"/>
      <c r="DQ19" s="33"/>
      <c r="DR19" s="33"/>
      <c r="DS19" s="103" t="s">
        <v>6</v>
      </c>
      <c r="DT19" s="103" t="s">
        <v>6</v>
      </c>
      <c r="DU19" s="33"/>
      <c r="DV19" s="33"/>
      <c r="DW19" s="33"/>
      <c r="DX19" s="33"/>
      <c r="DY19" s="103" t="s">
        <v>6</v>
      </c>
      <c r="DZ19" s="33"/>
      <c r="EA19" s="33"/>
      <c r="EB19" s="103" t="s">
        <v>6</v>
      </c>
      <c r="EC19" s="103" t="s">
        <v>6</v>
      </c>
      <c r="ED19" s="33"/>
      <c r="EE19" s="33"/>
      <c r="EF19" s="33"/>
      <c r="EG19" s="108" t="s">
        <v>10</v>
      </c>
      <c r="EH19" s="108" t="s">
        <v>10</v>
      </c>
      <c r="EI19" s="108" t="s">
        <v>10</v>
      </c>
      <c r="EJ19" s="108" t="s">
        <v>10</v>
      </c>
      <c r="EK19" s="108" t="s">
        <v>10</v>
      </c>
      <c r="EL19" s="33"/>
      <c r="EM19" s="33"/>
      <c r="EN19" s="33"/>
      <c r="EO19" s="33"/>
      <c r="EP19" s="108" t="s">
        <v>10</v>
      </c>
      <c r="EQ19" s="108" t="s">
        <v>10</v>
      </c>
      <c r="ER19" s="108" t="s">
        <v>10</v>
      </c>
      <c r="ES19" s="108" t="s">
        <v>10</v>
      </c>
      <c r="ET19" s="108" t="s">
        <v>10</v>
      </c>
      <c r="EU19" s="33"/>
      <c r="EV19" s="33"/>
      <c r="EW19" s="33"/>
      <c r="EX19" s="33"/>
      <c r="EY19" s="33"/>
      <c r="EZ19" s="33"/>
      <c r="FA19" s="33"/>
      <c r="FB19" s="110" t="s">
        <v>8</v>
      </c>
      <c r="FC19" s="108" t="s">
        <v>10</v>
      </c>
      <c r="FD19" s="33"/>
      <c r="FE19" s="33"/>
      <c r="FF19" s="33"/>
      <c r="FG19" s="33"/>
      <c r="FH19" s="33"/>
      <c r="FI19" s="33"/>
      <c r="FJ19" s="33"/>
      <c r="FK19" s="33"/>
      <c r="FL19" s="33"/>
      <c r="FM19" s="33"/>
      <c r="FN19" s="33"/>
      <c r="FO19" s="33"/>
      <c r="FP19" s="33"/>
      <c r="FQ19" s="33"/>
      <c r="FR19" s="33"/>
      <c r="FS19" s="33"/>
      <c r="FT19" s="33"/>
      <c r="FU19" s="33"/>
      <c r="FV19" s="33"/>
      <c r="FW19" s="33"/>
      <c r="FX19" s="33"/>
      <c r="FY19" s="33"/>
      <c r="FZ19" s="70" t="s">
        <v>2</v>
      </c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  <c r="GS19" s="33"/>
      <c r="GT19" s="128" t="s">
        <v>6</v>
      </c>
      <c r="GU19" s="128" t="s">
        <v>6</v>
      </c>
      <c r="GV19" s="33"/>
      <c r="GW19" s="33"/>
      <c r="GX19" s="33"/>
      <c r="GY19" s="128" t="s">
        <v>6</v>
      </c>
      <c r="GZ19" s="128" t="s">
        <v>6</v>
      </c>
      <c r="HA19" s="128" t="s">
        <v>6</v>
      </c>
      <c r="HB19" s="128" t="s">
        <v>6</v>
      </c>
      <c r="HC19" s="128" t="s">
        <v>6</v>
      </c>
      <c r="HD19" s="33"/>
      <c r="HE19" s="33"/>
      <c r="HF19" s="33"/>
      <c r="HG19" s="33"/>
      <c r="HH19" s="128" t="s">
        <v>6</v>
      </c>
      <c r="HI19" s="128" t="s">
        <v>6</v>
      </c>
      <c r="HJ19" s="128" t="s">
        <v>6</v>
      </c>
      <c r="HK19" s="128" t="s">
        <v>6</v>
      </c>
      <c r="HL19" s="128" t="s">
        <v>6</v>
      </c>
      <c r="HM19" s="33"/>
      <c r="HN19" s="33"/>
      <c r="HO19" s="33"/>
      <c r="HP19" s="33"/>
      <c r="HQ19" s="33"/>
      <c r="HR19" s="72" t="s">
        <v>0</v>
      </c>
      <c r="HS19" s="33"/>
      <c r="HT19" s="70" t="s">
        <v>2</v>
      </c>
      <c r="HU19" s="33"/>
      <c r="HV19" s="93" t="s">
        <v>4</v>
      </c>
      <c r="HW19" s="33"/>
      <c r="HX19" s="33"/>
      <c r="HY19" s="33"/>
      <c r="HZ19" s="33"/>
      <c r="IA19" s="33"/>
      <c r="IB19" s="33"/>
      <c r="IC19" s="33"/>
      <c r="ID19" s="33"/>
      <c r="IE19" s="33"/>
      <c r="IF19" s="33"/>
      <c r="IG19" s="33"/>
      <c r="IH19" s="33"/>
      <c r="II19" s="33"/>
      <c r="IJ19" s="33"/>
      <c r="IK19" s="33"/>
      <c r="IL19" s="33"/>
      <c r="IM19" s="33"/>
      <c r="IN19" s="33"/>
      <c r="IO19" s="33"/>
      <c r="IP19" s="33"/>
      <c r="IQ19" s="33"/>
      <c r="IR19" s="33"/>
      <c r="IS19" s="33"/>
      <c r="IT19" s="33"/>
      <c r="IU19" s="33"/>
      <c r="IV19" s="33"/>
      <c r="IW19" s="33"/>
      <c r="IX19" s="33"/>
      <c r="IY19" s="33"/>
      <c r="IZ19" s="33"/>
      <c r="JA19" s="33"/>
      <c r="JB19" s="33"/>
      <c r="JC19" s="33"/>
      <c r="JD19" s="33"/>
      <c r="JE19" s="33"/>
      <c r="JF19" s="33"/>
      <c r="JG19" s="33"/>
      <c r="JH19" s="33"/>
      <c r="JI19" s="33"/>
      <c r="JJ19" s="33"/>
      <c r="JK19" s="33"/>
      <c r="JL19" s="33"/>
      <c r="JM19" s="33"/>
      <c r="JN19" s="33"/>
      <c r="JO19" s="33"/>
      <c r="JP19" s="33"/>
      <c r="JQ19" s="33"/>
      <c r="JR19" s="70" t="s">
        <v>2</v>
      </c>
      <c r="JS19" s="33"/>
      <c r="JT19" s="33"/>
      <c r="JU19" s="33"/>
      <c r="JV19" s="33"/>
      <c r="JW19" s="33"/>
      <c r="JX19" s="33"/>
      <c r="JY19" s="33"/>
      <c r="JZ19" s="33"/>
      <c r="KA19" s="33"/>
      <c r="KB19" s="33"/>
      <c r="KC19" s="33"/>
      <c r="KD19" s="33"/>
      <c r="KE19" s="33"/>
      <c r="KF19" s="33"/>
      <c r="KG19" s="33"/>
      <c r="KH19" s="33"/>
      <c r="KI19" s="33"/>
      <c r="KJ19" s="33"/>
      <c r="KK19" s="33"/>
      <c r="KL19" s="33"/>
      <c r="KM19" s="33"/>
      <c r="KN19" s="33"/>
      <c r="KO19" s="33"/>
      <c r="KP19" s="33"/>
      <c r="KQ19" s="33"/>
      <c r="KR19" s="33"/>
      <c r="KS19" s="33"/>
      <c r="KT19" s="33"/>
      <c r="KU19" s="33"/>
      <c r="KV19" s="33"/>
      <c r="KW19" s="33"/>
      <c r="KX19" s="33"/>
      <c r="KY19" s="33"/>
      <c r="KZ19" s="33"/>
      <c r="LA19" s="33"/>
      <c r="LB19" s="33"/>
      <c r="LC19" s="33"/>
      <c r="LD19" s="33"/>
      <c r="LE19" s="33"/>
      <c r="LF19" s="33"/>
      <c r="LG19" s="33"/>
      <c r="LH19" s="33"/>
      <c r="LI19" s="33"/>
      <c r="LJ19" s="33"/>
      <c r="LK19" s="33"/>
      <c r="LL19" s="33"/>
      <c r="LM19" s="33"/>
      <c r="LN19" s="33"/>
      <c r="LO19" s="33"/>
      <c r="LP19" s="33"/>
      <c r="LQ19" s="33"/>
      <c r="LR19" s="33"/>
      <c r="LS19" s="33"/>
      <c r="LT19" s="33"/>
      <c r="LU19" s="33"/>
      <c r="LV19" s="33"/>
      <c r="LW19" s="33"/>
      <c r="LX19" s="33"/>
      <c r="LY19" s="33"/>
      <c r="LZ19" s="33"/>
      <c r="MA19" s="33"/>
      <c r="MB19" s="33"/>
      <c r="MC19" s="33"/>
      <c r="MD19" s="33"/>
      <c r="ME19" s="33"/>
      <c r="MF19" s="33"/>
      <c r="MG19" s="33"/>
      <c r="MH19" s="33"/>
      <c r="MI19" s="33"/>
      <c r="MJ19" s="33"/>
      <c r="MK19" s="33"/>
      <c r="ML19" s="33"/>
      <c r="MM19" s="33"/>
      <c r="MN19" s="33"/>
      <c r="MO19" s="33"/>
      <c r="MP19" s="33"/>
      <c r="MQ19" s="33"/>
      <c r="MR19" s="33"/>
      <c r="MS19" s="33"/>
      <c r="MT19" s="33"/>
      <c r="MU19" s="33"/>
      <c r="MV19" s="33"/>
      <c r="MW19" s="33"/>
      <c r="MX19" s="33"/>
      <c r="MY19" s="33"/>
      <c r="MZ19" s="33"/>
      <c r="NA19" s="33"/>
      <c r="NB19" s="33"/>
      <c r="NC19" s="33"/>
      <c r="ND19" s="33"/>
      <c r="NE19" s="33"/>
      <c r="NF19" s="33"/>
      <c r="NG19" s="33"/>
      <c r="NH19" s="33"/>
      <c r="NI19" s="33"/>
      <c r="NJ19" s="33"/>
      <c r="NK19" s="33"/>
      <c r="NL19" s="33"/>
      <c r="NM19" s="70" t="s">
        <v>2</v>
      </c>
      <c r="NN19" s="33"/>
      <c r="NO19" s="33"/>
      <c r="NP19" s="33"/>
      <c r="NQ19" s="73">
        <f t="shared" si="0"/>
        <v>4</v>
      </c>
      <c r="NR19" s="73">
        <f t="shared" si="1"/>
        <v>7</v>
      </c>
      <c r="NS19" s="73">
        <f t="shared" si="2"/>
        <v>2</v>
      </c>
      <c r="NT19" s="73">
        <f t="shared" si="3"/>
        <v>1</v>
      </c>
      <c r="NU19" s="73">
        <f t="shared" si="4"/>
        <v>11</v>
      </c>
      <c r="NV19" s="73">
        <f t="shared" si="5"/>
        <v>22</v>
      </c>
      <c r="NW19" s="73">
        <f t="shared" si="6"/>
        <v>1</v>
      </c>
      <c r="NX19" s="73">
        <f>COUNTIF(J19:NP19,"Opl")+COUNTIF(J19:NP19,"Examen")</f>
        <v>0</v>
      </c>
      <c r="NY19" s="33"/>
      <c r="NZ19" s="74"/>
      <c r="OA19" s="145"/>
      <c r="OB19" s="154"/>
      <c r="OC19" s="149"/>
      <c r="OD19" s="158" t="s">
        <v>245</v>
      </c>
      <c r="OE19" s="159" t="s">
        <v>246</v>
      </c>
      <c r="OF19" s="160" t="s">
        <v>247</v>
      </c>
      <c r="OG19" s="161" t="s">
        <v>248</v>
      </c>
      <c r="OH19" s="162" t="s">
        <v>205</v>
      </c>
      <c r="OI19" s="162" t="s">
        <v>249</v>
      </c>
      <c r="OJ19" s="162" t="s">
        <v>250</v>
      </c>
      <c r="OK19" s="164" t="s">
        <v>251</v>
      </c>
      <c r="OL19" s="149"/>
      <c r="OM19" s="149"/>
      <c r="ON19" s="149"/>
      <c r="OO19" s="149"/>
      <c r="OP19" s="149"/>
      <c r="OQ19" s="149"/>
      <c r="OR19" s="149"/>
      <c r="OS19" s="149"/>
      <c r="OT19" s="149"/>
      <c r="OU19" s="149"/>
    </row>
    <row r="20" spans="1:411">
      <c r="A20" s="97" t="s">
        <v>202</v>
      </c>
      <c r="B20" s="63" t="s">
        <v>297</v>
      </c>
      <c r="C20" s="63"/>
      <c r="D20" s="63"/>
      <c r="E20" s="63"/>
      <c r="F20" s="63"/>
      <c r="G20" s="72" t="s">
        <v>0</v>
      </c>
      <c r="H20" s="70" t="s">
        <v>2</v>
      </c>
      <c r="I20" s="70" t="s">
        <v>2</v>
      </c>
      <c r="J20" s="33" t="s">
        <v>208</v>
      </c>
      <c r="K20" s="93" t="s">
        <v>4</v>
      </c>
      <c r="L20" s="1"/>
      <c r="M20" s="1"/>
      <c r="N20" s="1"/>
      <c r="O20" s="1"/>
      <c r="P20" s="72" t="s">
        <v>0</v>
      </c>
      <c r="Q20" s="70" t="s">
        <v>2</v>
      </c>
      <c r="R20" s="70" t="s">
        <v>2</v>
      </c>
      <c r="S20" s="68" t="s">
        <v>281</v>
      </c>
      <c r="T20" s="93" t="s">
        <v>4</v>
      </c>
      <c r="U20" s="33"/>
      <c r="V20" s="33"/>
      <c r="W20" s="33"/>
      <c r="X20" s="72" t="s">
        <v>0</v>
      </c>
      <c r="Y20" s="72" t="s">
        <v>0</v>
      </c>
      <c r="Z20" s="70" t="s">
        <v>2</v>
      </c>
      <c r="AA20" s="70" t="s">
        <v>2</v>
      </c>
      <c r="AB20" s="71" t="s">
        <v>4</v>
      </c>
      <c r="AC20" s="33" t="s">
        <v>208</v>
      </c>
      <c r="AD20" s="33"/>
      <c r="AE20" s="33"/>
      <c r="AF20" s="33"/>
      <c r="AG20" s="72" t="s">
        <v>0</v>
      </c>
      <c r="AH20" s="72" t="s">
        <v>0</v>
      </c>
      <c r="AI20" s="68" t="s">
        <v>281</v>
      </c>
      <c r="AJ20" s="68" t="s">
        <v>281</v>
      </c>
      <c r="AK20" s="93" t="s">
        <v>4</v>
      </c>
      <c r="AL20" s="33"/>
      <c r="AM20" s="72" t="s">
        <v>0</v>
      </c>
      <c r="AN20" s="33"/>
      <c r="AO20" s="33"/>
      <c r="AP20" s="33" t="s">
        <v>206</v>
      </c>
      <c r="AQ20" s="72" t="s">
        <v>0</v>
      </c>
      <c r="AR20" s="70" t="s">
        <v>2</v>
      </c>
      <c r="AS20" s="93" t="s">
        <v>4</v>
      </c>
      <c r="AT20" s="93" t="s">
        <v>4</v>
      </c>
      <c r="AU20" s="1"/>
      <c r="AV20" s="1"/>
      <c r="AW20" s="1"/>
      <c r="AX20" s="1"/>
      <c r="AY20" s="72" t="s">
        <v>0</v>
      </c>
      <c r="AZ20" s="68" t="s">
        <v>281</v>
      </c>
      <c r="BA20" s="68" t="s">
        <v>281</v>
      </c>
      <c r="BB20" s="93" t="s">
        <v>4</v>
      </c>
      <c r="BC20" s="93" t="s">
        <v>4</v>
      </c>
      <c r="BD20" s="33"/>
      <c r="BE20" s="33"/>
      <c r="BF20" s="33"/>
      <c r="BG20" s="33" t="s">
        <v>206</v>
      </c>
      <c r="BH20" s="72" t="s">
        <v>0</v>
      </c>
      <c r="BI20" s="70" t="s">
        <v>2</v>
      </c>
      <c r="BJ20" s="70" t="s">
        <v>2</v>
      </c>
      <c r="BK20" s="33" t="s">
        <v>208</v>
      </c>
      <c r="BL20" s="33" t="s">
        <v>208</v>
      </c>
      <c r="BM20" s="33"/>
      <c r="BN20" s="33"/>
      <c r="BO20" s="33"/>
      <c r="BP20" s="72" t="s">
        <v>0</v>
      </c>
      <c r="BQ20" s="72" t="s">
        <v>0</v>
      </c>
      <c r="BR20" s="70" t="s">
        <v>2</v>
      </c>
      <c r="BS20" s="33" t="s">
        <v>207</v>
      </c>
      <c r="BT20" s="93" t="s">
        <v>4</v>
      </c>
      <c r="BU20" s="33"/>
      <c r="BV20" s="33"/>
      <c r="BW20" s="33"/>
      <c r="BX20" s="33"/>
      <c r="BY20" s="72" t="s">
        <v>0</v>
      </c>
      <c r="BZ20" s="72" t="s">
        <v>0</v>
      </c>
      <c r="CA20" s="70" t="s">
        <v>2</v>
      </c>
      <c r="CB20" s="33" t="s">
        <v>208</v>
      </c>
      <c r="CC20" s="93" t="s">
        <v>4</v>
      </c>
      <c r="CD20" s="1"/>
      <c r="CE20" s="1"/>
      <c r="CF20" s="1"/>
      <c r="CG20" s="1"/>
      <c r="CH20" s="72" t="s">
        <v>0</v>
      </c>
      <c r="CI20" s="70" t="s">
        <v>2</v>
      </c>
      <c r="CJ20" s="70" t="s">
        <v>2</v>
      </c>
      <c r="CK20" s="33" t="s">
        <v>208</v>
      </c>
      <c r="CL20" s="93" t="s">
        <v>4</v>
      </c>
      <c r="CM20" s="33"/>
      <c r="CN20" s="33"/>
      <c r="CO20" s="33"/>
      <c r="CP20" s="72" t="s">
        <v>0</v>
      </c>
      <c r="CQ20" s="72" t="s">
        <v>0</v>
      </c>
      <c r="CR20" s="70" t="s">
        <v>2</v>
      </c>
      <c r="CS20" s="70" t="s">
        <v>2</v>
      </c>
      <c r="CT20" s="71" t="s">
        <v>4</v>
      </c>
      <c r="CU20" s="71" t="s">
        <v>4</v>
      </c>
      <c r="CV20" s="33"/>
      <c r="CW20" s="33"/>
      <c r="CX20" s="33"/>
      <c r="CY20" s="33" t="s">
        <v>206</v>
      </c>
      <c r="CZ20" s="72" t="s">
        <v>0</v>
      </c>
      <c r="DA20" s="70" t="s">
        <v>2</v>
      </c>
      <c r="DB20" s="33" t="s">
        <v>207</v>
      </c>
      <c r="DC20" s="93" t="s">
        <v>4</v>
      </c>
      <c r="DD20" s="33"/>
      <c r="DE20" s="33"/>
      <c r="DF20" s="33"/>
      <c r="DG20" s="33"/>
      <c r="DH20" s="33" t="s">
        <v>206</v>
      </c>
      <c r="DI20" s="72" t="s">
        <v>0</v>
      </c>
      <c r="DJ20" s="70" t="s">
        <v>2</v>
      </c>
      <c r="DK20" s="33" t="s">
        <v>208</v>
      </c>
      <c r="DL20" s="33" t="s">
        <v>208</v>
      </c>
      <c r="DN20" s="1"/>
      <c r="DO20" s="1"/>
      <c r="DP20" s="1"/>
      <c r="DQ20" s="72" t="s">
        <v>0</v>
      </c>
      <c r="DR20" s="70" t="s">
        <v>2</v>
      </c>
      <c r="DS20" s="70" t="s">
        <v>2</v>
      </c>
      <c r="DT20" s="93" t="s">
        <v>4</v>
      </c>
      <c r="DU20" s="93" t="s">
        <v>4</v>
      </c>
      <c r="DW20" s="33"/>
      <c r="DX20" s="33"/>
      <c r="DY20" s="132" t="s">
        <v>0</v>
      </c>
      <c r="DZ20" s="133" t="s">
        <v>0</v>
      </c>
      <c r="EA20" s="134" t="s">
        <v>207</v>
      </c>
      <c r="EB20" s="134" t="s">
        <v>207</v>
      </c>
      <c r="EC20" s="135" t="s">
        <v>4</v>
      </c>
      <c r="ED20" s="135" t="s">
        <v>4</v>
      </c>
      <c r="EE20" s="136" t="s">
        <v>210</v>
      </c>
      <c r="EF20" s="136" t="s">
        <v>210</v>
      </c>
      <c r="EG20" s="136" t="s">
        <v>210</v>
      </c>
      <c r="EH20" s="133" t="s">
        <v>0</v>
      </c>
      <c r="EI20" s="133" t="s">
        <v>0</v>
      </c>
      <c r="EJ20" s="136" t="s">
        <v>207</v>
      </c>
      <c r="EK20" s="136" t="s">
        <v>207</v>
      </c>
      <c r="EL20" s="135" t="s">
        <v>4</v>
      </c>
      <c r="EM20" s="136" t="s">
        <v>210</v>
      </c>
      <c r="EN20" s="136" t="s">
        <v>210</v>
      </c>
      <c r="EO20" s="136" t="s">
        <v>210</v>
      </c>
      <c r="EP20" s="136" t="s">
        <v>210</v>
      </c>
      <c r="EQ20" s="133" t="s">
        <v>0</v>
      </c>
      <c r="ER20" s="133" t="s">
        <v>0</v>
      </c>
      <c r="ES20" s="137" t="s">
        <v>2</v>
      </c>
      <c r="ET20" s="135" t="s">
        <v>4</v>
      </c>
      <c r="EU20" s="135" t="s">
        <v>4</v>
      </c>
      <c r="EV20" s="136" t="s">
        <v>210</v>
      </c>
      <c r="EW20" s="136" t="s">
        <v>210</v>
      </c>
      <c r="EX20" s="136" t="s">
        <v>210</v>
      </c>
      <c r="EY20" s="136" t="s">
        <v>210</v>
      </c>
      <c r="EZ20" s="133" t="s">
        <v>0</v>
      </c>
      <c r="FA20" s="134" t="s">
        <v>207</v>
      </c>
      <c r="FB20" s="137" t="s">
        <v>2</v>
      </c>
      <c r="FC20" s="134" t="s">
        <v>208</v>
      </c>
      <c r="FD20" s="135" t="s">
        <v>4</v>
      </c>
      <c r="FE20" s="136" t="s">
        <v>210</v>
      </c>
      <c r="FF20" s="136" t="s">
        <v>210</v>
      </c>
      <c r="FG20" s="136" t="s">
        <v>210</v>
      </c>
      <c r="FH20" s="133" t="s">
        <v>0</v>
      </c>
      <c r="FI20" s="133" t="s">
        <v>0</v>
      </c>
      <c r="FJ20" s="134" t="s">
        <v>207</v>
      </c>
      <c r="FK20" s="137" t="s">
        <v>2</v>
      </c>
      <c r="FL20" s="137" t="s">
        <v>2</v>
      </c>
      <c r="FM20" s="135" t="s">
        <v>4</v>
      </c>
      <c r="FN20" s="136" t="s">
        <v>210</v>
      </c>
      <c r="FO20" s="136" t="s">
        <v>210</v>
      </c>
      <c r="FP20" s="136" t="s">
        <v>210</v>
      </c>
      <c r="FQ20" s="133" t="s">
        <v>0</v>
      </c>
      <c r="FR20" s="133" t="s">
        <v>0</v>
      </c>
      <c r="FS20" s="134" t="s">
        <v>207</v>
      </c>
      <c r="FT20" s="137" t="s">
        <v>2</v>
      </c>
      <c r="FU20" s="135" t="s">
        <v>4</v>
      </c>
      <c r="FV20" s="136" t="s">
        <v>210</v>
      </c>
      <c r="FW20" s="136" t="s">
        <v>210</v>
      </c>
      <c r="FX20" s="136" t="s">
        <v>210</v>
      </c>
      <c r="FY20" s="136" t="s">
        <v>210</v>
      </c>
      <c r="FZ20" s="133" t="s">
        <v>0</v>
      </c>
      <c r="GA20" s="133" t="s">
        <v>0</v>
      </c>
      <c r="GB20" s="137" t="s">
        <v>2</v>
      </c>
      <c r="GC20" s="134" t="s">
        <v>208</v>
      </c>
      <c r="GD20" s="135" t="s">
        <v>4</v>
      </c>
      <c r="GE20" s="136" t="s">
        <v>210</v>
      </c>
      <c r="GF20" s="136" t="s">
        <v>210</v>
      </c>
      <c r="GG20" s="136" t="s">
        <v>210</v>
      </c>
      <c r="GH20" s="136" t="s">
        <v>210</v>
      </c>
      <c r="GI20" s="133" t="s">
        <v>0</v>
      </c>
      <c r="GJ20" s="134" t="s">
        <v>207</v>
      </c>
      <c r="GK20" s="134" t="s">
        <v>207</v>
      </c>
      <c r="GL20" s="134" t="s">
        <v>208</v>
      </c>
      <c r="GM20" s="135" t="s">
        <v>4</v>
      </c>
      <c r="GN20" s="136" t="s">
        <v>210</v>
      </c>
      <c r="GO20" s="136" t="s">
        <v>210</v>
      </c>
      <c r="GP20" s="136" t="s">
        <v>210</v>
      </c>
      <c r="GQ20" s="133" t="s">
        <v>0</v>
      </c>
      <c r="GR20" s="133" t="s">
        <v>0</v>
      </c>
      <c r="GS20" s="134" t="s">
        <v>207</v>
      </c>
      <c r="GT20" s="134" t="s">
        <v>207</v>
      </c>
      <c r="GU20" s="135" t="s">
        <v>4</v>
      </c>
      <c r="GV20" s="135" t="s">
        <v>4</v>
      </c>
      <c r="GW20" s="136" t="s">
        <v>210</v>
      </c>
      <c r="GX20" s="136" t="s">
        <v>210</v>
      </c>
      <c r="GY20" s="136" t="s">
        <v>210</v>
      </c>
      <c r="GZ20" s="136" t="s">
        <v>206</v>
      </c>
      <c r="HA20" s="133" t="s">
        <v>0</v>
      </c>
      <c r="HB20" s="137" t="s">
        <v>2</v>
      </c>
      <c r="HC20" s="137" t="s">
        <v>2</v>
      </c>
      <c r="HD20" s="135" t="s">
        <v>4</v>
      </c>
      <c r="HE20" s="136" t="s">
        <v>210</v>
      </c>
      <c r="HF20" s="136" t="s">
        <v>210</v>
      </c>
      <c r="HG20" s="136" t="s">
        <v>210</v>
      </c>
      <c r="HH20" s="136" t="s">
        <v>210</v>
      </c>
      <c r="HI20" s="133" t="s">
        <v>0</v>
      </c>
      <c r="HJ20" s="133" t="s">
        <v>0</v>
      </c>
      <c r="HK20" s="137" t="s">
        <v>2</v>
      </c>
      <c r="HL20" s="135" t="s">
        <v>4</v>
      </c>
      <c r="HM20" s="135" t="s">
        <v>4</v>
      </c>
      <c r="HN20" s="136" t="s">
        <v>210</v>
      </c>
      <c r="HO20" s="136" t="s">
        <v>210</v>
      </c>
      <c r="HP20" s="136" t="s">
        <v>210</v>
      </c>
      <c r="HQ20" s="136" t="s">
        <v>210</v>
      </c>
      <c r="HR20" s="136" t="s">
        <v>206</v>
      </c>
      <c r="HS20" s="136" t="s">
        <v>207</v>
      </c>
      <c r="HT20" s="136" t="s">
        <v>207</v>
      </c>
      <c r="HU20" s="136" t="s">
        <v>208</v>
      </c>
      <c r="HV20" s="136" t="s">
        <v>208</v>
      </c>
      <c r="HW20" s="136" t="s">
        <v>210</v>
      </c>
      <c r="HX20" s="136" t="s">
        <v>210</v>
      </c>
      <c r="HY20" s="136" t="s">
        <v>210</v>
      </c>
      <c r="HZ20" s="136" t="s">
        <v>206</v>
      </c>
      <c r="IA20" s="136" t="s">
        <v>206</v>
      </c>
      <c r="IB20" s="136" t="s">
        <v>207</v>
      </c>
      <c r="IC20" s="136" t="s">
        <v>207</v>
      </c>
      <c r="ID20" s="136" t="s">
        <v>208</v>
      </c>
      <c r="IE20" s="136" t="s">
        <v>208</v>
      </c>
      <c r="IF20" s="136" t="s">
        <v>210</v>
      </c>
      <c r="IG20" s="136" t="s">
        <v>210</v>
      </c>
      <c r="IH20" s="136" t="s">
        <v>210</v>
      </c>
      <c r="II20" s="136" t="s">
        <v>206</v>
      </c>
      <c r="IJ20" s="136" t="s">
        <v>206</v>
      </c>
      <c r="IK20" s="136" t="s">
        <v>207</v>
      </c>
      <c r="IL20" s="136" t="s">
        <v>207</v>
      </c>
      <c r="IM20" s="136" t="s">
        <v>208</v>
      </c>
      <c r="IN20" s="136" t="s">
        <v>210</v>
      </c>
      <c r="IO20" s="136" t="s">
        <v>210</v>
      </c>
      <c r="IP20" s="136" t="s">
        <v>210</v>
      </c>
      <c r="IQ20" s="136" t="s">
        <v>210</v>
      </c>
      <c r="IR20" s="133" t="s">
        <v>0</v>
      </c>
      <c r="IS20" s="133" t="s">
        <v>0</v>
      </c>
      <c r="IT20" s="137" t="s">
        <v>2</v>
      </c>
      <c r="IU20" s="136" t="s">
        <v>208</v>
      </c>
      <c r="IV20" s="135" t="s">
        <v>4</v>
      </c>
      <c r="IW20" s="136" t="s">
        <v>210</v>
      </c>
      <c r="IX20" s="136" t="s">
        <v>210</v>
      </c>
      <c r="IY20" s="136" t="s">
        <v>210</v>
      </c>
      <c r="IZ20" s="136" t="s">
        <v>210</v>
      </c>
      <c r="JA20" s="133" t="s">
        <v>0</v>
      </c>
      <c r="JB20" s="134" t="s">
        <v>207</v>
      </c>
      <c r="JC20" s="134" t="s">
        <v>207</v>
      </c>
      <c r="JD20" s="134" t="s">
        <v>208</v>
      </c>
      <c r="JE20" s="135" t="s">
        <v>4</v>
      </c>
      <c r="JF20" s="136" t="s">
        <v>210</v>
      </c>
      <c r="JG20" s="136" t="s">
        <v>210</v>
      </c>
      <c r="JH20" s="136" t="s">
        <v>210</v>
      </c>
      <c r="JI20" s="133" t="s">
        <v>0</v>
      </c>
      <c r="JJ20" s="133" t="s">
        <v>0</v>
      </c>
      <c r="JK20" s="134" t="s">
        <v>207</v>
      </c>
      <c r="JL20" s="134" t="s">
        <v>207</v>
      </c>
      <c r="JM20" s="134" t="s">
        <v>208</v>
      </c>
      <c r="JN20" s="135" t="s">
        <v>4</v>
      </c>
      <c r="JO20" s="136" t="s">
        <v>210</v>
      </c>
      <c r="JP20" s="136" t="s">
        <v>210</v>
      </c>
      <c r="JQ20" s="136" t="s">
        <v>210</v>
      </c>
      <c r="JR20" s="133" t="s">
        <v>0</v>
      </c>
      <c r="JS20" s="133" t="s">
        <v>0</v>
      </c>
      <c r="JT20" s="134" t="s">
        <v>207</v>
      </c>
      <c r="JU20" s="137" t="s">
        <v>2</v>
      </c>
      <c r="JV20" s="135" t="s">
        <v>4</v>
      </c>
      <c r="JW20" s="136" t="s">
        <v>210</v>
      </c>
      <c r="JX20" s="136" t="s">
        <v>210</v>
      </c>
      <c r="JY20" s="136" t="s">
        <v>210</v>
      </c>
      <c r="JZ20" s="136" t="s">
        <v>210</v>
      </c>
      <c r="KA20" s="133" t="s">
        <v>0</v>
      </c>
      <c r="KB20" s="133" t="s">
        <v>0</v>
      </c>
      <c r="KC20" s="137" t="s">
        <v>2</v>
      </c>
      <c r="KD20" s="134" t="s">
        <v>208</v>
      </c>
      <c r="KE20" s="135" t="s">
        <v>4</v>
      </c>
      <c r="KF20" s="136" t="s">
        <v>210</v>
      </c>
      <c r="KG20" s="136" t="s">
        <v>210</v>
      </c>
      <c r="KH20" s="136" t="s">
        <v>210</v>
      </c>
      <c r="KI20" s="136" t="s">
        <v>210</v>
      </c>
      <c r="KJ20" s="133" t="s">
        <v>0</v>
      </c>
      <c r="KK20" s="134" t="s">
        <v>207</v>
      </c>
      <c r="KL20" s="134" t="s">
        <v>207</v>
      </c>
      <c r="KM20" s="134" t="s">
        <v>208</v>
      </c>
      <c r="KN20" s="135" t="s">
        <v>4</v>
      </c>
      <c r="KO20" s="136" t="s">
        <v>210</v>
      </c>
      <c r="KP20" s="136" t="s">
        <v>210</v>
      </c>
      <c r="KQ20" s="136" t="s">
        <v>210</v>
      </c>
      <c r="KR20" s="133" t="s">
        <v>0</v>
      </c>
      <c r="KS20" s="133" t="s">
        <v>0</v>
      </c>
      <c r="KT20" s="134" t="s">
        <v>207</v>
      </c>
      <c r="KU20" s="134" t="s">
        <v>207</v>
      </c>
      <c r="KV20" s="134" t="s">
        <v>208</v>
      </c>
      <c r="KW20" s="135" t="s">
        <v>4</v>
      </c>
      <c r="KX20" s="136" t="s">
        <v>210</v>
      </c>
      <c r="KY20" s="136" t="s">
        <v>210</v>
      </c>
      <c r="KZ20" s="136" t="s">
        <v>210</v>
      </c>
      <c r="LA20" s="133" t="s">
        <v>0</v>
      </c>
      <c r="LB20" s="133" t="s">
        <v>0</v>
      </c>
      <c r="LC20" s="134" t="s">
        <v>207</v>
      </c>
      <c r="LD20" s="134" t="s">
        <v>207</v>
      </c>
      <c r="LE20" s="135" t="s">
        <v>4</v>
      </c>
      <c r="LF20" s="136" t="s">
        <v>210</v>
      </c>
      <c r="LG20" s="136" t="s">
        <v>210</v>
      </c>
      <c r="LH20" s="136" t="s">
        <v>210</v>
      </c>
      <c r="LI20" s="136" t="s">
        <v>210</v>
      </c>
      <c r="LJ20" s="133" t="s">
        <v>0</v>
      </c>
      <c r="LK20" s="133" t="s">
        <v>0</v>
      </c>
      <c r="LL20" s="137" t="s">
        <v>2</v>
      </c>
      <c r="LM20" s="134" t="s">
        <v>208</v>
      </c>
      <c r="LN20" s="135" t="s">
        <v>4</v>
      </c>
      <c r="LO20" s="136" t="s">
        <v>210</v>
      </c>
      <c r="LP20" s="136" t="s">
        <v>210</v>
      </c>
      <c r="LQ20" s="136" t="s">
        <v>210</v>
      </c>
      <c r="LR20" s="136" t="s">
        <v>210</v>
      </c>
      <c r="LS20" s="133" t="s">
        <v>0</v>
      </c>
      <c r="LT20" s="134" t="s">
        <v>207</v>
      </c>
      <c r="LU20" s="134" t="s">
        <v>207</v>
      </c>
      <c r="LV20" s="134" t="s">
        <v>208</v>
      </c>
      <c r="LW20" s="135" t="s">
        <v>4</v>
      </c>
      <c r="LX20" s="136" t="s">
        <v>210</v>
      </c>
      <c r="LY20" s="136" t="s">
        <v>210</v>
      </c>
      <c r="LZ20" s="136" t="s">
        <v>210</v>
      </c>
      <c r="MA20" s="133" t="s">
        <v>0</v>
      </c>
      <c r="MB20" s="133" t="s">
        <v>0</v>
      </c>
      <c r="MC20" s="134" t="s">
        <v>207</v>
      </c>
      <c r="MD20" s="134" t="s">
        <v>207</v>
      </c>
      <c r="ME20" s="134" t="s">
        <v>208</v>
      </c>
      <c r="MF20" s="135" t="s">
        <v>4</v>
      </c>
      <c r="MG20" s="136" t="s">
        <v>210</v>
      </c>
      <c r="MH20" s="136" t="s">
        <v>210</v>
      </c>
      <c r="MI20" s="136" t="s">
        <v>210</v>
      </c>
      <c r="MJ20" s="133" t="s">
        <v>0</v>
      </c>
      <c r="MK20" s="133" t="s">
        <v>0</v>
      </c>
      <c r="ML20" s="134" t="s">
        <v>207</v>
      </c>
      <c r="MM20" s="137" t="s">
        <v>2</v>
      </c>
      <c r="MN20" s="135" t="s">
        <v>4</v>
      </c>
      <c r="MO20" s="136" t="s">
        <v>210</v>
      </c>
      <c r="MP20" s="136" t="s">
        <v>210</v>
      </c>
      <c r="MQ20" s="136" t="s">
        <v>210</v>
      </c>
      <c r="MR20" s="136" t="s">
        <v>210</v>
      </c>
      <c r="MS20" s="133" t="s">
        <v>0</v>
      </c>
      <c r="MT20" s="133" t="s">
        <v>0</v>
      </c>
      <c r="MU20" s="137" t="s">
        <v>2</v>
      </c>
      <c r="MV20" s="134" t="s">
        <v>208</v>
      </c>
      <c r="MW20" s="135" t="s">
        <v>4</v>
      </c>
      <c r="MX20" s="136" t="s">
        <v>210</v>
      </c>
      <c r="MY20" s="136" t="s">
        <v>210</v>
      </c>
      <c r="MZ20" s="136" t="s">
        <v>210</v>
      </c>
      <c r="NA20" s="136" t="s">
        <v>210</v>
      </c>
      <c r="NB20" s="133" t="s">
        <v>0</v>
      </c>
      <c r="NC20" s="134" t="s">
        <v>207</v>
      </c>
      <c r="ND20" s="134" t="s">
        <v>207</v>
      </c>
      <c r="NE20" s="134" t="s">
        <v>208</v>
      </c>
      <c r="NF20" s="135" t="s">
        <v>4</v>
      </c>
      <c r="NG20" s="136" t="s">
        <v>210</v>
      </c>
      <c r="NH20" s="136" t="s">
        <v>210</v>
      </c>
      <c r="NI20" s="136" t="s">
        <v>210</v>
      </c>
      <c r="NJ20" s="133" t="s">
        <v>0</v>
      </c>
      <c r="NK20" s="133" t="s">
        <v>0</v>
      </c>
      <c r="NL20" s="133" t="s">
        <v>0</v>
      </c>
      <c r="NM20" s="134" t="s">
        <v>208</v>
      </c>
      <c r="NN20" s="136" t="s">
        <v>208</v>
      </c>
      <c r="NO20" s="135" t="s">
        <v>4</v>
      </c>
      <c r="NP20" s="136" t="s">
        <v>210</v>
      </c>
      <c r="NQ20" s="73">
        <f t="shared" si="0"/>
        <v>65</v>
      </c>
      <c r="NR20" s="73">
        <f t="shared" si="1"/>
        <v>32</v>
      </c>
      <c r="NS20" s="73">
        <f t="shared" si="2"/>
        <v>5</v>
      </c>
      <c r="NT20" s="73">
        <f t="shared" si="3"/>
        <v>46</v>
      </c>
      <c r="NU20" s="73">
        <f t="shared" si="4"/>
        <v>0</v>
      </c>
      <c r="NV20" s="73">
        <f t="shared" si="5"/>
        <v>0</v>
      </c>
      <c r="NW20" s="73">
        <f t="shared" si="6"/>
        <v>0</v>
      </c>
      <c r="NX20" s="73">
        <f>COUNTIF(J20:NP20,"Opl")+COUNTIF(J20:NP20,"Examen")</f>
        <v>0</v>
      </c>
      <c r="NY20" s="77">
        <f>SUM(NQ20:NX21)</f>
        <v>223</v>
      </c>
      <c r="NZ20" s="74">
        <f t="shared" si="7"/>
        <v>33.660377358490564</v>
      </c>
      <c r="OA20" s="145"/>
      <c r="OB20" s="148">
        <f>OD20+OD21+OE20+OE21+OF20+OF21+OG20+OG21+OH20+OH21+OI20+OI21+OJ20+OJ21+OK20+OK21</f>
        <v>153</v>
      </c>
      <c r="OC20" t="s">
        <v>298</v>
      </c>
      <c r="OD20" s="163">
        <f>COUNTIF(DY20:NP20,"o")</f>
        <v>46</v>
      </c>
      <c r="OE20" s="163">
        <f>COUNTIF(DY20:NP20,"m")</f>
        <v>15</v>
      </c>
      <c r="OF20" s="163">
        <f>COUNTIF(DY20:NP20,"mx")</f>
        <v>0</v>
      </c>
      <c r="OG20" s="163">
        <f>COUNTIF(DY20:NP20,"n")</f>
        <v>30</v>
      </c>
      <c r="OH20" s="163">
        <f>COUNTIF(DY20:NP20,"z")</f>
        <v>0</v>
      </c>
      <c r="OI20" s="163">
        <f>COUNTIF(DY20:NP20,"v")</f>
        <v>0</v>
      </c>
      <c r="OJ20" s="163">
        <f>COUNTIF(DY20:NP20,"x")</f>
        <v>0</v>
      </c>
      <c r="OK20" s="165">
        <f>COUNTIF(DY20:NP20,"Opl")+COUNTIF(DY20:NP20,"Examen")</f>
        <v>0</v>
      </c>
    </row>
    <row r="21" spans="1:411">
      <c r="A21" s="97"/>
      <c r="B21" s="73"/>
      <c r="C21" s="73"/>
      <c r="D21" s="73"/>
      <c r="E21" s="73"/>
      <c r="F21" s="73"/>
      <c r="G21" s="73"/>
      <c r="H21" s="73"/>
      <c r="I21" s="73"/>
      <c r="J21" s="72" t="s">
        <v>0</v>
      </c>
      <c r="K21" s="1"/>
      <c r="L21" s="1"/>
      <c r="M21" s="1"/>
      <c r="N21" s="1"/>
      <c r="O21" s="1"/>
      <c r="P21" s="109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03" t="s">
        <v>6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33" t="s">
        <v>207</v>
      </c>
      <c r="BB21" s="1"/>
      <c r="BC21" s="1"/>
      <c r="BD21" s="1"/>
      <c r="BE21" s="1"/>
      <c r="BF21" s="1"/>
      <c r="BG21" s="103" t="s">
        <v>6</v>
      </c>
      <c r="BH21" s="1"/>
      <c r="BI21" s="1"/>
      <c r="BJ21" s="1"/>
      <c r="BK21" s="70" t="s">
        <v>2</v>
      </c>
      <c r="BL21" s="103" t="s">
        <v>6</v>
      </c>
      <c r="BM21" s="1"/>
      <c r="BN21" s="1"/>
      <c r="BO21" s="1"/>
      <c r="BP21" s="1"/>
      <c r="BQ21" s="1"/>
      <c r="BS21" s="68" t="s">
        <v>281</v>
      </c>
      <c r="BT21" s="1"/>
      <c r="BU21" s="1"/>
      <c r="BV21" s="1"/>
      <c r="BW21" s="1"/>
      <c r="BX21" s="1"/>
      <c r="BY21" s="1"/>
      <c r="BZ21" s="1"/>
      <c r="CA21" s="1"/>
      <c r="CB21" s="68" t="s">
        <v>281</v>
      </c>
      <c r="CC21" s="1"/>
      <c r="CD21" s="1"/>
      <c r="CE21" s="1"/>
      <c r="CF21" s="1"/>
      <c r="CG21" s="1"/>
      <c r="CH21" s="1"/>
      <c r="CI21" s="1"/>
      <c r="CJ21" s="1"/>
      <c r="CK21" s="70" t="s">
        <v>2</v>
      </c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03" t="s">
        <v>6</v>
      </c>
      <c r="CZ21" s="1"/>
      <c r="DA21" s="1"/>
      <c r="DB21" s="100" t="s">
        <v>281</v>
      </c>
      <c r="DC21" s="1"/>
      <c r="DD21" s="1"/>
      <c r="DE21" s="1"/>
      <c r="DF21" s="1"/>
      <c r="DG21" s="1"/>
      <c r="DH21" s="1"/>
      <c r="DI21" s="1"/>
      <c r="DJ21" s="1"/>
      <c r="DK21" s="70" t="s">
        <v>2</v>
      </c>
      <c r="DL21" s="100" t="s">
        <v>281</v>
      </c>
      <c r="DM21" s="93" t="s">
        <v>4</v>
      </c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38" t="s">
        <v>210</v>
      </c>
      <c r="DZ21" s="139" t="s">
        <v>210</v>
      </c>
      <c r="EA21" s="140" t="s">
        <v>281</v>
      </c>
      <c r="EB21" s="140" t="s">
        <v>281</v>
      </c>
      <c r="EC21" s="139" t="s">
        <v>210</v>
      </c>
      <c r="ED21" s="139" t="s">
        <v>210</v>
      </c>
      <c r="EE21" s="139" t="s">
        <v>210</v>
      </c>
      <c r="EF21" s="139" t="s">
        <v>210</v>
      </c>
      <c r="EG21" s="139" t="s">
        <v>210</v>
      </c>
      <c r="EH21" s="139" t="s">
        <v>210</v>
      </c>
      <c r="EI21" s="139" t="s">
        <v>210</v>
      </c>
      <c r="EJ21" s="133" t="s">
        <v>0</v>
      </c>
      <c r="EK21" s="135" t="s">
        <v>4</v>
      </c>
      <c r="EL21" s="139" t="s">
        <v>210</v>
      </c>
      <c r="EM21" s="139" t="s">
        <v>210</v>
      </c>
      <c r="EN21" s="139" t="s">
        <v>210</v>
      </c>
      <c r="EO21" s="139" t="s">
        <v>210</v>
      </c>
      <c r="EP21" s="139" t="s">
        <v>210</v>
      </c>
      <c r="EQ21" s="139" t="s">
        <v>210</v>
      </c>
      <c r="ER21" s="139" t="s">
        <v>210</v>
      </c>
      <c r="ES21" s="139" t="s">
        <v>210</v>
      </c>
      <c r="ET21" s="139" t="s">
        <v>210</v>
      </c>
      <c r="EU21" s="139" t="s">
        <v>210</v>
      </c>
      <c r="EV21" s="139" t="s">
        <v>210</v>
      </c>
      <c r="EW21" s="139" t="s">
        <v>210</v>
      </c>
      <c r="EX21" s="139" t="s">
        <v>210</v>
      </c>
      <c r="EY21" s="139" t="s">
        <v>210</v>
      </c>
      <c r="EZ21" s="139" t="s">
        <v>210</v>
      </c>
      <c r="FA21" s="140" t="s">
        <v>281</v>
      </c>
      <c r="FB21" s="139" t="s">
        <v>210</v>
      </c>
      <c r="FC21" s="140" t="s">
        <v>281</v>
      </c>
      <c r="FD21" s="139" t="s">
        <v>210</v>
      </c>
      <c r="FE21" s="139" t="s">
        <v>210</v>
      </c>
      <c r="FF21" s="139" t="s">
        <v>210</v>
      </c>
      <c r="FG21" s="139" t="s">
        <v>210</v>
      </c>
      <c r="FH21" s="139" t="s">
        <v>210</v>
      </c>
      <c r="FI21" s="139" t="s">
        <v>210</v>
      </c>
      <c r="FJ21" s="140" t="s">
        <v>281</v>
      </c>
      <c r="FK21" s="139" t="s">
        <v>210</v>
      </c>
      <c r="FL21" s="139" t="s">
        <v>210</v>
      </c>
      <c r="FM21" s="139" t="s">
        <v>210</v>
      </c>
      <c r="FN21" s="139" t="s">
        <v>210</v>
      </c>
      <c r="FO21" s="139" t="s">
        <v>210</v>
      </c>
      <c r="FP21" s="139" t="s">
        <v>210</v>
      </c>
      <c r="FQ21" s="139" t="s">
        <v>210</v>
      </c>
      <c r="FR21" s="139" t="s">
        <v>210</v>
      </c>
      <c r="FS21" s="140" t="s">
        <v>281</v>
      </c>
      <c r="FT21" s="139" t="s">
        <v>210</v>
      </c>
      <c r="FU21" s="139" t="s">
        <v>210</v>
      </c>
      <c r="FV21" s="139" t="s">
        <v>210</v>
      </c>
      <c r="FW21" s="139" t="s">
        <v>210</v>
      </c>
      <c r="FX21" s="139" t="s">
        <v>210</v>
      </c>
      <c r="FY21" s="139" t="s">
        <v>210</v>
      </c>
      <c r="FZ21" s="139" t="s">
        <v>210</v>
      </c>
      <c r="GA21" s="139" t="s">
        <v>210</v>
      </c>
      <c r="GB21" s="139" t="s">
        <v>210</v>
      </c>
      <c r="GC21" s="140" t="s">
        <v>281</v>
      </c>
      <c r="GD21" s="139" t="s">
        <v>210</v>
      </c>
      <c r="GE21" s="139" t="s">
        <v>210</v>
      </c>
      <c r="GF21" s="139" t="s">
        <v>210</v>
      </c>
      <c r="GG21" s="139" t="s">
        <v>210</v>
      </c>
      <c r="GH21" s="139" t="s">
        <v>210</v>
      </c>
      <c r="GI21" s="139" t="s">
        <v>210</v>
      </c>
      <c r="GJ21" s="140" t="s">
        <v>281</v>
      </c>
      <c r="GK21" s="140" t="s">
        <v>281</v>
      </c>
      <c r="GL21" s="140" t="s">
        <v>281</v>
      </c>
      <c r="GM21" s="139" t="s">
        <v>210</v>
      </c>
      <c r="GN21" s="139" t="s">
        <v>210</v>
      </c>
      <c r="GO21" s="139" t="s">
        <v>210</v>
      </c>
      <c r="GP21" s="139" t="s">
        <v>210</v>
      </c>
      <c r="GQ21" s="139" t="s">
        <v>210</v>
      </c>
      <c r="GR21" s="139" t="s">
        <v>210</v>
      </c>
      <c r="GS21" s="140" t="s">
        <v>281</v>
      </c>
      <c r="GT21" s="140" t="s">
        <v>281</v>
      </c>
      <c r="GU21" s="139" t="s">
        <v>210</v>
      </c>
      <c r="GV21" s="139" t="s">
        <v>210</v>
      </c>
      <c r="GW21" s="139" t="s">
        <v>210</v>
      </c>
      <c r="GX21" s="139" t="s">
        <v>210</v>
      </c>
      <c r="GY21" s="139" t="s">
        <v>210</v>
      </c>
      <c r="GZ21" s="139" t="s">
        <v>210</v>
      </c>
      <c r="HA21" s="139" t="s">
        <v>210</v>
      </c>
      <c r="HB21" s="139" t="s">
        <v>210</v>
      </c>
      <c r="HC21" s="139" t="s">
        <v>210</v>
      </c>
      <c r="HD21" s="139" t="s">
        <v>210</v>
      </c>
      <c r="HE21" s="141" t="s">
        <v>4</v>
      </c>
      <c r="HF21" s="139" t="s">
        <v>210</v>
      </c>
      <c r="HG21" s="139" t="s">
        <v>210</v>
      </c>
      <c r="HH21" s="139" t="s">
        <v>210</v>
      </c>
      <c r="HI21" s="139" t="s">
        <v>210</v>
      </c>
      <c r="HJ21" s="139" t="s">
        <v>210</v>
      </c>
      <c r="HK21" s="139" t="s">
        <v>210</v>
      </c>
      <c r="HL21" s="139" t="s">
        <v>210</v>
      </c>
      <c r="HM21" s="139" t="s">
        <v>210</v>
      </c>
      <c r="HN21" s="139" t="s">
        <v>210</v>
      </c>
      <c r="HO21" s="139" t="s">
        <v>210</v>
      </c>
      <c r="HP21" s="139" t="s">
        <v>210</v>
      </c>
      <c r="HQ21" s="139" t="s">
        <v>210</v>
      </c>
      <c r="HR21" s="142" t="s">
        <v>6</v>
      </c>
      <c r="HS21" s="142" t="s">
        <v>6</v>
      </c>
      <c r="HT21" s="142" t="s">
        <v>6</v>
      </c>
      <c r="HU21" s="142" t="s">
        <v>6</v>
      </c>
      <c r="HV21" s="142" t="s">
        <v>6</v>
      </c>
      <c r="HW21" s="139" t="s">
        <v>210</v>
      </c>
      <c r="HX21" s="139" t="s">
        <v>210</v>
      </c>
      <c r="HY21" s="139" t="s">
        <v>210</v>
      </c>
      <c r="HZ21" s="142" t="s">
        <v>6</v>
      </c>
      <c r="IA21" s="142" t="s">
        <v>6</v>
      </c>
      <c r="IB21" s="142" t="s">
        <v>6</v>
      </c>
      <c r="IC21" s="142" t="s">
        <v>6</v>
      </c>
      <c r="ID21" s="142" t="s">
        <v>6</v>
      </c>
      <c r="IE21" s="142" t="s">
        <v>6</v>
      </c>
      <c r="IF21" s="139" t="s">
        <v>210</v>
      </c>
      <c r="IG21" s="139" t="s">
        <v>210</v>
      </c>
      <c r="IH21" s="139" t="s">
        <v>210</v>
      </c>
      <c r="II21" s="142" t="s">
        <v>6</v>
      </c>
      <c r="IJ21" s="142" t="s">
        <v>6</v>
      </c>
      <c r="IK21" s="142" t="s">
        <v>6</v>
      </c>
      <c r="IL21" s="142" t="s">
        <v>6</v>
      </c>
      <c r="IM21" s="142" t="s">
        <v>6</v>
      </c>
      <c r="IN21" s="139" t="s">
        <v>210</v>
      </c>
      <c r="IO21" s="139" t="s">
        <v>210</v>
      </c>
      <c r="IP21" s="139" t="s">
        <v>210</v>
      </c>
      <c r="IQ21" s="139" t="s">
        <v>210</v>
      </c>
      <c r="IR21" s="139" t="s">
        <v>210</v>
      </c>
      <c r="IS21" s="139" t="s">
        <v>210</v>
      </c>
      <c r="IT21" s="139" t="s">
        <v>210</v>
      </c>
      <c r="IU21" s="143" t="s">
        <v>2</v>
      </c>
      <c r="IV21" s="139" t="s">
        <v>210</v>
      </c>
      <c r="IW21" s="139" t="s">
        <v>210</v>
      </c>
      <c r="IX21" s="139" t="s">
        <v>210</v>
      </c>
      <c r="IY21" s="139" t="s">
        <v>210</v>
      </c>
      <c r="IZ21" s="139" t="s">
        <v>210</v>
      </c>
      <c r="JA21" s="139" t="s">
        <v>210</v>
      </c>
      <c r="JB21" s="140" t="s">
        <v>281</v>
      </c>
      <c r="JC21" s="140" t="s">
        <v>281</v>
      </c>
      <c r="JD21" s="140" t="s">
        <v>281</v>
      </c>
      <c r="JE21" s="139" t="s">
        <v>210</v>
      </c>
      <c r="JF21" s="139" t="s">
        <v>210</v>
      </c>
      <c r="JG21" s="139" t="s">
        <v>210</v>
      </c>
      <c r="JH21" s="139" t="s">
        <v>210</v>
      </c>
      <c r="JI21" s="139" t="s">
        <v>210</v>
      </c>
      <c r="JJ21" s="139" t="s">
        <v>210</v>
      </c>
      <c r="JK21" s="140" t="s">
        <v>281</v>
      </c>
      <c r="JL21" s="140" t="s">
        <v>281</v>
      </c>
      <c r="JM21" s="140" t="s">
        <v>281</v>
      </c>
      <c r="JN21" s="139" t="s">
        <v>210</v>
      </c>
      <c r="JO21" s="139" t="s">
        <v>210</v>
      </c>
      <c r="JP21" s="139" t="s">
        <v>210</v>
      </c>
      <c r="JQ21" s="139" t="s">
        <v>210</v>
      </c>
      <c r="JR21" s="139" t="s">
        <v>210</v>
      </c>
      <c r="JS21" s="139" t="s">
        <v>210</v>
      </c>
      <c r="JT21" s="140" t="s">
        <v>281</v>
      </c>
      <c r="JU21" s="139" t="s">
        <v>210</v>
      </c>
      <c r="JV21" s="139" t="s">
        <v>210</v>
      </c>
      <c r="JW21" s="139" t="s">
        <v>210</v>
      </c>
      <c r="JX21" s="139" t="s">
        <v>210</v>
      </c>
      <c r="JY21" s="139" t="s">
        <v>210</v>
      </c>
      <c r="JZ21" s="139" t="s">
        <v>210</v>
      </c>
      <c r="KA21" s="139" t="s">
        <v>210</v>
      </c>
      <c r="KB21" s="139" t="s">
        <v>210</v>
      </c>
      <c r="KC21" s="139" t="s">
        <v>210</v>
      </c>
      <c r="KD21" s="140" t="s">
        <v>281</v>
      </c>
      <c r="KE21" s="139" t="s">
        <v>210</v>
      </c>
      <c r="KF21" s="139" t="s">
        <v>210</v>
      </c>
      <c r="KG21" s="139" t="s">
        <v>210</v>
      </c>
      <c r="KH21" s="139" t="s">
        <v>210</v>
      </c>
      <c r="KI21" s="139" t="s">
        <v>210</v>
      </c>
      <c r="KJ21" s="139" t="s">
        <v>210</v>
      </c>
      <c r="KK21" s="140" t="s">
        <v>281</v>
      </c>
      <c r="KL21" s="140" t="s">
        <v>281</v>
      </c>
      <c r="KM21" s="140" t="s">
        <v>281</v>
      </c>
      <c r="KN21" s="139" t="s">
        <v>210</v>
      </c>
      <c r="KO21" s="139" t="s">
        <v>210</v>
      </c>
      <c r="KP21" s="139" t="s">
        <v>210</v>
      </c>
      <c r="KQ21" s="139" t="s">
        <v>210</v>
      </c>
      <c r="KR21" s="139" t="s">
        <v>210</v>
      </c>
      <c r="KS21" s="139" t="s">
        <v>210</v>
      </c>
      <c r="KT21" s="140" t="s">
        <v>281</v>
      </c>
      <c r="KU21" s="140" t="s">
        <v>281</v>
      </c>
      <c r="KV21" s="140" t="s">
        <v>281</v>
      </c>
      <c r="KW21" s="139" t="s">
        <v>210</v>
      </c>
      <c r="KX21" s="139" t="s">
        <v>210</v>
      </c>
      <c r="KY21" s="139" t="s">
        <v>210</v>
      </c>
      <c r="KZ21" s="139" t="s">
        <v>210</v>
      </c>
      <c r="LA21" s="139" t="s">
        <v>210</v>
      </c>
      <c r="LB21" s="139" t="s">
        <v>210</v>
      </c>
      <c r="LC21" s="140" t="s">
        <v>281</v>
      </c>
      <c r="LD21" s="140" t="s">
        <v>281</v>
      </c>
      <c r="LE21" s="139" t="s">
        <v>210</v>
      </c>
      <c r="LF21" s="139" t="s">
        <v>210</v>
      </c>
      <c r="LG21" s="139" t="s">
        <v>210</v>
      </c>
      <c r="LH21" s="139" t="s">
        <v>210</v>
      </c>
      <c r="LI21" s="139" t="s">
        <v>210</v>
      </c>
      <c r="LJ21" s="139" t="s">
        <v>210</v>
      </c>
      <c r="LK21" s="139" t="s">
        <v>210</v>
      </c>
      <c r="LL21" s="139" t="s">
        <v>210</v>
      </c>
      <c r="LM21" s="140" t="s">
        <v>281</v>
      </c>
      <c r="LN21" s="139" t="s">
        <v>210</v>
      </c>
      <c r="LO21" s="139" t="s">
        <v>210</v>
      </c>
      <c r="LP21" s="139" t="s">
        <v>210</v>
      </c>
      <c r="LQ21" s="139" t="s">
        <v>210</v>
      </c>
      <c r="LR21" s="139" t="s">
        <v>210</v>
      </c>
      <c r="LS21" s="139" t="s">
        <v>210</v>
      </c>
      <c r="LT21" s="140" t="s">
        <v>281</v>
      </c>
      <c r="LU21" s="140" t="s">
        <v>281</v>
      </c>
      <c r="LV21" s="140" t="s">
        <v>281</v>
      </c>
      <c r="LW21" s="139" t="s">
        <v>210</v>
      </c>
      <c r="LX21" s="139" t="s">
        <v>210</v>
      </c>
      <c r="LY21" s="139" t="s">
        <v>210</v>
      </c>
      <c r="LZ21" s="139" t="s">
        <v>210</v>
      </c>
      <c r="MA21" s="139" t="s">
        <v>210</v>
      </c>
      <c r="MB21" s="139" t="s">
        <v>210</v>
      </c>
      <c r="MC21" s="140" t="s">
        <v>281</v>
      </c>
      <c r="MD21" s="140" t="s">
        <v>281</v>
      </c>
      <c r="ME21" s="140" t="s">
        <v>281</v>
      </c>
      <c r="MF21" s="139" t="s">
        <v>210</v>
      </c>
      <c r="MG21" s="139" t="s">
        <v>210</v>
      </c>
      <c r="MH21" s="139" t="s">
        <v>210</v>
      </c>
      <c r="MI21" s="139" t="s">
        <v>210</v>
      </c>
      <c r="MJ21" s="139" t="s">
        <v>210</v>
      </c>
      <c r="MK21" s="139" t="s">
        <v>210</v>
      </c>
      <c r="ML21" s="140" t="s">
        <v>281</v>
      </c>
      <c r="MM21" s="139" t="s">
        <v>210</v>
      </c>
      <c r="MN21" s="139" t="s">
        <v>210</v>
      </c>
      <c r="MO21" s="139" t="s">
        <v>210</v>
      </c>
      <c r="MP21" s="139" t="s">
        <v>210</v>
      </c>
      <c r="MQ21" s="139" t="s">
        <v>210</v>
      </c>
      <c r="MR21" s="139" t="s">
        <v>210</v>
      </c>
      <c r="MS21" s="139" t="s">
        <v>210</v>
      </c>
      <c r="MT21" s="139" t="s">
        <v>210</v>
      </c>
      <c r="MU21" s="139" t="s">
        <v>210</v>
      </c>
      <c r="MV21" s="140" t="s">
        <v>281</v>
      </c>
      <c r="MW21" s="139" t="s">
        <v>210</v>
      </c>
      <c r="MX21" s="139" t="s">
        <v>210</v>
      </c>
      <c r="MY21" s="139" t="s">
        <v>210</v>
      </c>
      <c r="MZ21" s="139" t="s">
        <v>210</v>
      </c>
      <c r="NA21" s="139" t="s">
        <v>210</v>
      </c>
      <c r="NB21" s="139" t="s">
        <v>210</v>
      </c>
      <c r="NC21" s="140" t="s">
        <v>281</v>
      </c>
      <c r="ND21" s="140" t="s">
        <v>281</v>
      </c>
      <c r="NE21" s="140" t="s">
        <v>281</v>
      </c>
      <c r="NF21" s="139" t="s">
        <v>210</v>
      </c>
      <c r="NG21" s="139" t="s">
        <v>210</v>
      </c>
      <c r="NH21" s="139" t="s">
        <v>210</v>
      </c>
      <c r="NI21" s="139" t="s">
        <v>210</v>
      </c>
      <c r="NJ21" s="139" t="s">
        <v>210</v>
      </c>
      <c r="NK21" s="139" t="s">
        <v>210</v>
      </c>
      <c r="NL21" s="139" t="s">
        <v>210</v>
      </c>
      <c r="NM21" s="140" t="s">
        <v>281</v>
      </c>
      <c r="NN21" s="70" t="s">
        <v>2</v>
      </c>
      <c r="NO21" s="139" t="s">
        <v>210</v>
      </c>
      <c r="NP21" s="139" t="s">
        <v>210</v>
      </c>
      <c r="NQ21" s="73">
        <f t="shared" si="0"/>
        <v>2</v>
      </c>
      <c r="NR21" s="73">
        <f t="shared" si="1"/>
        <v>5</v>
      </c>
      <c r="NS21" s="73">
        <f t="shared" si="2"/>
        <v>45</v>
      </c>
      <c r="NT21" s="73">
        <f t="shared" si="3"/>
        <v>3</v>
      </c>
      <c r="NU21" s="73">
        <f t="shared" si="4"/>
        <v>0</v>
      </c>
      <c r="NV21" s="73">
        <f t="shared" si="5"/>
        <v>20</v>
      </c>
      <c r="NW21" s="73">
        <f t="shared" si="6"/>
        <v>0</v>
      </c>
      <c r="NX21" s="73">
        <f>COUNTIF(J21:NP21,"Opl")+COUNTIF(J21:NP21,"Examen")</f>
        <v>0</v>
      </c>
      <c r="NY21" s="73"/>
      <c r="NZ21" s="74"/>
      <c r="OA21" s="146"/>
      <c r="OB21" s="148">
        <f>SUM(DY43:NP43)</f>
        <v>74</v>
      </c>
      <c r="OC21" t="s">
        <v>299</v>
      </c>
      <c r="OD21" s="163">
        <f>COUNTIF(DY21:NP21,"o")</f>
        <v>1</v>
      </c>
      <c r="OE21" s="163">
        <f>COUNTIF(DY21:NP21,"m")</f>
        <v>2</v>
      </c>
      <c r="OF21" s="163">
        <f>COUNTIF(DY21:NP21,"mx")</f>
        <v>41</v>
      </c>
      <c r="OG21" s="163">
        <f>COUNTIF(DY21:NP21,"n")</f>
        <v>2</v>
      </c>
      <c r="OH21" s="163">
        <f>COUNTIF(DY21:NP21,"z")</f>
        <v>0</v>
      </c>
      <c r="OI21" s="163">
        <f>COUNTIF(DY21:NP21,"v")</f>
        <v>16</v>
      </c>
      <c r="OJ21" s="163">
        <f>COUNTIF(DY21:NP21,"x")</f>
        <v>0</v>
      </c>
      <c r="OK21" s="165">
        <f>COUNTIF(DY21:NP21,"Opl")+COUNTIF(DY21:NP21,"Examen")</f>
        <v>0</v>
      </c>
    </row>
    <row r="22" spans="1:411">
      <c r="A22" s="97" t="s">
        <v>300</v>
      </c>
      <c r="B22" s="63" t="s">
        <v>301</v>
      </c>
      <c r="C22" s="70" t="s">
        <v>2</v>
      </c>
      <c r="D22" s="70" t="s">
        <v>2</v>
      </c>
      <c r="E22" s="93" t="s">
        <v>4</v>
      </c>
      <c r="F22" s="63"/>
      <c r="G22" s="63"/>
      <c r="H22" s="33" t="s">
        <v>206</v>
      </c>
      <c r="I22" s="63" t="s">
        <v>302</v>
      </c>
      <c r="J22" s="70" t="s">
        <v>2</v>
      </c>
      <c r="K22" s="70" t="s">
        <v>2</v>
      </c>
      <c r="L22" s="93" t="s">
        <v>4</v>
      </c>
      <c r="M22" s="33" t="s">
        <v>208</v>
      </c>
      <c r="N22" s="1"/>
      <c r="O22" s="1"/>
      <c r="P22" s="1"/>
      <c r="Q22" s="72" t="s">
        <v>0</v>
      </c>
      <c r="R22" s="33" t="s">
        <v>207</v>
      </c>
      <c r="S22" s="70" t="s">
        <v>2</v>
      </c>
      <c r="T22" s="33" t="s">
        <v>208</v>
      </c>
      <c r="U22" s="93" t="s">
        <v>4</v>
      </c>
      <c r="V22" s="33"/>
      <c r="W22" s="33"/>
      <c r="X22" s="33"/>
      <c r="Y22" s="70" t="s">
        <v>2</v>
      </c>
      <c r="Z22" s="100" t="s">
        <v>281</v>
      </c>
      <c r="AA22" s="33" t="s">
        <v>207</v>
      </c>
      <c r="AB22" s="70" t="s">
        <v>2</v>
      </c>
      <c r="AC22" s="71" t="s">
        <v>4</v>
      </c>
      <c r="AD22" s="71" t="s">
        <v>4</v>
      </c>
      <c r="AE22" s="33"/>
      <c r="AF22" s="33"/>
      <c r="AG22" s="33"/>
      <c r="AH22" s="72" t="s">
        <v>0</v>
      </c>
      <c r="AI22" s="72" t="s">
        <v>0</v>
      </c>
      <c r="AJ22" s="70" t="s">
        <v>2</v>
      </c>
      <c r="AK22" s="70" t="s">
        <v>2</v>
      </c>
      <c r="AL22" s="93" t="s">
        <v>4</v>
      </c>
      <c r="AM22" s="33"/>
      <c r="AN22" s="33"/>
      <c r="AO22" s="33"/>
      <c r="AP22" s="33"/>
      <c r="AQ22" s="68" t="s">
        <v>281</v>
      </c>
      <c r="AR22" s="72" t="s">
        <v>0</v>
      </c>
      <c r="AS22" s="70" t="s">
        <v>2</v>
      </c>
      <c r="AT22" s="68" t="s">
        <v>281</v>
      </c>
      <c r="AU22" s="108" t="s">
        <v>10</v>
      </c>
      <c r="AV22" s="1"/>
      <c r="AW22" s="1"/>
      <c r="AX22" s="1"/>
      <c r="AY22" s="1"/>
      <c r="AZ22" s="72" t="s">
        <v>0</v>
      </c>
      <c r="BA22" s="70" t="s">
        <v>2</v>
      </c>
      <c r="BB22" s="70" t="s">
        <v>2</v>
      </c>
      <c r="BC22" s="68" t="s">
        <v>281</v>
      </c>
      <c r="BD22" s="93" t="s">
        <v>4</v>
      </c>
      <c r="BE22" s="33"/>
      <c r="BF22" s="33"/>
      <c r="BG22" s="33"/>
      <c r="BH22" s="33" t="s">
        <v>206</v>
      </c>
      <c r="BI22" s="72" t="s">
        <v>0</v>
      </c>
      <c r="BJ22" s="33" t="s">
        <v>207</v>
      </c>
      <c r="BK22" s="70" t="s">
        <v>2</v>
      </c>
      <c r="BL22" s="71" t="s">
        <v>4</v>
      </c>
      <c r="BM22" s="71" t="s">
        <v>4</v>
      </c>
      <c r="BN22" s="33"/>
      <c r="BO22" s="33"/>
      <c r="BP22" s="33"/>
      <c r="BQ22" s="72" t="s">
        <v>0</v>
      </c>
      <c r="BR22" s="72" t="s">
        <v>0</v>
      </c>
      <c r="BS22" s="70" t="s">
        <v>2</v>
      </c>
      <c r="BT22" s="70" t="s">
        <v>2</v>
      </c>
      <c r="BU22" s="33" t="s">
        <v>208</v>
      </c>
      <c r="BV22" s="33"/>
      <c r="BW22" s="33"/>
      <c r="BX22" s="33"/>
      <c r="BY22" s="33"/>
      <c r="BZ22" s="33" t="s">
        <v>206</v>
      </c>
      <c r="CA22" s="72" t="s">
        <v>0</v>
      </c>
      <c r="CB22" s="70" t="s">
        <v>2</v>
      </c>
      <c r="CC22" s="33" t="s">
        <v>208</v>
      </c>
      <c r="CD22" s="93" t="s">
        <v>4</v>
      </c>
      <c r="CE22" s="1"/>
      <c r="CF22" s="1"/>
      <c r="CG22" s="1"/>
      <c r="CH22" s="1"/>
      <c r="CI22" s="72" t="s">
        <v>0</v>
      </c>
      <c r="CJ22" s="33" t="s">
        <v>207</v>
      </c>
      <c r="CK22" s="70" t="s">
        <v>2</v>
      </c>
      <c r="CL22" s="33" t="s">
        <v>208</v>
      </c>
      <c r="CM22" s="93" t="s">
        <v>4</v>
      </c>
      <c r="CN22" s="33"/>
      <c r="CO22" s="33"/>
      <c r="CP22" s="33"/>
      <c r="CQ22" s="72" t="s">
        <v>0</v>
      </c>
      <c r="CR22" s="72" t="s">
        <v>0</v>
      </c>
      <c r="CS22" s="106" t="s">
        <v>283</v>
      </c>
      <c r="CT22" s="70" t="s">
        <v>2</v>
      </c>
      <c r="CU22" s="33" t="s">
        <v>208</v>
      </c>
      <c r="CV22" s="71" t="s">
        <v>4</v>
      </c>
      <c r="CW22" s="33"/>
      <c r="CX22" s="33"/>
      <c r="CY22" s="33"/>
      <c r="CZ22" s="106" t="s">
        <v>283</v>
      </c>
      <c r="DA22" s="72" t="s">
        <v>0</v>
      </c>
      <c r="DB22" s="70" t="s">
        <v>2</v>
      </c>
      <c r="DC22" s="70" t="s">
        <v>2</v>
      </c>
      <c r="DD22" s="93" t="s">
        <v>4</v>
      </c>
      <c r="DE22" s="33"/>
      <c r="DF22" s="33"/>
      <c r="DG22" s="106" t="s">
        <v>283</v>
      </c>
      <c r="DH22" s="33"/>
      <c r="DI22" s="33" t="s">
        <v>206</v>
      </c>
      <c r="DJ22" s="72" t="s">
        <v>0</v>
      </c>
      <c r="DK22" s="70" t="s">
        <v>2</v>
      </c>
      <c r="DL22" s="93" t="s">
        <v>4</v>
      </c>
      <c r="DM22" s="33" t="s">
        <v>208</v>
      </c>
      <c r="DN22" s="106" t="s">
        <v>283</v>
      </c>
      <c r="DO22" s="1"/>
      <c r="DP22" s="1"/>
      <c r="DQ22" s="1"/>
      <c r="DR22" s="72" t="s">
        <v>0</v>
      </c>
      <c r="DS22" s="70" t="s">
        <v>2</v>
      </c>
      <c r="DT22" s="70" t="s">
        <v>2</v>
      </c>
      <c r="DU22" s="106" t="s">
        <v>283</v>
      </c>
      <c r="DV22" s="93" t="s">
        <v>4</v>
      </c>
      <c r="DW22" s="33"/>
      <c r="DX22" s="33"/>
      <c r="DY22" s="33"/>
      <c r="DZ22" s="72" t="s">
        <v>0</v>
      </c>
      <c r="EA22" s="72" t="s">
        <v>0</v>
      </c>
      <c r="EB22" s="70" t="s">
        <v>2</v>
      </c>
      <c r="EC22" s="70" t="s">
        <v>2</v>
      </c>
      <c r="ED22" s="1" t="s">
        <v>208</v>
      </c>
      <c r="EE22" s="71" t="s">
        <v>4</v>
      </c>
      <c r="EF22" s="33"/>
      <c r="EG22" s="33"/>
      <c r="EH22" s="33"/>
      <c r="EI22" s="33" t="s">
        <v>206</v>
      </c>
      <c r="EJ22" s="33" t="s">
        <v>206</v>
      </c>
      <c r="EK22" s="70" t="s">
        <v>2</v>
      </c>
      <c r="EL22" s="70" t="s">
        <v>2</v>
      </c>
      <c r="EM22" s="93" t="s">
        <v>4</v>
      </c>
      <c r="EN22" s="33"/>
      <c r="EO22" s="33"/>
      <c r="EP22" s="33"/>
      <c r="EQ22" s="33"/>
      <c r="ER22" s="33" t="s">
        <v>206</v>
      </c>
      <c r="ES22" s="72" t="s">
        <v>0</v>
      </c>
      <c r="ET22" s="70" t="s">
        <v>2</v>
      </c>
      <c r="EU22" s="122" t="s">
        <v>208</v>
      </c>
      <c r="EV22" s="93" t="s">
        <v>4</v>
      </c>
      <c r="EW22" s="1"/>
      <c r="EX22" s="1"/>
      <c r="EY22" s="1"/>
      <c r="EZ22" s="1"/>
      <c r="FA22" s="72" t="s">
        <v>0</v>
      </c>
      <c r="FB22" s="33" t="s">
        <v>207</v>
      </c>
      <c r="FC22" s="70" t="s">
        <v>2</v>
      </c>
      <c r="FD22" s="93" t="s">
        <v>4</v>
      </c>
      <c r="FE22" s="93" t="s">
        <v>4</v>
      </c>
      <c r="FF22" s="33"/>
      <c r="FG22" s="33"/>
      <c r="FH22" s="33"/>
      <c r="FI22" s="72" t="s">
        <v>0</v>
      </c>
      <c r="FJ22" s="72" t="s">
        <v>0</v>
      </c>
      <c r="FK22" s="33" t="s">
        <v>207</v>
      </c>
      <c r="FL22" s="33" t="s">
        <v>207</v>
      </c>
      <c r="FM22" s="1" t="s">
        <v>208</v>
      </c>
      <c r="FN22" s="71" t="s">
        <v>4</v>
      </c>
      <c r="FO22" s="33"/>
      <c r="FP22" s="33"/>
      <c r="FQ22" s="33"/>
      <c r="FR22" s="72" t="s">
        <v>0</v>
      </c>
      <c r="FS22" s="72" t="s">
        <v>0</v>
      </c>
      <c r="FT22" s="70" t="s">
        <v>2</v>
      </c>
      <c r="FU22" s="70" t="s">
        <v>2</v>
      </c>
      <c r="FV22" s="93" t="s">
        <v>4</v>
      </c>
      <c r="FW22" s="33"/>
      <c r="FX22" s="33"/>
      <c r="FY22" s="33"/>
      <c r="FZ22" s="33"/>
      <c r="GA22" s="72" t="s">
        <v>0</v>
      </c>
      <c r="GB22" s="72" t="s">
        <v>0</v>
      </c>
      <c r="GC22" s="70" t="s">
        <v>2</v>
      </c>
      <c r="GD22" s="33" t="s">
        <v>208</v>
      </c>
      <c r="GE22" s="93" t="s">
        <v>4</v>
      </c>
      <c r="GF22" s="1"/>
      <c r="GG22" s="1"/>
      <c r="GH22" s="1"/>
      <c r="GI22" s="1"/>
      <c r="GJ22" s="72" t="s">
        <v>0</v>
      </c>
      <c r="GK22" s="70" t="s">
        <v>2</v>
      </c>
      <c r="GL22" s="70" t="s">
        <v>2</v>
      </c>
      <c r="GM22" s="93" t="s">
        <v>4</v>
      </c>
      <c r="GN22" s="93" t="s">
        <v>4</v>
      </c>
      <c r="GO22" s="33"/>
      <c r="GP22" s="33"/>
      <c r="GQ22" s="33"/>
      <c r="GR22" s="72" t="s">
        <v>0</v>
      </c>
      <c r="GS22" s="72" t="s">
        <v>0</v>
      </c>
      <c r="GT22" s="70" t="s">
        <v>2</v>
      </c>
      <c r="GU22" s="70" t="s">
        <v>2</v>
      </c>
      <c r="GV22" s="71" t="s">
        <v>4</v>
      </c>
      <c r="GW22" s="71" t="s">
        <v>4</v>
      </c>
      <c r="GX22" s="33"/>
      <c r="GY22" s="33"/>
      <c r="GZ22" s="33"/>
      <c r="HA22" s="33" t="s">
        <v>206</v>
      </c>
      <c r="HB22" s="33" t="s">
        <v>206</v>
      </c>
      <c r="HC22" s="33" t="s">
        <v>207</v>
      </c>
      <c r="HD22" s="33" t="s">
        <v>207</v>
      </c>
      <c r="HE22" s="33" t="s">
        <v>208</v>
      </c>
      <c r="HF22" s="33"/>
      <c r="HG22" s="33"/>
      <c r="HH22" s="33"/>
      <c r="HI22" s="33"/>
      <c r="HJ22" s="33" t="s">
        <v>206</v>
      </c>
      <c r="HK22" s="33" t="s">
        <v>206</v>
      </c>
      <c r="HL22" s="33" t="s">
        <v>207</v>
      </c>
      <c r="HM22" s="33" t="s">
        <v>208</v>
      </c>
      <c r="HN22" s="33" t="s">
        <v>208</v>
      </c>
      <c r="HO22" s="1"/>
      <c r="HP22" s="1"/>
      <c r="HQ22" s="1"/>
      <c r="HR22" s="1"/>
      <c r="HS22" s="33" t="s">
        <v>206</v>
      </c>
      <c r="HT22" s="33" t="s">
        <v>207</v>
      </c>
      <c r="HU22" s="33" t="s">
        <v>207</v>
      </c>
      <c r="HV22" s="33" t="s">
        <v>208</v>
      </c>
      <c r="HW22" s="33" t="s">
        <v>208</v>
      </c>
      <c r="HX22" s="33"/>
      <c r="HY22" s="33"/>
      <c r="HZ22" s="33"/>
      <c r="IA22" s="72" t="s">
        <v>0</v>
      </c>
      <c r="IB22" s="72" t="s">
        <v>0</v>
      </c>
      <c r="IC22" s="70" t="s">
        <v>2</v>
      </c>
      <c r="ID22" s="70" t="s">
        <v>2</v>
      </c>
      <c r="IE22" s="71" t="s">
        <v>4</v>
      </c>
      <c r="IF22" s="71" t="s">
        <v>4</v>
      </c>
      <c r="IG22" s="33"/>
      <c r="IH22" s="33"/>
      <c r="II22" s="33"/>
      <c r="IJ22" s="72" t="s">
        <v>0</v>
      </c>
      <c r="IK22" s="72" t="s">
        <v>0</v>
      </c>
      <c r="IL22" s="70" t="s">
        <v>2</v>
      </c>
      <c r="IM22" s="33" t="s">
        <v>207</v>
      </c>
      <c r="IN22" s="93" t="s">
        <v>4</v>
      </c>
      <c r="IO22" s="33"/>
      <c r="IP22" s="33"/>
      <c r="IQ22" s="33"/>
      <c r="IR22" s="33"/>
      <c r="IS22" s="33" t="s">
        <v>206</v>
      </c>
      <c r="IT22" s="72" t="s">
        <v>0</v>
      </c>
      <c r="IU22" s="33" t="s">
        <v>207</v>
      </c>
      <c r="IV22" s="33" t="s">
        <v>208</v>
      </c>
      <c r="IW22" s="93" t="s">
        <v>4</v>
      </c>
      <c r="IX22" s="1"/>
      <c r="IY22" s="1"/>
      <c r="IZ22" s="1"/>
      <c r="JA22" s="1"/>
      <c r="JB22" s="72" t="s">
        <v>0</v>
      </c>
      <c r="JC22" s="70" t="s">
        <v>2</v>
      </c>
      <c r="JD22" s="70" t="s">
        <v>2</v>
      </c>
      <c r="JE22" s="93" t="s">
        <v>4</v>
      </c>
      <c r="JF22" s="93" t="s">
        <v>4</v>
      </c>
      <c r="JG22" s="33"/>
      <c r="JH22" s="1"/>
      <c r="JI22" s="33"/>
      <c r="JJ22" s="72" t="s">
        <v>0</v>
      </c>
      <c r="JK22" s="72" t="s">
        <v>0</v>
      </c>
      <c r="JL22" s="70" t="s">
        <v>2</v>
      </c>
      <c r="JM22" s="70" t="s">
        <v>2</v>
      </c>
      <c r="JN22" s="71" t="s">
        <v>4</v>
      </c>
      <c r="JO22" s="71" t="s">
        <v>4</v>
      </c>
      <c r="JP22" s="33"/>
      <c r="JQ22" s="33"/>
      <c r="JR22" s="33"/>
      <c r="JS22" s="72" t="s">
        <v>0</v>
      </c>
      <c r="JT22" s="72" t="s">
        <v>0</v>
      </c>
      <c r="JU22" s="70" t="s">
        <v>2</v>
      </c>
      <c r="JV22" s="70" t="s">
        <v>2</v>
      </c>
      <c r="JW22" s="93" t="s">
        <v>4</v>
      </c>
      <c r="JX22" s="33"/>
      <c r="JY22" s="33"/>
      <c r="JZ22" s="33"/>
      <c r="KA22" s="33"/>
      <c r="KB22" s="72" t="s">
        <v>0</v>
      </c>
      <c r="KC22" s="72" t="s">
        <v>0</v>
      </c>
      <c r="KD22" s="70" t="s">
        <v>2</v>
      </c>
      <c r="KE22" s="93" t="s">
        <v>4</v>
      </c>
      <c r="KF22" s="93" t="s">
        <v>4</v>
      </c>
      <c r="KG22" s="1"/>
      <c r="KH22" s="1"/>
      <c r="KI22" s="1"/>
      <c r="KJ22" s="1"/>
      <c r="KK22" s="72" t="s">
        <v>0</v>
      </c>
      <c r="KL22" s="70" t="s">
        <v>2</v>
      </c>
      <c r="KM22" s="70" t="s">
        <v>2</v>
      </c>
      <c r="KN22" s="93" t="s">
        <v>4</v>
      </c>
      <c r="KO22" s="93" t="s">
        <v>4</v>
      </c>
      <c r="KP22" s="33"/>
      <c r="KQ22" s="33"/>
      <c r="KR22" s="33"/>
      <c r="KS22" s="72" t="s">
        <v>0</v>
      </c>
      <c r="KT22" s="72" t="s">
        <v>0</v>
      </c>
      <c r="KU22" s="70" t="s">
        <v>2</v>
      </c>
      <c r="KV22" s="70" t="s">
        <v>2</v>
      </c>
      <c r="KW22" s="71" t="s">
        <v>4</v>
      </c>
      <c r="KX22" s="71" t="s">
        <v>4</v>
      </c>
      <c r="KY22" s="33"/>
      <c r="KZ22" s="33"/>
      <c r="LA22" s="33"/>
      <c r="LB22" s="72" t="s">
        <v>0</v>
      </c>
      <c r="LC22" s="72" t="s">
        <v>0</v>
      </c>
      <c r="LD22" s="70" t="s">
        <v>2</v>
      </c>
      <c r="LE22" s="70" t="s">
        <v>2</v>
      </c>
      <c r="LF22" s="93" t="s">
        <v>4</v>
      </c>
      <c r="LG22" s="33"/>
      <c r="LH22" s="33"/>
      <c r="LI22" s="33"/>
      <c r="LJ22" s="33"/>
      <c r="LK22" s="72" t="s">
        <v>0</v>
      </c>
      <c r="LL22" s="72" t="s">
        <v>0</v>
      </c>
      <c r="LM22" s="70" t="s">
        <v>2</v>
      </c>
      <c r="LN22" s="93" t="s">
        <v>4</v>
      </c>
      <c r="LO22" s="93" t="s">
        <v>4</v>
      </c>
      <c r="LP22" s="1"/>
      <c r="LQ22" s="1"/>
      <c r="LR22" s="1"/>
      <c r="LS22" s="1"/>
      <c r="LT22" s="72" t="s">
        <v>0</v>
      </c>
      <c r="LU22" s="70" t="s">
        <v>2</v>
      </c>
      <c r="LV22" s="70" t="s">
        <v>2</v>
      </c>
      <c r="LW22" s="93" t="s">
        <v>4</v>
      </c>
      <c r="LX22" s="93" t="s">
        <v>4</v>
      </c>
      <c r="LY22" s="33"/>
      <c r="LZ22" s="33"/>
      <c r="MA22" s="33"/>
      <c r="MB22" s="72" t="s">
        <v>0</v>
      </c>
      <c r="MC22" s="72" t="s">
        <v>0</v>
      </c>
      <c r="MD22" s="70" t="s">
        <v>2</v>
      </c>
      <c r="ME22" s="70" t="s">
        <v>2</v>
      </c>
      <c r="MF22" s="71" t="s">
        <v>4</v>
      </c>
      <c r="MG22" s="71" t="s">
        <v>4</v>
      </c>
      <c r="MH22" s="33"/>
      <c r="MI22" s="33"/>
      <c r="MJ22" s="33"/>
      <c r="MK22" s="72" t="s">
        <v>0</v>
      </c>
      <c r="ML22" s="72" t="s">
        <v>0</v>
      </c>
      <c r="MM22" s="70" t="s">
        <v>2</v>
      </c>
      <c r="MN22" s="70" t="s">
        <v>2</v>
      </c>
      <c r="MO22" s="93" t="s">
        <v>4</v>
      </c>
      <c r="MP22" s="33"/>
      <c r="MQ22" s="33"/>
      <c r="MR22" s="33"/>
      <c r="MS22" s="33"/>
      <c r="MT22" s="72" t="s">
        <v>0</v>
      </c>
      <c r="MU22" s="72" t="s">
        <v>0</v>
      </c>
      <c r="MV22" s="70" t="s">
        <v>2</v>
      </c>
      <c r="MW22" s="93" t="s">
        <v>4</v>
      </c>
      <c r="MX22" s="93" t="s">
        <v>4</v>
      </c>
      <c r="MY22" s="1"/>
      <c r="MZ22" s="1"/>
      <c r="NA22" s="1"/>
      <c r="NB22" s="1"/>
      <c r="NC22" s="72" t="s">
        <v>0</v>
      </c>
      <c r="ND22" s="70" t="s">
        <v>2</v>
      </c>
      <c r="NE22" s="70" t="s">
        <v>2</v>
      </c>
      <c r="NF22" s="93" t="s">
        <v>4</v>
      </c>
      <c r="NG22" s="93" t="s">
        <v>4</v>
      </c>
      <c r="NH22" s="33"/>
      <c r="NI22" s="33"/>
      <c r="NJ22" s="33"/>
      <c r="NK22" s="33" t="s">
        <v>206</v>
      </c>
      <c r="NL22" s="33" t="s">
        <v>206</v>
      </c>
      <c r="NM22" s="33" t="s">
        <v>207</v>
      </c>
      <c r="NN22" s="33" t="s">
        <v>207</v>
      </c>
      <c r="NO22" s="33" t="s">
        <v>208</v>
      </c>
      <c r="NP22" s="33" t="s">
        <v>208</v>
      </c>
      <c r="NQ22" s="73">
        <f t="shared" si="0"/>
        <v>55</v>
      </c>
      <c r="NR22" s="73">
        <f t="shared" si="1"/>
        <v>60</v>
      </c>
      <c r="NS22" s="73">
        <f t="shared" si="2"/>
        <v>4</v>
      </c>
      <c r="NT22" s="73">
        <f t="shared" si="3"/>
        <v>53</v>
      </c>
      <c r="NU22" s="73">
        <f t="shared" si="4"/>
        <v>1</v>
      </c>
      <c r="NV22" s="73">
        <f t="shared" si="5"/>
        <v>0</v>
      </c>
      <c r="NW22" s="73">
        <f t="shared" si="6"/>
        <v>0</v>
      </c>
      <c r="NX22" s="73">
        <f>COUNTIF(J22:NP22,"Opl")+COUNTIF(J22:NP22,"Examen")</f>
        <v>5</v>
      </c>
      <c r="NY22" s="77">
        <f>SUM(NQ22:NX23)</f>
        <v>225</v>
      </c>
      <c r="NZ22" s="74">
        <f t="shared" si="7"/>
        <v>33.962264150943398</v>
      </c>
      <c r="OA22" s="145"/>
      <c r="OB22" s="182">
        <f>OB21/OB20</f>
        <v>0.48366013071895425</v>
      </c>
      <c r="OC22" t="s">
        <v>303</v>
      </c>
      <c r="OK22" s="155"/>
    </row>
    <row r="23" spans="1:411">
      <c r="A23" s="96"/>
      <c r="B23" s="63"/>
      <c r="C23" s="63"/>
      <c r="D23" s="63"/>
      <c r="E23" s="63"/>
      <c r="F23" s="63"/>
      <c r="G23" s="63"/>
      <c r="H23" s="103" t="s">
        <v>6</v>
      </c>
      <c r="I23" s="103" t="s">
        <v>6</v>
      </c>
      <c r="J23" s="1"/>
      <c r="K23" s="1"/>
      <c r="L23" s="1"/>
      <c r="M23" s="70" t="s">
        <v>2</v>
      </c>
      <c r="N23" s="1"/>
      <c r="O23" s="1"/>
      <c r="P23" s="1"/>
      <c r="Q23" s="33"/>
      <c r="R23" s="72" t="s">
        <v>0</v>
      </c>
      <c r="S23" s="33"/>
      <c r="T23" s="103" t="s">
        <v>6</v>
      </c>
      <c r="U23" s="33"/>
      <c r="V23" s="33"/>
      <c r="W23" s="33"/>
      <c r="X23" s="33"/>
      <c r="Y23" s="33"/>
      <c r="Z23" s="33"/>
      <c r="AA23" s="72" t="s">
        <v>0</v>
      </c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 t="s">
        <v>208</v>
      </c>
      <c r="AV23" s="1"/>
      <c r="AW23" s="1"/>
      <c r="AX23" s="1"/>
      <c r="AY23" s="1"/>
      <c r="AZ23" s="33"/>
      <c r="BA23" s="33"/>
      <c r="BB23" s="33"/>
      <c r="BC23" s="33"/>
      <c r="BD23" s="33"/>
      <c r="BE23" s="33"/>
      <c r="BF23" s="33"/>
      <c r="BG23" s="33"/>
      <c r="BH23" s="103" t="s">
        <v>6</v>
      </c>
      <c r="BI23" s="33"/>
      <c r="BJ23" s="110" t="s">
        <v>8</v>
      </c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110" t="s">
        <v>8</v>
      </c>
      <c r="BV23" s="33"/>
      <c r="BW23" s="33"/>
      <c r="BX23" s="33"/>
      <c r="BY23" s="33"/>
      <c r="BZ23" s="68" t="s">
        <v>281</v>
      </c>
      <c r="CA23" s="33"/>
      <c r="CB23" s="33"/>
      <c r="CC23" s="68" t="s">
        <v>281</v>
      </c>
      <c r="CD23" s="33"/>
      <c r="CE23" s="1"/>
      <c r="CF23" s="1"/>
      <c r="CG23" s="1"/>
      <c r="CH23" s="1"/>
      <c r="CI23" s="33"/>
      <c r="CJ23" s="72" t="s">
        <v>0</v>
      </c>
      <c r="CK23" s="33"/>
      <c r="CL23" s="103" t="s">
        <v>6</v>
      </c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100" t="s">
        <v>281</v>
      </c>
      <c r="DJ23" s="33"/>
      <c r="DK23" s="33"/>
      <c r="DL23" s="33"/>
      <c r="DM23" s="33"/>
      <c r="DN23" s="1"/>
      <c r="DO23" s="1"/>
      <c r="DP23" s="1"/>
      <c r="DQ23" s="1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103" t="s">
        <v>6</v>
      </c>
      <c r="EE23" s="33"/>
      <c r="EF23" s="33"/>
      <c r="EG23" s="33"/>
      <c r="EH23" s="110" t="s">
        <v>8</v>
      </c>
      <c r="EI23" s="70" t="s">
        <v>2</v>
      </c>
      <c r="EJ23" s="70" t="s">
        <v>2</v>
      </c>
      <c r="EK23" s="1"/>
      <c r="EL23" s="1"/>
      <c r="EM23" s="1"/>
      <c r="EN23" s="33"/>
      <c r="EO23" s="33"/>
      <c r="EP23" s="33"/>
      <c r="EQ23" s="33"/>
      <c r="ER23" s="33"/>
      <c r="ES23" s="33"/>
      <c r="ET23" s="33"/>
      <c r="EU23" s="185" t="s">
        <v>281</v>
      </c>
      <c r="EV23" s="33"/>
      <c r="EW23" s="1"/>
      <c r="EX23" s="1"/>
      <c r="EY23" s="1"/>
      <c r="EZ23" s="1"/>
      <c r="FA23" s="33"/>
      <c r="FB23" s="110" t="s">
        <v>8</v>
      </c>
      <c r="FC23" s="33"/>
      <c r="FD23" s="33"/>
      <c r="FE23" s="33"/>
      <c r="FF23" s="33"/>
      <c r="FG23" s="33"/>
      <c r="FH23" s="33"/>
      <c r="FI23" s="33"/>
      <c r="FJ23" s="33"/>
      <c r="FK23" s="106" t="s">
        <v>284</v>
      </c>
      <c r="FL23" s="68" t="s">
        <v>281</v>
      </c>
      <c r="FM23" s="103" t="s">
        <v>6</v>
      </c>
      <c r="FN23" s="33"/>
      <c r="FO23" s="33"/>
      <c r="FP23" s="33"/>
      <c r="FQ23" s="33"/>
      <c r="FR23" s="33"/>
      <c r="FS23" s="33"/>
      <c r="FT23" s="33"/>
      <c r="FU23" s="33"/>
      <c r="FV23" s="33"/>
      <c r="FW23" s="33"/>
      <c r="FX23" s="33"/>
      <c r="FY23" s="33"/>
      <c r="FZ23" s="33"/>
      <c r="GA23" s="33"/>
      <c r="GB23" s="33"/>
      <c r="GC23" s="33"/>
      <c r="GD23" s="70" t="s">
        <v>2</v>
      </c>
      <c r="GE23" s="33"/>
      <c r="GF23" s="1"/>
      <c r="GG23" s="1"/>
      <c r="GH23" s="1"/>
      <c r="GI23" s="1"/>
      <c r="GJ23" s="33"/>
      <c r="GK23" s="33"/>
      <c r="GL23" s="33"/>
      <c r="GM23" s="33"/>
      <c r="GN23" s="33"/>
      <c r="GO23" s="33"/>
      <c r="GP23" s="33"/>
      <c r="GQ23" s="33"/>
      <c r="GR23" s="33"/>
      <c r="GS23" s="33"/>
      <c r="GT23" s="33"/>
      <c r="GU23" s="33"/>
      <c r="GV23" s="33"/>
      <c r="GW23" s="33"/>
      <c r="GX23" s="33"/>
      <c r="GY23" s="33"/>
      <c r="GZ23" s="33"/>
      <c r="HA23" s="128" t="s">
        <v>6</v>
      </c>
      <c r="HB23" s="128" t="s">
        <v>6</v>
      </c>
      <c r="HC23" s="128" t="s">
        <v>6</v>
      </c>
      <c r="HD23" s="128" t="s">
        <v>6</v>
      </c>
      <c r="HE23" s="128" t="s">
        <v>6</v>
      </c>
      <c r="HF23" s="33"/>
      <c r="HG23" s="33"/>
      <c r="HH23" s="33"/>
      <c r="HI23" s="33"/>
      <c r="HJ23" s="128" t="s">
        <v>6</v>
      </c>
      <c r="HK23" s="128" t="s">
        <v>6</v>
      </c>
      <c r="HL23" s="128" t="s">
        <v>6</v>
      </c>
      <c r="HM23" s="128" t="s">
        <v>6</v>
      </c>
      <c r="HN23" s="128" t="s">
        <v>6</v>
      </c>
      <c r="HO23" s="1"/>
      <c r="HP23" s="1"/>
      <c r="HQ23" s="1"/>
      <c r="HR23" s="1"/>
      <c r="HS23" s="128" t="s">
        <v>6</v>
      </c>
      <c r="HT23" s="128" t="s">
        <v>6</v>
      </c>
      <c r="HU23" s="128" t="s">
        <v>6</v>
      </c>
      <c r="HV23" s="128" t="s">
        <v>6</v>
      </c>
      <c r="HW23" s="128" t="s">
        <v>6</v>
      </c>
      <c r="HX23" s="109"/>
      <c r="HY23" s="109"/>
      <c r="HZ23" s="109"/>
      <c r="IA23" s="109"/>
      <c r="IB23" s="109"/>
      <c r="IC23" s="33"/>
      <c r="ID23" s="33"/>
      <c r="IE23" s="33"/>
      <c r="IF23" s="33"/>
      <c r="IG23" s="33"/>
      <c r="IH23" s="33"/>
      <c r="II23" s="33"/>
      <c r="IJ23" s="33"/>
      <c r="IK23" s="33"/>
      <c r="IL23" s="33"/>
      <c r="IM23" s="93" t="s">
        <v>4</v>
      </c>
      <c r="IN23" s="33"/>
      <c r="IO23" s="33"/>
      <c r="IP23" s="33"/>
      <c r="IQ23" s="33"/>
      <c r="IR23" s="33"/>
      <c r="IS23" s="33"/>
      <c r="IT23" s="33"/>
      <c r="IU23" s="72" t="s">
        <v>0</v>
      </c>
      <c r="IV23" s="70" t="s">
        <v>2</v>
      </c>
      <c r="IW23" s="33"/>
      <c r="IX23" s="93" t="s">
        <v>4</v>
      </c>
      <c r="IY23" s="1"/>
      <c r="IZ23" s="1"/>
      <c r="JA23" s="1"/>
      <c r="JB23" s="33"/>
      <c r="JC23" s="33"/>
      <c r="JD23" s="33"/>
      <c r="JE23" s="33"/>
      <c r="JF23" s="33"/>
      <c r="JG23" s="33"/>
      <c r="JH23" s="33"/>
      <c r="JI23" s="33"/>
      <c r="JJ23" s="33"/>
      <c r="JK23" s="33"/>
      <c r="JL23" s="33"/>
      <c r="JM23" s="33"/>
      <c r="JN23" s="33"/>
      <c r="JO23" s="33"/>
      <c r="JP23" s="33"/>
      <c r="JQ23" s="33"/>
      <c r="JR23" s="33"/>
      <c r="JS23" s="33"/>
      <c r="JT23" s="33"/>
      <c r="JU23" s="33"/>
      <c r="JV23" s="33"/>
      <c r="JW23" s="33"/>
      <c r="JX23" s="33"/>
      <c r="JY23" s="33"/>
      <c r="JZ23" s="33"/>
      <c r="KA23" s="33"/>
      <c r="KB23" s="33"/>
      <c r="KC23" s="33"/>
      <c r="KD23" s="33"/>
      <c r="KE23" s="33"/>
      <c r="KF23" s="33"/>
      <c r="KG23" s="1"/>
      <c r="KH23" s="1"/>
      <c r="KI23" s="1"/>
      <c r="KJ23" s="1"/>
      <c r="KK23" s="33"/>
      <c r="KL23" s="33"/>
      <c r="KM23" s="33"/>
      <c r="KN23" s="33"/>
      <c r="KO23" s="33"/>
      <c r="KP23" s="33"/>
      <c r="KQ23" s="33"/>
      <c r="KR23" s="33"/>
      <c r="KS23" s="33"/>
      <c r="KT23" s="33"/>
      <c r="KU23" s="33"/>
      <c r="KV23" s="33"/>
      <c r="KW23" s="33"/>
      <c r="KX23" s="33"/>
      <c r="KY23" s="33"/>
      <c r="KZ23" s="33"/>
      <c r="LA23" s="33"/>
      <c r="LB23" s="33"/>
      <c r="LC23" s="33"/>
      <c r="LD23" s="33"/>
      <c r="LE23" s="33"/>
      <c r="LF23" s="33"/>
      <c r="LG23" s="33"/>
      <c r="LH23" s="33"/>
      <c r="LI23" s="33"/>
      <c r="LJ23" s="33"/>
      <c r="LK23" s="33"/>
      <c r="LL23" s="33"/>
      <c r="LM23" s="33"/>
      <c r="LN23" s="33"/>
      <c r="LO23" s="33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03" t="s">
        <v>6</v>
      </c>
      <c r="NL23" s="103" t="s">
        <v>6</v>
      </c>
      <c r="NM23" s="103" t="s">
        <v>6</v>
      </c>
      <c r="NN23" s="103" t="s">
        <v>6</v>
      </c>
      <c r="NO23" s="103" t="s">
        <v>6</v>
      </c>
      <c r="NP23" s="103" t="s">
        <v>6</v>
      </c>
      <c r="NQ23" s="73">
        <f t="shared" si="0"/>
        <v>4</v>
      </c>
      <c r="NR23" s="73">
        <f t="shared" si="1"/>
        <v>5</v>
      </c>
      <c r="NS23" s="73">
        <f t="shared" si="2"/>
        <v>5</v>
      </c>
      <c r="NT23" s="73">
        <f t="shared" si="3"/>
        <v>2</v>
      </c>
      <c r="NU23" s="73">
        <f t="shared" si="4"/>
        <v>0</v>
      </c>
      <c r="NV23" s="73">
        <f t="shared" si="5"/>
        <v>26</v>
      </c>
      <c r="NW23" s="73">
        <f t="shared" si="6"/>
        <v>4</v>
      </c>
      <c r="NX23" s="73">
        <f>COUNTIF(J23:NP23,"Opl")+COUNTIF(J23:NP23,"Examen")</f>
        <v>1</v>
      </c>
      <c r="NY23" s="73"/>
      <c r="NZ23" s="74"/>
      <c r="OA23" s="146"/>
      <c r="OB23" s="183"/>
      <c r="OC23" s="156"/>
      <c r="OD23" s="156"/>
      <c r="OE23" s="156"/>
      <c r="OF23" s="156"/>
      <c r="OG23" s="156"/>
      <c r="OH23" s="156"/>
      <c r="OI23" s="156"/>
      <c r="OJ23" s="156"/>
      <c r="OK23" s="157"/>
    </row>
    <row r="24" spans="1:411">
      <c r="A24" s="97" t="s">
        <v>304</v>
      </c>
      <c r="B24" s="63" t="s">
        <v>305</v>
      </c>
      <c r="C24" s="110" t="s">
        <v>8</v>
      </c>
      <c r="D24" s="110" t="s">
        <v>8</v>
      </c>
      <c r="E24" s="110" t="s">
        <v>8</v>
      </c>
      <c r="F24" s="93" t="s">
        <v>4</v>
      </c>
      <c r="G24" s="104" t="s">
        <v>140</v>
      </c>
      <c r="H24" s="109"/>
      <c r="I24" s="109"/>
      <c r="J24" s="72" t="s">
        <v>0</v>
      </c>
      <c r="K24" s="72" t="s">
        <v>0</v>
      </c>
      <c r="L24" s="103" t="s">
        <v>6</v>
      </c>
      <c r="M24" s="104" t="s">
        <v>140</v>
      </c>
      <c r="N24" s="110" t="s">
        <v>8</v>
      </c>
      <c r="O24" s="1"/>
      <c r="P24" s="1"/>
      <c r="Q24" s="110" t="s">
        <v>8</v>
      </c>
      <c r="R24" s="110" t="s">
        <v>8</v>
      </c>
      <c r="S24" s="110" t="s">
        <v>8</v>
      </c>
      <c r="T24" s="110" t="s">
        <v>8</v>
      </c>
      <c r="U24" s="110" t="s">
        <v>8</v>
      </c>
      <c r="V24" s="33"/>
      <c r="W24" s="33"/>
      <c r="X24" s="110" t="s">
        <v>8</v>
      </c>
      <c r="Y24" s="71" t="s">
        <v>4</v>
      </c>
      <c r="Z24" s="33"/>
      <c r="AA24" s="110" t="s">
        <v>8</v>
      </c>
      <c r="AB24" s="110" t="s">
        <v>8</v>
      </c>
      <c r="AC24" s="121" t="s">
        <v>282</v>
      </c>
      <c r="AD24" s="33"/>
      <c r="AE24" s="110" t="s">
        <v>8</v>
      </c>
      <c r="AF24" s="103" t="s">
        <v>6</v>
      </c>
      <c r="AG24" s="110" t="s">
        <v>8</v>
      </c>
      <c r="AH24" s="110" t="s">
        <v>8</v>
      </c>
      <c r="AI24" s="110" t="s">
        <v>8</v>
      </c>
      <c r="AJ24" s="72" t="s">
        <v>0</v>
      </c>
      <c r="AK24" s="109"/>
      <c r="AL24" s="72" t="s">
        <v>0</v>
      </c>
      <c r="AM24" s="70" t="s">
        <v>2</v>
      </c>
      <c r="AN24" s="67" t="s">
        <v>2</v>
      </c>
      <c r="AO24" s="67" t="s">
        <v>2</v>
      </c>
      <c r="AP24" s="92" t="s">
        <v>4</v>
      </c>
      <c r="AQ24" s="119" t="s">
        <v>282</v>
      </c>
      <c r="AR24" s="1"/>
      <c r="AS24" s="110" t="s">
        <v>8</v>
      </c>
      <c r="AT24" s="33"/>
      <c r="AU24" s="110" t="s">
        <v>8</v>
      </c>
      <c r="AV24" s="103" t="s">
        <v>6</v>
      </c>
      <c r="AW24" s="110" t="s">
        <v>8</v>
      </c>
      <c r="AX24" s="33"/>
      <c r="AY24" s="33"/>
      <c r="AZ24" s="110" t="s">
        <v>8</v>
      </c>
      <c r="BA24" s="110" t="s">
        <v>8</v>
      </c>
      <c r="BB24" s="127" t="s">
        <v>10</v>
      </c>
      <c r="BC24" s="127" t="s">
        <v>10</v>
      </c>
      <c r="BD24" s="127" t="s">
        <v>10</v>
      </c>
      <c r="BE24" s="33"/>
      <c r="BF24" s="33"/>
      <c r="BG24" s="126" t="s">
        <v>10</v>
      </c>
      <c r="BH24" s="126" t="s">
        <v>10</v>
      </c>
      <c r="BI24" s="103" t="s">
        <v>6</v>
      </c>
      <c r="BJ24" s="103" t="s">
        <v>6</v>
      </c>
      <c r="BK24" s="103" t="s">
        <v>6</v>
      </c>
      <c r="BL24" s="109"/>
      <c r="BM24" s="109"/>
      <c r="BN24" s="110" t="s">
        <v>8</v>
      </c>
      <c r="BO24" s="110" t="s">
        <v>8</v>
      </c>
      <c r="BP24" s="110" t="s">
        <v>8</v>
      </c>
      <c r="BQ24" s="110" t="s">
        <v>8</v>
      </c>
      <c r="BR24" s="110" t="s">
        <v>8</v>
      </c>
      <c r="BS24" s="1"/>
      <c r="BT24" s="1"/>
      <c r="BU24" s="110" t="s">
        <v>8</v>
      </c>
      <c r="BV24" s="110" t="s">
        <v>8</v>
      </c>
      <c r="BW24" s="110" t="s">
        <v>8</v>
      </c>
      <c r="BX24" s="110" t="s">
        <v>8</v>
      </c>
      <c r="BY24" s="110" t="s">
        <v>8</v>
      </c>
      <c r="BZ24" s="33"/>
      <c r="CA24" s="33"/>
      <c r="CB24" s="110" t="s">
        <v>8</v>
      </c>
      <c r="CC24" s="110" t="s">
        <v>8</v>
      </c>
      <c r="CD24" s="110" t="s">
        <v>8</v>
      </c>
      <c r="CE24" s="110" t="s">
        <v>8</v>
      </c>
      <c r="CF24" s="110" t="s">
        <v>8</v>
      </c>
      <c r="CG24" s="33"/>
      <c r="CH24" s="33"/>
      <c r="CI24" s="110" t="s">
        <v>8</v>
      </c>
      <c r="CJ24" s="110" t="s">
        <v>8</v>
      </c>
      <c r="CK24" s="103" t="s">
        <v>6</v>
      </c>
      <c r="CL24" s="103" t="s">
        <v>6</v>
      </c>
      <c r="CM24" s="115" t="s">
        <v>6</v>
      </c>
      <c r="CN24" s="109"/>
      <c r="CO24" s="109"/>
      <c r="CP24" s="128" t="s">
        <v>6</v>
      </c>
      <c r="CQ24" s="110" t="s">
        <v>8</v>
      </c>
      <c r="CR24" s="110" t="s">
        <v>8</v>
      </c>
      <c r="CS24" s="110" t="s">
        <v>8</v>
      </c>
      <c r="CT24" s="110" t="s">
        <v>8</v>
      </c>
      <c r="CU24" s="1"/>
      <c r="CV24" s="1"/>
      <c r="CW24" s="110" t="s">
        <v>8</v>
      </c>
      <c r="CX24" s="110" t="s">
        <v>8</v>
      </c>
      <c r="CY24" s="110" t="s">
        <v>8</v>
      </c>
      <c r="CZ24" s="110" t="s">
        <v>8</v>
      </c>
      <c r="DA24" s="110" t="s">
        <v>8</v>
      </c>
      <c r="DB24" s="33"/>
      <c r="DC24" s="33"/>
      <c r="DD24" s="104" t="s">
        <v>140</v>
      </c>
      <c r="DE24" s="110" t="s">
        <v>8</v>
      </c>
      <c r="DF24" s="110" t="s">
        <v>8</v>
      </c>
      <c r="DG24" s="110" t="s">
        <v>8</v>
      </c>
      <c r="DH24" s="110" t="s">
        <v>8</v>
      </c>
      <c r="DI24" s="33"/>
      <c r="DJ24" s="33"/>
      <c r="DK24" s="110" t="s">
        <v>8</v>
      </c>
      <c r="DL24" s="110" t="s">
        <v>8</v>
      </c>
      <c r="DM24" s="110" t="s">
        <v>8</v>
      </c>
      <c r="DN24" s="110" t="s">
        <v>8</v>
      </c>
      <c r="DO24" s="110" t="s">
        <v>8</v>
      </c>
      <c r="DP24" s="109"/>
      <c r="DQ24" s="109"/>
      <c r="DR24" s="110" t="s">
        <v>8</v>
      </c>
      <c r="DS24" s="110" t="s">
        <v>8</v>
      </c>
      <c r="DT24" s="110" t="s">
        <v>8</v>
      </c>
      <c r="DU24" s="110" t="s">
        <v>8</v>
      </c>
      <c r="DV24" s="110" t="s">
        <v>8</v>
      </c>
      <c r="DW24" s="1"/>
      <c r="DX24" s="1"/>
      <c r="DY24" s="104" t="s">
        <v>140</v>
      </c>
      <c r="DZ24" s="110" t="s">
        <v>8</v>
      </c>
      <c r="EA24" s="110" t="s">
        <v>8</v>
      </c>
      <c r="EB24" s="110" t="s">
        <v>8</v>
      </c>
      <c r="EC24" s="110" t="s">
        <v>8</v>
      </c>
      <c r="ED24" s="33"/>
      <c r="EE24" s="33"/>
      <c r="EF24" s="110" t="s">
        <v>8</v>
      </c>
      <c r="EG24" s="110" t="s">
        <v>8</v>
      </c>
      <c r="EH24" s="115"/>
      <c r="EI24" s="115"/>
      <c r="EJ24" s="115"/>
      <c r="EK24" s="33"/>
      <c r="EL24" s="33"/>
      <c r="EM24" s="110" t="s">
        <v>8</v>
      </c>
      <c r="EN24" s="110" t="s">
        <v>8</v>
      </c>
      <c r="EO24" s="110" t="s">
        <v>8</v>
      </c>
      <c r="EP24" s="104" t="s">
        <v>140</v>
      </c>
      <c r="EQ24" s="110" t="s">
        <v>8</v>
      </c>
      <c r="ER24" s="109"/>
      <c r="ES24" s="109"/>
      <c r="ET24" s="110" t="s">
        <v>8</v>
      </c>
      <c r="EU24" s="110" t="s">
        <v>8</v>
      </c>
      <c r="EV24" s="110" t="s">
        <v>8</v>
      </c>
      <c r="EW24" s="110" t="s">
        <v>8</v>
      </c>
      <c r="EX24" s="110" t="s">
        <v>8</v>
      </c>
      <c r="EY24" s="1"/>
      <c r="EZ24" s="1"/>
      <c r="FA24" s="104" t="s">
        <v>140</v>
      </c>
      <c r="FB24" s="110" t="s">
        <v>8</v>
      </c>
      <c r="FC24" s="110" t="s">
        <v>8</v>
      </c>
      <c r="FD24" s="110" t="s">
        <v>8</v>
      </c>
      <c r="FE24" s="110" t="s">
        <v>8</v>
      </c>
      <c r="FF24" s="33"/>
      <c r="FG24" s="33"/>
      <c r="FH24" s="110" t="s">
        <v>8</v>
      </c>
      <c r="FI24" s="110" t="s">
        <v>8</v>
      </c>
      <c r="FJ24" s="110" t="s">
        <v>8</v>
      </c>
      <c r="FK24" s="110" t="s">
        <v>8</v>
      </c>
      <c r="FL24" s="110" t="s">
        <v>8</v>
      </c>
      <c r="FM24" s="33"/>
      <c r="FN24" s="33"/>
      <c r="FO24" s="110" t="s">
        <v>8</v>
      </c>
      <c r="FP24" s="110" t="s">
        <v>8</v>
      </c>
      <c r="FQ24" s="110" t="s">
        <v>8</v>
      </c>
      <c r="FR24" s="110" t="s">
        <v>8</v>
      </c>
      <c r="FS24" s="110" t="s">
        <v>8</v>
      </c>
      <c r="FT24" s="109"/>
      <c r="FU24" s="109"/>
      <c r="FV24" s="110" t="s">
        <v>8</v>
      </c>
      <c r="FW24" s="110" t="s">
        <v>8</v>
      </c>
      <c r="FX24" s="110" t="s">
        <v>8</v>
      </c>
      <c r="FY24" s="110" t="s">
        <v>8</v>
      </c>
      <c r="FZ24" s="110" t="s">
        <v>8</v>
      </c>
      <c r="GA24" s="1"/>
      <c r="GB24" s="1"/>
      <c r="GC24" s="110" t="s">
        <v>8</v>
      </c>
      <c r="GD24" s="110" t="s">
        <v>8</v>
      </c>
      <c r="GE24" s="110" t="s">
        <v>8</v>
      </c>
      <c r="GF24" s="110" t="s">
        <v>8</v>
      </c>
      <c r="GG24" s="110" t="s">
        <v>8</v>
      </c>
      <c r="GH24" s="33"/>
      <c r="GI24" s="33"/>
      <c r="GJ24" s="110" t="s">
        <v>8</v>
      </c>
      <c r="GK24" s="110" t="s">
        <v>8</v>
      </c>
      <c r="GL24" s="110" t="s">
        <v>8</v>
      </c>
      <c r="GM24" s="110" t="s">
        <v>8</v>
      </c>
      <c r="GN24" s="110" t="s">
        <v>8</v>
      </c>
      <c r="GO24" s="33"/>
      <c r="GP24" s="33"/>
      <c r="GQ24" s="110" t="s">
        <v>8</v>
      </c>
      <c r="GR24" s="110" t="s">
        <v>8</v>
      </c>
      <c r="GS24" s="110" t="s">
        <v>8</v>
      </c>
      <c r="GT24" s="110" t="s">
        <v>8</v>
      </c>
      <c r="GU24" s="110" t="s">
        <v>8</v>
      </c>
      <c r="GV24" s="109"/>
      <c r="GW24" s="109"/>
      <c r="GX24" s="110" t="s">
        <v>8</v>
      </c>
      <c r="GY24" s="110" t="s">
        <v>8</v>
      </c>
      <c r="GZ24" s="110" t="s">
        <v>8</v>
      </c>
      <c r="HA24" s="110" t="s">
        <v>8</v>
      </c>
      <c r="HB24" s="110" t="s">
        <v>8</v>
      </c>
      <c r="HC24" s="1"/>
      <c r="HD24" s="1"/>
      <c r="HE24" s="110" t="s">
        <v>8</v>
      </c>
      <c r="HF24" s="110" t="s">
        <v>8</v>
      </c>
      <c r="HG24" s="110" t="s">
        <v>8</v>
      </c>
      <c r="HH24" s="110" t="s">
        <v>8</v>
      </c>
      <c r="HI24" s="110" t="s">
        <v>8</v>
      </c>
      <c r="HJ24" s="33"/>
      <c r="HK24" s="33"/>
      <c r="HL24" s="70" t="s">
        <v>2</v>
      </c>
      <c r="HM24" s="110" t="s">
        <v>8</v>
      </c>
      <c r="HN24" s="110" t="s">
        <v>8</v>
      </c>
      <c r="HO24" s="110" t="s">
        <v>8</v>
      </c>
      <c r="HP24" s="110" t="s">
        <v>8</v>
      </c>
      <c r="HQ24" s="1"/>
      <c r="HR24" s="1"/>
      <c r="HS24" s="110" t="s">
        <v>8</v>
      </c>
      <c r="HT24" s="110" t="s">
        <v>8</v>
      </c>
      <c r="HU24" s="110" t="s">
        <v>8</v>
      </c>
      <c r="HV24" s="110" t="s">
        <v>8</v>
      </c>
      <c r="HW24" s="93" t="s">
        <v>4</v>
      </c>
      <c r="HX24" s="109"/>
      <c r="HY24" s="109"/>
      <c r="HZ24" s="110" t="s">
        <v>8</v>
      </c>
      <c r="IA24" s="110" t="s">
        <v>8</v>
      </c>
      <c r="IB24" s="110" t="s">
        <v>8</v>
      </c>
      <c r="IC24" s="110" t="s">
        <v>8</v>
      </c>
      <c r="ID24" s="110" t="s">
        <v>8</v>
      </c>
      <c r="IE24" s="1"/>
      <c r="IF24" s="1"/>
      <c r="IG24" s="110" t="s">
        <v>8</v>
      </c>
      <c r="IH24" s="110" t="s">
        <v>8</v>
      </c>
      <c r="II24" s="110" t="s">
        <v>8</v>
      </c>
      <c r="IJ24" s="110" t="s">
        <v>8</v>
      </c>
      <c r="IK24" s="110" t="s">
        <v>8</v>
      </c>
      <c r="IL24" s="33"/>
      <c r="IM24" s="33"/>
      <c r="IN24" s="110" t="s">
        <v>8</v>
      </c>
      <c r="IO24" s="110" t="s">
        <v>8</v>
      </c>
      <c r="IP24" s="110" t="s">
        <v>8</v>
      </c>
      <c r="IQ24" s="110" t="s">
        <v>8</v>
      </c>
      <c r="IR24" s="110" t="s">
        <v>8</v>
      </c>
      <c r="IS24" s="33"/>
      <c r="IT24" s="33"/>
      <c r="IU24" s="128" t="s">
        <v>6</v>
      </c>
      <c r="IV24" s="128" t="s">
        <v>6</v>
      </c>
      <c r="IW24" s="128" t="s">
        <v>6</v>
      </c>
      <c r="IX24" s="128" t="s">
        <v>6</v>
      </c>
      <c r="IY24" s="128" t="s">
        <v>6</v>
      </c>
      <c r="IZ24" s="109"/>
      <c r="JA24" s="109"/>
      <c r="JB24" s="128" t="s">
        <v>6</v>
      </c>
      <c r="JC24" s="128" t="s">
        <v>6</v>
      </c>
      <c r="JD24" s="128" t="s">
        <v>6</v>
      </c>
      <c r="JE24" s="128" t="s">
        <v>6</v>
      </c>
      <c r="JF24" s="128" t="s">
        <v>6</v>
      </c>
      <c r="JG24" s="1"/>
      <c r="JH24" s="1"/>
      <c r="JI24" s="128" t="s">
        <v>6</v>
      </c>
      <c r="JJ24" s="128" t="s">
        <v>6</v>
      </c>
      <c r="JK24" s="128" t="s">
        <v>6</v>
      </c>
      <c r="JL24" s="128" t="s">
        <v>6</v>
      </c>
      <c r="JM24" s="128" t="s">
        <v>6</v>
      </c>
      <c r="JN24" s="33"/>
      <c r="JO24" s="33"/>
      <c r="JP24" s="128" t="s">
        <v>6</v>
      </c>
      <c r="JQ24" s="128" t="s">
        <v>6</v>
      </c>
      <c r="JR24" s="128" t="s">
        <v>6</v>
      </c>
      <c r="JS24" s="128" t="s">
        <v>6</v>
      </c>
      <c r="JT24" s="128" t="s">
        <v>6</v>
      </c>
      <c r="JU24" s="33"/>
      <c r="JV24" s="33"/>
      <c r="JW24" s="110" t="s">
        <v>8</v>
      </c>
      <c r="JX24" s="110" t="s">
        <v>8</v>
      </c>
      <c r="JY24" s="110" t="s">
        <v>8</v>
      </c>
      <c r="JZ24" s="110" t="s">
        <v>8</v>
      </c>
      <c r="KA24" s="110" t="s">
        <v>8</v>
      </c>
      <c r="KB24" s="109"/>
      <c r="KC24" s="109"/>
      <c r="KD24" s="110" t="s">
        <v>8</v>
      </c>
      <c r="KE24" s="110" t="s">
        <v>8</v>
      </c>
      <c r="KF24" s="110" t="s">
        <v>8</v>
      </c>
      <c r="KG24" s="110" t="s">
        <v>8</v>
      </c>
      <c r="KH24" s="110" t="s">
        <v>8</v>
      </c>
      <c r="KI24" s="1"/>
      <c r="KJ24" s="1"/>
      <c r="KK24" s="110" t="s">
        <v>8</v>
      </c>
      <c r="KL24" s="110" t="s">
        <v>8</v>
      </c>
      <c r="KM24" s="110" t="s">
        <v>8</v>
      </c>
      <c r="KN24" s="110" t="s">
        <v>8</v>
      </c>
      <c r="KO24" s="110" t="s">
        <v>8</v>
      </c>
      <c r="KP24" s="33"/>
      <c r="KQ24" s="33"/>
      <c r="KR24" s="110" t="s">
        <v>8</v>
      </c>
      <c r="KS24" s="110" t="s">
        <v>8</v>
      </c>
      <c r="KT24" s="110" t="s">
        <v>8</v>
      </c>
      <c r="KU24" s="110" t="s">
        <v>8</v>
      </c>
      <c r="KV24" s="110" t="s">
        <v>8</v>
      </c>
      <c r="KW24" s="33"/>
      <c r="KX24" s="33"/>
      <c r="KY24" s="110" t="s">
        <v>8</v>
      </c>
      <c r="KZ24" s="110" t="s">
        <v>8</v>
      </c>
      <c r="LA24" s="110" t="s">
        <v>8</v>
      </c>
      <c r="LB24" s="110" t="s">
        <v>8</v>
      </c>
      <c r="LC24" s="110" t="s">
        <v>8</v>
      </c>
      <c r="LD24" s="109"/>
      <c r="LE24" s="109"/>
      <c r="LF24" s="110" t="s">
        <v>8</v>
      </c>
      <c r="LG24" s="110" t="s">
        <v>8</v>
      </c>
      <c r="LH24" s="110" t="s">
        <v>8</v>
      </c>
      <c r="LI24" s="110" t="s">
        <v>8</v>
      </c>
      <c r="LJ24" s="110" t="s">
        <v>8</v>
      </c>
      <c r="LK24" s="1"/>
      <c r="LL24" s="1"/>
      <c r="LM24" s="110" t="s">
        <v>8</v>
      </c>
      <c r="LN24" s="110" t="s">
        <v>8</v>
      </c>
      <c r="LO24" s="110" t="s">
        <v>8</v>
      </c>
      <c r="LP24" s="110" t="s">
        <v>8</v>
      </c>
      <c r="LQ24" s="110" t="s">
        <v>8</v>
      </c>
      <c r="LR24" s="33"/>
      <c r="LS24" s="33"/>
      <c r="LT24" s="110" t="s">
        <v>8</v>
      </c>
      <c r="LU24" s="110" t="s">
        <v>8</v>
      </c>
      <c r="LV24" s="110" t="s">
        <v>8</v>
      </c>
      <c r="LW24" s="110" t="s">
        <v>8</v>
      </c>
      <c r="LX24" s="110" t="s">
        <v>8</v>
      </c>
      <c r="LY24" s="1"/>
      <c r="LZ24" s="1"/>
      <c r="MA24" s="110" t="s">
        <v>8</v>
      </c>
      <c r="MB24" s="110" t="s">
        <v>8</v>
      </c>
      <c r="MC24" s="110" t="s">
        <v>8</v>
      </c>
      <c r="MD24" s="110" t="s">
        <v>8</v>
      </c>
      <c r="ME24" s="110" t="s">
        <v>8</v>
      </c>
      <c r="MF24" s="109"/>
      <c r="MG24" s="109"/>
      <c r="MH24" s="110" t="s">
        <v>8</v>
      </c>
      <c r="MI24" s="110" t="s">
        <v>8</v>
      </c>
      <c r="MJ24" s="110" t="s">
        <v>8</v>
      </c>
      <c r="MK24" s="110" t="s">
        <v>8</v>
      </c>
      <c r="ML24" s="110" t="s">
        <v>8</v>
      </c>
      <c r="MM24" s="1"/>
      <c r="MN24" s="1"/>
      <c r="MO24" s="110" t="s">
        <v>8</v>
      </c>
      <c r="MP24" s="110" t="s">
        <v>8</v>
      </c>
      <c r="MQ24" s="110" t="s">
        <v>8</v>
      </c>
      <c r="MR24" s="110" t="s">
        <v>8</v>
      </c>
      <c r="MS24" s="110" t="s">
        <v>8</v>
      </c>
      <c r="MT24" s="33"/>
      <c r="MU24" s="33"/>
      <c r="MV24" s="110" t="s">
        <v>8</v>
      </c>
      <c r="MW24" s="110" t="s">
        <v>8</v>
      </c>
      <c r="MX24" s="110" t="s">
        <v>8</v>
      </c>
      <c r="MY24" s="110" t="s">
        <v>8</v>
      </c>
      <c r="MZ24" s="110" t="s">
        <v>8</v>
      </c>
      <c r="NA24" s="33"/>
      <c r="NB24" s="33"/>
      <c r="NC24" s="110" t="s">
        <v>8</v>
      </c>
      <c r="ND24" s="110" t="s">
        <v>8</v>
      </c>
      <c r="NE24" s="110" t="s">
        <v>8</v>
      </c>
      <c r="NF24" s="110" t="s">
        <v>8</v>
      </c>
      <c r="NG24" s="104" t="s">
        <v>140</v>
      </c>
      <c r="NH24" s="109"/>
      <c r="NI24" s="109"/>
      <c r="NJ24" s="110" t="s">
        <v>8</v>
      </c>
      <c r="NK24" s="110" t="s">
        <v>8</v>
      </c>
      <c r="NL24" s="110" t="s">
        <v>8</v>
      </c>
      <c r="NM24" s="110" t="s">
        <v>8</v>
      </c>
      <c r="NN24" s="104" t="s">
        <v>140</v>
      </c>
      <c r="NO24" s="1"/>
      <c r="NP24" s="1"/>
      <c r="NQ24" s="33"/>
      <c r="NR24" s="33"/>
      <c r="NS24" s="33"/>
      <c r="NT24" s="33"/>
      <c r="NU24" s="33"/>
      <c r="NV24" s="33"/>
      <c r="NW24" s="33"/>
      <c r="NX24" s="33"/>
      <c r="NY24" s="33"/>
      <c r="NZ24" s="33"/>
      <c r="OA24" s="145"/>
      <c r="OB24" s="149"/>
    </row>
    <row r="25" spans="1:411">
      <c r="A25" s="97"/>
      <c r="B25" s="63"/>
      <c r="C25" s="63"/>
      <c r="D25" s="63"/>
      <c r="E25" s="63"/>
      <c r="F25" s="63"/>
      <c r="G25" s="63"/>
      <c r="H25" s="109"/>
      <c r="I25" s="109"/>
      <c r="J25" s="1"/>
      <c r="K25" s="1"/>
      <c r="L25" s="1"/>
      <c r="M25" s="1"/>
      <c r="N25" s="1"/>
      <c r="O25" s="1"/>
      <c r="P25" s="1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72" t="s">
        <v>0</v>
      </c>
      <c r="AU25" s="33"/>
      <c r="AV25" s="1"/>
      <c r="AW25" s="1"/>
      <c r="AX25" s="1"/>
      <c r="AY25" s="1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1"/>
      <c r="CF25" s="1"/>
      <c r="CG25" s="1"/>
      <c r="CH25" s="1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  <c r="DM25" s="33"/>
      <c r="DN25" s="1"/>
      <c r="DO25" s="1"/>
      <c r="DP25" s="1"/>
      <c r="DQ25" s="1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  <c r="ED25" s="33"/>
      <c r="EE25" s="33"/>
      <c r="EF25" s="33"/>
      <c r="EG25" s="33"/>
      <c r="EH25" s="33"/>
      <c r="EI25" s="33"/>
      <c r="EJ25" s="33"/>
      <c r="EK25" s="33"/>
      <c r="EL25" s="33"/>
      <c r="EM25" s="33"/>
      <c r="EN25" s="33"/>
      <c r="EO25" s="33"/>
      <c r="EP25" s="33"/>
      <c r="EQ25" s="33"/>
      <c r="ER25" s="33"/>
      <c r="ES25" s="33"/>
      <c r="ET25" s="33"/>
      <c r="EU25" s="33"/>
      <c r="EV25" s="33"/>
      <c r="EW25" s="1"/>
      <c r="EX25" s="1"/>
      <c r="EY25" s="1"/>
      <c r="EZ25" s="1"/>
      <c r="FA25" s="33"/>
      <c r="FB25" s="33"/>
      <c r="FC25" s="33"/>
      <c r="FD25" s="33"/>
      <c r="FE25" s="33"/>
      <c r="FF25" s="33"/>
      <c r="FG25" s="33"/>
      <c r="FH25" s="33"/>
      <c r="FI25" s="33"/>
      <c r="FJ25" s="33"/>
      <c r="FK25" s="33"/>
      <c r="FL25" s="33"/>
      <c r="FM25" s="33"/>
      <c r="FN25" s="33"/>
      <c r="FO25" s="33"/>
      <c r="FP25" s="33"/>
      <c r="FQ25" s="33"/>
      <c r="FR25" s="33"/>
      <c r="FS25" s="33"/>
      <c r="FT25" s="33"/>
      <c r="FU25" s="33"/>
      <c r="FV25" s="33"/>
      <c r="FW25" s="33"/>
      <c r="FX25" s="33"/>
      <c r="FY25" s="33"/>
      <c r="FZ25" s="33"/>
      <c r="GA25" s="33"/>
      <c r="GB25" s="33"/>
      <c r="GC25" s="33"/>
      <c r="GD25" s="33"/>
      <c r="GE25" s="33"/>
      <c r="GF25" s="1"/>
      <c r="GG25" s="1"/>
      <c r="GH25" s="1"/>
      <c r="GI25" s="1"/>
      <c r="GJ25" s="33"/>
      <c r="GK25" s="33"/>
      <c r="GL25" s="33"/>
      <c r="GM25" s="33"/>
      <c r="GN25" s="33"/>
      <c r="GO25" s="33"/>
      <c r="GP25" s="33"/>
      <c r="GQ25" s="33"/>
      <c r="GR25" s="33"/>
      <c r="GS25" s="33"/>
      <c r="GT25" s="33"/>
      <c r="GU25" s="33"/>
      <c r="GV25" s="33"/>
      <c r="GW25" s="33"/>
      <c r="GX25" s="33"/>
      <c r="GY25" s="33"/>
      <c r="GZ25" s="33"/>
      <c r="HA25" s="33"/>
      <c r="HB25" s="33"/>
      <c r="HC25" s="33"/>
      <c r="HD25" s="33"/>
      <c r="HE25" s="33"/>
      <c r="HF25" s="33"/>
      <c r="HG25" s="33"/>
      <c r="HH25" s="33"/>
      <c r="HI25" s="33"/>
      <c r="HJ25" s="33"/>
      <c r="HK25" s="33"/>
      <c r="HL25" s="33"/>
      <c r="HM25" s="33"/>
      <c r="HN25" s="33"/>
      <c r="HO25" s="1"/>
      <c r="HP25" s="1"/>
      <c r="HQ25" s="1"/>
      <c r="HR25" s="1"/>
      <c r="HS25" s="33"/>
      <c r="HT25" s="33"/>
      <c r="HU25" s="33"/>
      <c r="HV25" s="33"/>
      <c r="HW25" s="33"/>
      <c r="HX25" s="33"/>
      <c r="HY25" s="33"/>
      <c r="HZ25" s="33"/>
      <c r="IA25" s="33"/>
      <c r="IB25" s="33"/>
      <c r="IC25" s="33"/>
      <c r="ID25" s="33"/>
      <c r="IE25" s="33"/>
      <c r="IF25" s="33"/>
      <c r="IG25" s="33"/>
      <c r="IH25" s="33"/>
      <c r="II25" s="33"/>
      <c r="IJ25" s="33"/>
      <c r="IK25" s="33"/>
      <c r="IL25" s="33"/>
      <c r="IM25" s="33"/>
      <c r="IN25" s="33"/>
      <c r="IO25" s="33"/>
      <c r="IP25" s="33"/>
      <c r="IQ25" s="33"/>
      <c r="IR25" s="33"/>
      <c r="IS25" s="33"/>
      <c r="IT25" s="33"/>
      <c r="IU25" s="33"/>
      <c r="IV25" s="33"/>
      <c r="IW25" s="33"/>
      <c r="IX25" s="1"/>
      <c r="IY25" s="1"/>
      <c r="IZ25" s="1"/>
      <c r="JA25" s="1"/>
      <c r="JB25" s="33"/>
      <c r="JC25" s="33"/>
      <c r="JD25" s="33"/>
      <c r="JE25" s="33"/>
      <c r="JF25" s="33"/>
      <c r="JG25" s="33"/>
      <c r="JH25" s="33"/>
      <c r="JI25" s="33"/>
      <c r="JJ25" s="33"/>
      <c r="JK25" s="33"/>
      <c r="JL25" s="33"/>
      <c r="JM25" s="33"/>
      <c r="JN25" s="33"/>
      <c r="JO25" s="33"/>
      <c r="JP25" s="33"/>
      <c r="JQ25" s="33"/>
      <c r="JR25" s="33"/>
      <c r="JS25" s="33"/>
      <c r="JT25" s="33"/>
      <c r="JU25" s="33"/>
      <c r="JV25" s="33"/>
      <c r="JW25" s="33"/>
      <c r="JX25" s="33"/>
      <c r="JY25" s="33"/>
      <c r="JZ25" s="33"/>
      <c r="KA25" s="33"/>
      <c r="KB25" s="33"/>
      <c r="KC25" s="33"/>
      <c r="KD25" s="33"/>
      <c r="KE25" s="33"/>
      <c r="KF25" s="33"/>
      <c r="KG25" s="1"/>
      <c r="KH25" s="1"/>
      <c r="KI25" s="1"/>
      <c r="KJ25" s="1"/>
      <c r="KK25" s="33"/>
      <c r="KL25" s="33"/>
      <c r="KM25" s="33"/>
      <c r="KN25" s="33"/>
      <c r="KO25" s="33"/>
      <c r="KP25" s="33"/>
      <c r="KQ25" s="33"/>
      <c r="KR25" s="33"/>
      <c r="KS25" s="33"/>
      <c r="KT25" s="33"/>
      <c r="KU25" s="33"/>
      <c r="KV25" s="33"/>
      <c r="KW25" s="33"/>
      <c r="KX25" s="33"/>
      <c r="KY25" s="33"/>
      <c r="KZ25" s="33"/>
      <c r="LA25" s="33"/>
      <c r="LB25" s="33"/>
      <c r="LC25" s="33"/>
      <c r="LD25" s="33"/>
      <c r="LE25" s="33"/>
      <c r="LF25" s="33"/>
      <c r="LG25" s="33"/>
      <c r="LH25" s="33"/>
      <c r="LI25" s="33"/>
      <c r="LJ25" s="33"/>
      <c r="LK25" s="33"/>
      <c r="LL25" s="33"/>
      <c r="LM25" s="33"/>
      <c r="LN25" s="33"/>
      <c r="LO25" s="33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73"/>
      <c r="NR25" s="73"/>
      <c r="NS25" s="73"/>
      <c r="NT25" s="73"/>
      <c r="NU25" s="73"/>
      <c r="NV25" s="73"/>
      <c r="NW25" s="73"/>
      <c r="NX25" s="73"/>
      <c r="NY25" s="73"/>
      <c r="NZ25" s="74"/>
      <c r="OA25" s="146"/>
    </row>
    <row r="26" spans="1:411">
      <c r="A26" s="97" t="s">
        <v>90</v>
      </c>
      <c r="B26" s="63" t="s">
        <v>306</v>
      </c>
      <c r="C26" s="103" t="s">
        <v>6</v>
      </c>
      <c r="D26" s="33"/>
      <c r="E26" s="103" t="s">
        <v>6</v>
      </c>
      <c r="F26" s="104" t="s">
        <v>140</v>
      </c>
      <c r="G26" s="104" t="s">
        <v>140</v>
      </c>
      <c r="H26" s="109"/>
      <c r="I26" s="109"/>
      <c r="J26" s="103" t="s">
        <v>6</v>
      </c>
      <c r="K26" s="33"/>
      <c r="L26" s="110" t="s">
        <v>8</v>
      </c>
      <c r="M26" s="104" t="s">
        <v>140</v>
      </c>
      <c r="N26" s="110" t="s">
        <v>8</v>
      </c>
      <c r="O26" s="1"/>
      <c r="P26" s="1"/>
      <c r="Q26" s="110" t="s">
        <v>8</v>
      </c>
      <c r="R26" s="33"/>
      <c r="S26" s="110" t="s">
        <v>8</v>
      </c>
      <c r="T26" s="110" t="s">
        <v>8</v>
      </c>
      <c r="U26" s="110" t="s">
        <v>8</v>
      </c>
      <c r="V26" s="33"/>
      <c r="W26" s="33"/>
      <c r="X26" s="110" t="s">
        <v>8</v>
      </c>
      <c r="Y26" s="33"/>
      <c r="Z26" s="110" t="s">
        <v>8</v>
      </c>
      <c r="AA26" s="110" t="s">
        <v>8</v>
      </c>
      <c r="AB26" s="110" t="s">
        <v>8</v>
      </c>
      <c r="AC26" s="33"/>
      <c r="AD26" s="33"/>
      <c r="AE26" s="110" t="s">
        <v>8</v>
      </c>
      <c r="AF26" s="33"/>
      <c r="AG26" s="110" t="s">
        <v>8</v>
      </c>
      <c r="AH26" s="110" t="s">
        <v>8</v>
      </c>
      <c r="AI26" s="110" t="s">
        <v>8</v>
      </c>
      <c r="AJ26" s="109"/>
      <c r="AK26" s="109"/>
      <c r="AL26" s="110" t="s">
        <v>8</v>
      </c>
      <c r="AM26" s="33"/>
      <c r="AN26" s="110" t="s">
        <v>8</v>
      </c>
      <c r="AO26" s="110" t="s">
        <v>8</v>
      </c>
      <c r="AP26" s="110" t="s">
        <v>8</v>
      </c>
      <c r="AQ26" s="1"/>
      <c r="AR26" s="1"/>
      <c r="AS26" s="110" t="s">
        <v>8</v>
      </c>
      <c r="AT26" s="33"/>
      <c r="AU26" s="122"/>
      <c r="AV26" s="122"/>
      <c r="AW26" s="122"/>
      <c r="AX26" s="33"/>
      <c r="AY26" s="33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5"/>
      <c r="BK26" s="125"/>
      <c r="BL26" s="114"/>
      <c r="BM26" s="114"/>
      <c r="BN26" s="122"/>
      <c r="BO26" s="122"/>
      <c r="BP26" s="122"/>
      <c r="BQ26" s="122"/>
      <c r="BR26" s="122"/>
      <c r="BS26" s="123"/>
      <c r="BT26" s="123"/>
      <c r="BU26" s="122"/>
      <c r="BV26" s="122"/>
      <c r="BW26" s="122"/>
      <c r="BX26" s="122"/>
      <c r="BY26" s="122"/>
      <c r="BZ26" s="122"/>
      <c r="CA26" s="122"/>
      <c r="CB26" s="122"/>
      <c r="CC26" s="122"/>
      <c r="CD26" s="122"/>
      <c r="CE26" s="122"/>
      <c r="CF26" s="122"/>
      <c r="CG26" s="122"/>
      <c r="CH26" s="122"/>
      <c r="CI26" s="122"/>
      <c r="CJ26" s="122"/>
      <c r="CK26" s="122"/>
      <c r="CL26" s="122"/>
      <c r="CM26" s="122"/>
      <c r="CN26" s="114"/>
      <c r="CO26" s="114"/>
      <c r="CP26" s="122"/>
      <c r="CQ26" s="122"/>
      <c r="CR26" s="122"/>
      <c r="CS26" s="122"/>
      <c r="CT26" s="122"/>
      <c r="CU26" s="123"/>
      <c r="CV26" s="123"/>
      <c r="CW26" s="122"/>
      <c r="CX26" s="122"/>
      <c r="CY26" s="122"/>
      <c r="CZ26" s="122"/>
      <c r="DA26" s="122"/>
      <c r="DB26" s="33"/>
      <c r="DC26" s="33"/>
      <c r="DD26" s="104" t="s">
        <v>140</v>
      </c>
      <c r="DE26" s="33"/>
      <c r="DF26" s="124"/>
      <c r="DG26" s="124"/>
      <c r="DH26" s="124"/>
      <c r="DI26" s="33"/>
      <c r="DJ26" s="33"/>
      <c r="DW26" s="1"/>
      <c r="DX26" s="1"/>
      <c r="DY26" s="104" t="s">
        <v>140</v>
      </c>
      <c r="DZ26" s="33"/>
      <c r="EA26" s="122"/>
      <c r="EB26" s="122"/>
      <c r="EC26" s="122"/>
      <c r="ED26" s="122"/>
      <c r="EE26" s="122"/>
      <c r="EF26" s="110" t="s">
        <v>8</v>
      </c>
      <c r="EG26" s="122"/>
      <c r="EH26" s="106" t="s">
        <v>283</v>
      </c>
      <c r="EI26" s="110" t="s">
        <v>8</v>
      </c>
      <c r="EJ26" s="110" t="s">
        <v>8</v>
      </c>
      <c r="EK26" s="122"/>
      <c r="EL26" s="122"/>
      <c r="EM26" s="110" t="s">
        <v>8</v>
      </c>
      <c r="EN26" s="110" t="s">
        <v>8</v>
      </c>
      <c r="EO26" s="110" t="s">
        <v>8</v>
      </c>
      <c r="EP26" s="104" t="s">
        <v>140</v>
      </c>
      <c r="EQ26" s="110" t="s">
        <v>8</v>
      </c>
      <c r="ER26" s="114"/>
      <c r="ES26" s="114"/>
      <c r="ET26" s="125" t="s">
        <v>8</v>
      </c>
      <c r="EU26" s="122"/>
      <c r="EV26" s="106" t="s">
        <v>283</v>
      </c>
      <c r="EW26" s="110" t="s">
        <v>8</v>
      </c>
      <c r="EX26" s="110" t="s">
        <v>8</v>
      </c>
      <c r="EY26" s="123"/>
      <c r="EZ26" s="123"/>
      <c r="FA26" s="104" t="s">
        <v>140</v>
      </c>
      <c r="FB26" s="33"/>
      <c r="FC26" s="110" t="s">
        <v>8</v>
      </c>
      <c r="FD26" s="110" t="s">
        <v>8</v>
      </c>
      <c r="FE26" s="110" t="s">
        <v>8</v>
      </c>
      <c r="FF26" s="122"/>
      <c r="FG26" s="122"/>
      <c r="FH26" s="110" t="s">
        <v>8</v>
      </c>
      <c r="FI26" s="110" t="s">
        <v>8</v>
      </c>
      <c r="FJ26" s="106" t="s">
        <v>283</v>
      </c>
      <c r="FK26" s="110" t="s">
        <v>8</v>
      </c>
      <c r="FL26" s="110" t="s">
        <v>8</v>
      </c>
      <c r="FM26" s="122"/>
      <c r="FN26" s="122"/>
      <c r="FO26" s="110" t="s">
        <v>8</v>
      </c>
      <c r="FP26" s="122"/>
      <c r="FQ26" s="110" t="s">
        <v>8</v>
      </c>
      <c r="FR26" s="110" t="s">
        <v>8</v>
      </c>
      <c r="FS26" s="110" t="s">
        <v>8</v>
      </c>
      <c r="FT26" s="109"/>
      <c r="FU26" s="109"/>
      <c r="FV26" s="110" t="s">
        <v>8</v>
      </c>
      <c r="FW26" s="33"/>
      <c r="FX26" s="186" t="s">
        <v>307</v>
      </c>
      <c r="FY26" s="186" t="s">
        <v>307</v>
      </c>
      <c r="FZ26" s="186" t="s">
        <v>307</v>
      </c>
      <c r="GA26" s="1"/>
      <c r="GB26" s="1"/>
      <c r="GC26" s="110" t="s">
        <v>8</v>
      </c>
      <c r="GD26" s="122"/>
      <c r="GE26" s="110" t="s">
        <v>8</v>
      </c>
      <c r="GF26" s="110" t="s">
        <v>8</v>
      </c>
      <c r="GG26" s="110" t="s">
        <v>8</v>
      </c>
      <c r="GH26" s="33"/>
      <c r="GI26" s="33"/>
      <c r="GJ26" s="110" t="s">
        <v>8</v>
      </c>
      <c r="GK26" s="122"/>
      <c r="GL26" s="110" t="s">
        <v>8</v>
      </c>
      <c r="GM26" s="110" t="s">
        <v>8</v>
      </c>
      <c r="GN26" s="110" t="s">
        <v>8</v>
      </c>
      <c r="GO26" s="122"/>
      <c r="GP26" s="122"/>
      <c r="GQ26" s="110" t="s">
        <v>8</v>
      </c>
      <c r="GR26" s="122"/>
      <c r="GS26" s="110" t="s">
        <v>8</v>
      </c>
      <c r="GT26" s="110" t="s">
        <v>8</v>
      </c>
      <c r="GU26" s="110" t="s">
        <v>8</v>
      </c>
      <c r="GV26" s="109"/>
      <c r="GW26" s="109"/>
      <c r="GX26" s="110" t="s">
        <v>8</v>
      </c>
      <c r="GY26" s="33"/>
      <c r="GZ26" s="110" t="s">
        <v>8</v>
      </c>
      <c r="HA26" s="110" t="s">
        <v>8</v>
      </c>
      <c r="HB26" s="110" t="s">
        <v>8</v>
      </c>
      <c r="HC26" s="1"/>
      <c r="HD26" s="1"/>
      <c r="HE26" s="110" t="s">
        <v>8</v>
      </c>
      <c r="HF26" s="33"/>
      <c r="HG26" s="110" t="s">
        <v>8</v>
      </c>
      <c r="HH26" s="110" t="s">
        <v>8</v>
      </c>
      <c r="HI26" s="110" t="s">
        <v>8</v>
      </c>
      <c r="HJ26" s="33"/>
      <c r="HK26" s="33"/>
      <c r="HL26" s="110" t="s">
        <v>8</v>
      </c>
      <c r="HM26" s="33"/>
      <c r="HN26" s="110" t="s">
        <v>8</v>
      </c>
      <c r="HO26" s="110" t="s">
        <v>8</v>
      </c>
      <c r="HP26" s="110" t="s">
        <v>8</v>
      </c>
      <c r="HQ26" s="1"/>
      <c r="HR26" s="1"/>
      <c r="HS26" s="110" t="s">
        <v>8</v>
      </c>
      <c r="HT26" s="33"/>
      <c r="HU26" s="110" t="s">
        <v>8</v>
      </c>
      <c r="HV26" s="110" t="s">
        <v>8</v>
      </c>
      <c r="HW26" s="110" t="s">
        <v>8</v>
      </c>
      <c r="HX26" s="109"/>
      <c r="HY26" s="109"/>
      <c r="HZ26" s="110" t="s">
        <v>8</v>
      </c>
      <c r="IA26" s="33"/>
      <c r="IB26" s="110" t="s">
        <v>8</v>
      </c>
      <c r="IC26" s="110" t="s">
        <v>8</v>
      </c>
      <c r="ID26" s="115" t="s">
        <v>307</v>
      </c>
      <c r="IE26" s="1"/>
      <c r="IF26" s="1"/>
      <c r="IG26" s="110" t="s">
        <v>8</v>
      </c>
      <c r="IH26" s="33"/>
      <c r="II26" s="110" t="s">
        <v>8</v>
      </c>
      <c r="IJ26" s="110" t="s">
        <v>8</v>
      </c>
      <c r="IK26" s="110" t="s">
        <v>8</v>
      </c>
      <c r="IL26" s="33"/>
      <c r="IM26" s="33"/>
      <c r="IN26" s="122"/>
      <c r="IO26" s="122"/>
      <c r="IP26" s="122"/>
      <c r="IQ26" s="122"/>
      <c r="IR26" s="122"/>
      <c r="IS26" s="122"/>
      <c r="IT26" s="122"/>
      <c r="IU26" s="122"/>
      <c r="IV26" s="122"/>
      <c r="IW26" s="122"/>
      <c r="IX26" s="122"/>
      <c r="IY26" s="122"/>
      <c r="IZ26" s="114"/>
      <c r="JA26" s="114"/>
      <c r="JB26" s="122"/>
      <c r="JC26" s="122"/>
      <c r="JD26" s="122"/>
      <c r="JE26" s="122"/>
      <c r="JF26" s="122"/>
      <c r="JG26" s="123"/>
      <c r="JH26" s="123"/>
      <c r="JI26" s="122"/>
      <c r="JJ26" s="122"/>
      <c r="JK26" s="122"/>
      <c r="JL26" s="122"/>
      <c r="JM26" s="122"/>
      <c r="JN26" s="122"/>
      <c r="JO26" s="122"/>
      <c r="JP26" s="122"/>
      <c r="JQ26" s="122"/>
      <c r="JR26" s="122"/>
      <c r="JS26" s="122"/>
      <c r="JT26" s="122"/>
      <c r="JU26" s="122"/>
      <c r="JV26" s="122"/>
      <c r="JW26" s="122"/>
      <c r="JX26" s="122"/>
      <c r="JY26" s="122"/>
      <c r="JZ26" s="122"/>
      <c r="KA26" s="122"/>
      <c r="KB26" s="114"/>
      <c r="KC26" s="114"/>
      <c r="KD26" s="122"/>
      <c r="KE26" s="122"/>
      <c r="KF26" s="122"/>
      <c r="KG26" s="122"/>
      <c r="KH26" s="122"/>
      <c r="KI26" s="123"/>
      <c r="KJ26" s="123"/>
      <c r="KK26" s="122"/>
      <c r="KL26" s="122"/>
      <c r="KM26" s="122"/>
      <c r="KN26" s="122"/>
      <c r="KO26" s="122"/>
      <c r="KP26" s="122"/>
      <c r="KQ26" s="122"/>
      <c r="KR26" s="122"/>
      <c r="KS26" s="122"/>
      <c r="KT26" s="122"/>
      <c r="KU26" s="122"/>
      <c r="KV26" s="122"/>
      <c r="KW26" s="122"/>
      <c r="KX26" s="122"/>
      <c r="KY26" s="122"/>
      <c r="KZ26" s="122"/>
      <c r="LA26" s="122"/>
      <c r="LB26" s="122"/>
      <c r="LC26" s="122"/>
      <c r="LD26" s="114"/>
      <c r="LE26" s="114"/>
      <c r="LF26" s="122"/>
      <c r="LG26" s="122"/>
      <c r="LH26" s="122"/>
      <c r="LI26" s="122"/>
      <c r="LJ26" s="122"/>
      <c r="LK26" s="123"/>
      <c r="LL26" s="123"/>
      <c r="LM26" s="122"/>
      <c r="LN26" s="122"/>
      <c r="LO26" s="122"/>
      <c r="LP26" s="122"/>
      <c r="LQ26" s="122"/>
      <c r="LR26" s="122"/>
      <c r="LS26" s="122"/>
      <c r="LT26" s="122"/>
      <c r="LU26" s="122"/>
      <c r="LV26" s="122"/>
      <c r="LW26" s="122"/>
      <c r="LX26" s="122"/>
      <c r="LY26" s="123"/>
      <c r="LZ26" s="123"/>
      <c r="MA26" s="122"/>
      <c r="MB26" s="122"/>
      <c r="MC26" s="122"/>
      <c r="MD26" s="122"/>
      <c r="ME26" s="122"/>
      <c r="MF26" s="114"/>
      <c r="MG26" s="114"/>
      <c r="MH26" s="122"/>
      <c r="MI26" s="122"/>
      <c r="MJ26" s="122"/>
      <c r="MK26" s="122"/>
      <c r="ML26" s="122"/>
      <c r="MM26" s="123"/>
      <c r="MN26" s="123"/>
      <c r="MO26" s="122"/>
      <c r="MP26" s="122"/>
      <c r="MQ26" s="122"/>
      <c r="MR26" s="122"/>
      <c r="MS26" s="122"/>
      <c r="MT26" s="122"/>
      <c r="MU26" s="122"/>
      <c r="MV26" s="122"/>
      <c r="MW26" s="122"/>
      <c r="MX26" s="122"/>
      <c r="MY26" s="122"/>
      <c r="MZ26" s="122"/>
      <c r="NA26" s="33"/>
      <c r="NB26" s="33"/>
      <c r="NC26" s="110" t="s">
        <v>8</v>
      </c>
      <c r="ND26" s="33"/>
      <c r="NE26" s="110" t="s">
        <v>8</v>
      </c>
      <c r="NF26" s="110" t="s">
        <v>8</v>
      </c>
      <c r="NG26" s="104" t="s">
        <v>140</v>
      </c>
      <c r="NH26" s="109"/>
      <c r="NI26" s="109"/>
      <c r="NJ26" s="110" t="s">
        <v>8</v>
      </c>
      <c r="NK26" s="33"/>
      <c r="NL26" s="110" t="s">
        <v>8</v>
      </c>
      <c r="NM26" s="110" t="s">
        <v>8</v>
      </c>
      <c r="NN26" s="104" t="s">
        <v>140</v>
      </c>
      <c r="NO26" s="1"/>
      <c r="NP26" s="1"/>
      <c r="NQ26" s="33"/>
      <c r="NR26" s="33"/>
      <c r="NS26" s="33"/>
      <c r="NT26" s="33"/>
      <c r="NU26" s="33"/>
      <c r="NV26" s="33"/>
      <c r="NW26" s="33"/>
      <c r="NX26" s="33"/>
      <c r="NY26" s="33"/>
      <c r="NZ26" s="33"/>
      <c r="OA26" s="145"/>
      <c r="OB26" s="149"/>
    </row>
    <row r="27" spans="1:411">
      <c r="A27" s="97"/>
      <c r="B27" s="63"/>
      <c r="C27" s="33"/>
      <c r="D27" s="33"/>
      <c r="E27" s="33"/>
      <c r="F27" s="33"/>
      <c r="G27" s="33"/>
      <c r="H27" s="109"/>
      <c r="I27" s="109"/>
      <c r="J27" s="33"/>
      <c r="K27" s="33"/>
      <c r="L27" s="33"/>
      <c r="M27" s="33"/>
      <c r="N27" s="33"/>
      <c r="O27" s="1"/>
      <c r="P27" s="1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109"/>
      <c r="AK27" s="109"/>
      <c r="AL27" s="33"/>
      <c r="AM27" s="33"/>
      <c r="AN27" s="33"/>
      <c r="AO27" s="33"/>
      <c r="AP27" s="33"/>
      <c r="AQ27" s="1"/>
      <c r="AR27" s="1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109"/>
      <c r="BM27" s="109"/>
      <c r="BN27" s="33"/>
      <c r="BO27" s="33"/>
      <c r="BP27" s="33"/>
      <c r="BQ27" s="33"/>
      <c r="BR27" s="33"/>
      <c r="BS27" s="1"/>
      <c r="BT27" s="1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109"/>
      <c r="CO27" s="109"/>
      <c r="CP27" s="33"/>
      <c r="CQ27" s="33"/>
      <c r="CR27" s="33"/>
      <c r="CS27" s="33"/>
      <c r="CT27" s="33"/>
      <c r="CU27" s="1"/>
      <c r="CV27" s="1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109"/>
      <c r="DQ27" s="109"/>
      <c r="DR27" s="33"/>
      <c r="DS27" s="33"/>
      <c r="DT27" s="33"/>
      <c r="DU27" s="33"/>
      <c r="DV27" s="33"/>
      <c r="DW27" s="1"/>
      <c r="DX27" s="1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  <c r="EM27" s="33"/>
      <c r="EN27" s="33"/>
      <c r="EO27" s="33"/>
      <c r="EP27" s="33"/>
      <c r="EQ27" s="33"/>
      <c r="ER27" s="109"/>
      <c r="ES27" s="109"/>
      <c r="ET27" s="33"/>
      <c r="EU27" s="33"/>
      <c r="EV27" s="33"/>
      <c r="EW27" s="33"/>
      <c r="EX27" s="33"/>
      <c r="EY27" s="1"/>
      <c r="EZ27" s="1"/>
      <c r="FA27" s="33"/>
      <c r="FB27" s="33"/>
      <c r="FC27" s="33"/>
      <c r="FD27" s="33"/>
      <c r="FE27" s="33"/>
      <c r="FF27" s="33"/>
      <c r="FG27" s="33"/>
      <c r="FH27" s="33"/>
      <c r="FI27" s="33"/>
      <c r="FJ27" s="33"/>
      <c r="FK27" s="33"/>
      <c r="FL27" s="33"/>
      <c r="FM27" s="33"/>
      <c r="FN27" s="33"/>
      <c r="FO27" s="33"/>
      <c r="FP27" s="33"/>
      <c r="FQ27" s="33"/>
      <c r="FR27" s="33"/>
      <c r="FS27" s="33"/>
      <c r="FT27" s="109"/>
      <c r="FU27" s="109"/>
      <c r="FV27" s="33"/>
      <c r="FW27" s="33"/>
      <c r="FX27" s="33"/>
      <c r="FY27" s="33"/>
      <c r="FZ27" s="33"/>
      <c r="GA27" s="1"/>
      <c r="GB27" s="1"/>
      <c r="GC27" s="33"/>
      <c r="GD27" s="33"/>
      <c r="GE27" s="33"/>
      <c r="GF27" s="33"/>
      <c r="GG27" s="33"/>
      <c r="GH27" s="33"/>
      <c r="GI27" s="33"/>
      <c r="GJ27" s="33"/>
      <c r="GK27" s="33"/>
      <c r="GL27" s="33"/>
      <c r="GM27" s="33"/>
      <c r="GN27" s="33"/>
      <c r="GO27" s="33"/>
      <c r="GP27" s="33"/>
      <c r="GQ27" s="33"/>
      <c r="GR27" s="33"/>
      <c r="GS27" s="33"/>
      <c r="GT27" s="33"/>
      <c r="GU27" s="33"/>
      <c r="GV27" s="109"/>
      <c r="GW27" s="109"/>
      <c r="GX27" s="33"/>
      <c r="GY27" s="33"/>
      <c r="GZ27" s="33"/>
      <c r="HA27" s="33"/>
      <c r="HB27" s="33"/>
      <c r="HC27" s="1"/>
      <c r="HD27" s="1"/>
      <c r="HE27" s="33"/>
      <c r="HF27" s="33"/>
      <c r="HG27" s="33"/>
      <c r="HH27" s="33"/>
      <c r="HI27" s="33"/>
      <c r="HJ27" s="33"/>
      <c r="HK27" s="33"/>
      <c r="HL27" s="33"/>
      <c r="HM27" s="33"/>
      <c r="HN27" s="33"/>
      <c r="HO27" s="33"/>
      <c r="HP27" s="33"/>
      <c r="HQ27" s="1"/>
      <c r="HR27" s="1"/>
      <c r="HS27" s="33"/>
      <c r="HT27" s="33"/>
      <c r="HU27" s="33"/>
      <c r="HV27" s="33"/>
      <c r="HW27" s="33"/>
      <c r="HX27" s="109"/>
      <c r="HY27" s="109"/>
      <c r="HZ27" s="33"/>
      <c r="IA27" s="33"/>
      <c r="IB27" s="33"/>
      <c r="IC27" s="33"/>
      <c r="ID27" s="33"/>
      <c r="IE27" s="1"/>
      <c r="IF27" s="1"/>
      <c r="IG27" s="33"/>
      <c r="IH27" s="33"/>
      <c r="II27" s="33"/>
      <c r="IJ27" s="33"/>
      <c r="IK27" s="33"/>
      <c r="IL27" s="33"/>
      <c r="IM27" s="33"/>
      <c r="IN27" s="33"/>
      <c r="IO27" s="33"/>
      <c r="IP27" s="33"/>
      <c r="IQ27" s="33"/>
      <c r="IR27" s="33"/>
      <c r="IS27" s="33"/>
      <c r="IT27" s="33"/>
      <c r="IU27" s="33"/>
      <c r="IV27" s="33"/>
      <c r="IW27" s="33"/>
      <c r="IX27" s="33"/>
      <c r="IY27" s="33"/>
      <c r="IZ27" s="109"/>
      <c r="JA27" s="109"/>
      <c r="JB27" s="33"/>
      <c r="JC27" s="33"/>
      <c r="JD27" s="33"/>
      <c r="JE27" s="33"/>
      <c r="JF27" s="33"/>
      <c r="JG27" s="1"/>
      <c r="JH27" s="1"/>
      <c r="JI27" s="33"/>
      <c r="JJ27" s="33"/>
      <c r="JK27" s="33"/>
      <c r="JL27" s="33"/>
      <c r="JM27" s="33"/>
      <c r="JN27" s="33"/>
      <c r="JO27" s="33"/>
      <c r="JP27" s="33"/>
      <c r="JQ27" s="33"/>
      <c r="JR27" s="33"/>
      <c r="JS27" s="33"/>
      <c r="JT27" s="33"/>
      <c r="JU27" s="33"/>
      <c r="JV27" s="33"/>
      <c r="JW27" s="33"/>
      <c r="JX27" s="33"/>
      <c r="JY27" s="33"/>
      <c r="JZ27" s="33"/>
      <c r="KA27" s="33"/>
      <c r="KB27" s="109"/>
      <c r="KC27" s="109"/>
      <c r="KD27" s="33"/>
      <c r="KE27" s="33"/>
      <c r="KF27" s="33"/>
      <c r="KG27" s="33"/>
      <c r="KH27" s="33"/>
      <c r="KI27" s="1"/>
      <c r="KJ27" s="1"/>
      <c r="KK27" s="33"/>
      <c r="KL27" s="33"/>
      <c r="KM27" s="33"/>
      <c r="KN27" s="33"/>
      <c r="KO27" s="33"/>
      <c r="KP27" s="33"/>
      <c r="KQ27" s="33"/>
      <c r="KR27" s="33"/>
      <c r="KS27" s="33"/>
      <c r="KT27" s="33"/>
      <c r="KU27" s="33"/>
      <c r="KV27" s="33"/>
      <c r="KW27" s="33"/>
      <c r="KX27" s="33"/>
      <c r="KY27" s="33"/>
      <c r="KZ27" s="33"/>
      <c r="LA27" s="33"/>
      <c r="LB27" s="33"/>
      <c r="LC27" s="33"/>
      <c r="LD27" s="109"/>
      <c r="LE27" s="109"/>
      <c r="LF27" s="33"/>
      <c r="LG27" s="33"/>
      <c r="LH27" s="33"/>
      <c r="LI27" s="33"/>
      <c r="LJ27" s="33"/>
      <c r="LK27" s="1"/>
      <c r="LL27" s="1"/>
      <c r="LM27" s="33"/>
      <c r="LN27" s="33"/>
      <c r="LO27" s="33"/>
      <c r="LP27" s="33"/>
      <c r="LQ27" s="33"/>
      <c r="LR27" s="33"/>
      <c r="LS27" s="33"/>
      <c r="LT27" s="33"/>
      <c r="LU27" s="33"/>
      <c r="LV27" s="33"/>
      <c r="LW27" s="33"/>
      <c r="LX27" s="33"/>
      <c r="LY27" s="1"/>
      <c r="LZ27" s="1"/>
      <c r="MA27" s="33"/>
      <c r="MB27" s="33"/>
      <c r="MC27" s="33"/>
      <c r="MD27" s="33"/>
      <c r="ME27" s="33"/>
      <c r="MF27" s="109"/>
      <c r="MG27" s="109"/>
      <c r="MH27" s="33"/>
      <c r="MI27" s="33"/>
      <c r="MJ27" s="33"/>
      <c r="MK27" s="33"/>
      <c r="ML27" s="33"/>
      <c r="MM27" s="1"/>
      <c r="MN27" s="1"/>
      <c r="MO27" s="33"/>
      <c r="MP27" s="33"/>
      <c r="MQ27" s="33"/>
      <c r="MR27" s="33"/>
      <c r="MS27" s="33"/>
      <c r="MT27" s="33"/>
      <c r="MU27" s="33"/>
      <c r="MV27" s="33"/>
      <c r="MW27" s="33"/>
      <c r="MX27" s="33"/>
      <c r="MY27" s="33"/>
      <c r="MZ27" s="33"/>
      <c r="NA27" s="33"/>
      <c r="NB27" s="33"/>
      <c r="NC27" s="33"/>
      <c r="ND27" s="33"/>
      <c r="NE27" s="33"/>
      <c r="NF27" s="33"/>
      <c r="NG27" s="33"/>
      <c r="NH27" s="109"/>
      <c r="NI27" s="109"/>
      <c r="NJ27" s="33"/>
      <c r="NK27" s="33"/>
      <c r="NL27" s="33"/>
      <c r="NM27" s="33"/>
      <c r="NN27" s="33"/>
      <c r="NO27" s="1"/>
      <c r="NP27" s="1"/>
      <c r="NQ27" s="33"/>
      <c r="NR27" s="33"/>
      <c r="NS27" s="33"/>
      <c r="NT27" s="33"/>
      <c r="NU27" s="33"/>
      <c r="NV27" s="33"/>
      <c r="NW27" s="33"/>
      <c r="NX27" s="33"/>
      <c r="NY27" s="33"/>
      <c r="NZ27" s="33"/>
      <c r="OA27" s="145"/>
      <c r="OB27" s="149"/>
    </row>
    <row r="28" spans="1:411" ht="14.45" customHeight="1">
      <c r="A28" s="97" t="s">
        <v>308</v>
      </c>
      <c r="B28" s="63" t="s">
        <v>309</v>
      </c>
      <c r="C28" s="110" t="s">
        <v>8</v>
      </c>
      <c r="D28" s="110" t="s">
        <v>8</v>
      </c>
      <c r="E28" s="110" t="s">
        <v>8</v>
      </c>
      <c r="F28" s="104" t="s">
        <v>140</v>
      </c>
      <c r="G28" s="104" t="s">
        <v>140</v>
      </c>
      <c r="H28" s="109"/>
      <c r="I28" s="109"/>
      <c r="J28" s="110" t="s">
        <v>8</v>
      </c>
      <c r="K28" s="110" t="s">
        <v>8</v>
      </c>
      <c r="L28" s="103" t="s">
        <v>6</v>
      </c>
      <c r="M28" s="33"/>
      <c r="N28" s="103" t="s">
        <v>6</v>
      </c>
      <c r="O28" s="1"/>
      <c r="P28" s="1"/>
      <c r="Q28" s="110" t="s">
        <v>8</v>
      </c>
      <c r="R28" s="110" t="s">
        <v>8</v>
      </c>
      <c r="S28" s="110" t="s">
        <v>8</v>
      </c>
      <c r="T28" s="33"/>
      <c r="U28" s="110" t="s">
        <v>8</v>
      </c>
      <c r="V28" s="33"/>
      <c r="W28" s="33"/>
      <c r="X28" s="110" t="s">
        <v>8</v>
      </c>
      <c r="Y28" s="110" t="s">
        <v>8</v>
      </c>
      <c r="Z28" s="110" t="s">
        <v>8</v>
      </c>
      <c r="AA28" s="33"/>
      <c r="AB28" s="110" t="s">
        <v>8</v>
      </c>
      <c r="AC28" s="33"/>
      <c r="AD28" s="33"/>
      <c r="AE28" s="110" t="s">
        <v>8</v>
      </c>
      <c r="AF28" s="110" t="s">
        <v>8</v>
      </c>
      <c r="AG28" s="110" t="s">
        <v>8</v>
      </c>
      <c r="AH28" s="33"/>
      <c r="AI28" s="103" t="s">
        <v>6</v>
      </c>
      <c r="AJ28" s="109"/>
      <c r="AK28" s="109"/>
      <c r="AL28" s="110" t="s">
        <v>8</v>
      </c>
      <c r="AM28" s="110" t="s">
        <v>8</v>
      </c>
      <c r="AN28" s="110" t="s">
        <v>8</v>
      </c>
      <c r="AO28" s="33"/>
      <c r="AP28" s="110" t="s">
        <v>8</v>
      </c>
      <c r="AQ28" s="1"/>
      <c r="AR28" s="1"/>
      <c r="AS28" s="110" t="s">
        <v>8</v>
      </c>
      <c r="AT28" s="110" t="s">
        <v>8</v>
      </c>
      <c r="AU28" s="110" t="s">
        <v>8</v>
      </c>
      <c r="AV28" s="33"/>
      <c r="AW28" s="110" t="s">
        <v>8</v>
      </c>
      <c r="AX28" s="33"/>
      <c r="AY28" s="33"/>
      <c r="AZ28" s="110" t="s">
        <v>8</v>
      </c>
      <c r="BA28" s="110" t="s">
        <v>8</v>
      </c>
      <c r="BB28" s="110" t="s">
        <v>8</v>
      </c>
      <c r="BC28" s="33"/>
      <c r="BD28" s="110" t="s">
        <v>8</v>
      </c>
      <c r="BE28" s="33"/>
      <c r="BF28" s="33"/>
      <c r="BG28" s="110" t="s">
        <v>8</v>
      </c>
      <c r="BH28" s="110" t="s">
        <v>8</v>
      </c>
      <c r="BI28" s="110" t="s">
        <v>8</v>
      </c>
      <c r="BJ28" s="33"/>
      <c r="BK28" s="110" t="s">
        <v>8</v>
      </c>
      <c r="BL28" s="109"/>
      <c r="BM28" s="109"/>
      <c r="BN28" s="110" t="s">
        <v>8</v>
      </c>
      <c r="BO28" s="110" t="s">
        <v>8</v>
      </c>
      <c r="BP28" s="110" t="s">
        <v>8</v>
      </c>
      <c r="BQ28" s="33"/>
      <c r="BR28" s="110" t="s">
        <v>8</v>
      </c>
      <c r="BS28" s="1"/>
      <c r="BT28" s="1"/>
      <c r="BU28" s="110" t="s">
        <v>8</v>
      </c>
      <c r="BV28" s="110" t="s">
        <v>8</v>
      </c>
      <c r="BW28" s="110" t="s">
        <v>8</v>
      </c>
      <c r="BX28" s="33"/>
      <c r="BY28" s="110" t="s">
        <v>8</v>
      </c>
      <c r="BZ28" s="33"/>
      <c r="CA28" s="33"/>
      <c r="CB28" s="110" t="s">
        <v>8</v>
      </c>
      <c r="CC28" s="110" t="s">
        <v>8</v>
      </c>
      <c r="CD28" s="110" t="s">
        <v>8</v>
      </c>
      <c r="CE28" s="33"/>
      <c r="CF28" s="110" t="s">
        <v>8</v>
      </c>
      <c r="CG28" s="33"/>
      <c r="CH28" s="33"/>
      <c r="CI28" s="110" t="s">
        <v>8</v>
      </c>
      <c r="CJ28" s="103" t="s">
        <v>6</v>
      </c>
      <c r="CK28" s="110" t="s">
        <v>8</v>
      </c>
      <c r="CL28" s="33"/>
      <c r="CM28" s="110" t="s">
        <v>8</v>
      </c>
      <c r="CN28" s="109"/>
      <c r="CO28" s="109"/>
      <c r="CP28" s="110" t="s">
        <v>8</v>
      </c>
      <c r="CQ28" s="110" t="s">
        <v>8</v>
      </c>
      <c r="CR28" s="110" t="s">
        <v>8</v>
      </c>
      <c r="CS28" s="33"/>
      <c r="CT28" s="115" t="s">
        <v>6</v>
      </c>
      <c r="CU28" s="1"/>
      <c r="CV28" s="1"/>
      <c r="CW28" s="110" t="s">
        <v>8</v>
      </c>
      <c r="CX28" s="110" t="s">
        <v>8</v>
      </c>
      <c r="CY28" s="110" t="s">
        <v>8</v>
      </c>
      <c r="CZ28" s="33"/>
      <c r="DA28" s="110" t="s">
        <v>8</v>
      </c>
      <c r="DB28" s="33"/>
      <c r="DC28" s="33"/>
      <c r="DD28" s="104" t="s">
        <v>140</v>
      </c>
      <c r="DE28" s="110" t="s">
        <v>8</v>
      </c>
      <c r="DF28" s="110" t="s">
        <v>8</v>
      </c>
      <c r="DG28" s="33"/>
      <c r="DH28" s="110" t="s">
        <v>8</v>
      </c>
      <c r="DI28" s="33"/>
      <c r="DJ28" s="33"/>
      <c r="DK28" s="110" t="s">
        <v>8</v>
      </c>
      <c r="DL28" s="110" t="s">
        <v>8</v>
      </c>
      <c r="DM28" s="129" t="s">
        <v>283</v>
      </c>
      <c r="DN28" s="33"/>
      <c r="DO28" s="110" t="s">
        <v>8</v>
      </c>
      <c r="DP28" s="109"/>
      <c r="DQ28" s="109"/>
      <c r="DR28" s="110" t="s">
        <v>8</v>
      </c>
      <c r="DS28" s="110" t="s">
        <v>8</v>
      </c>
      <c r="DT28" s="110" t="s">
        <v>8</v>
      </c>
      <c r="DU28" s="33"/>
      <c r="DV28" s="110" t="s">
        <v>8</v>
      </c>
      <c r="DW28" s="1"/>
      <c r="DX28" s="1"/>
      <c r="DY28" s="104" t="s">
        <v>140</v>
      </c>
      <c r="DZ28" s="110" t="s">
        <v>8</v>
      </c>
      <c r="EA28" s="110" t="s">
        <v>8</v>
      </c>
      <c r="EB28" s="33"/>
      <c r="EC28" s="110" t="s">
        <v>8</v>
      </c>
      <c r="ED28" s="33"/>
      <c r="EE28" s="33"/>
      <c r="EF28" s="110" t="s">
        <v>8</v>
      </c>
      <c r="EG28" s="110" t="s">
        <v>8</v>
      </c>
      <c r="EH28" s="110" t="s">
        <v>8</v>
      </c>
      <c r="EI28" s="33"/>
      <c r="EJ28" s="106" t="s">
        <v>283</v>
      </c>
      <c r="EK28" s="33"/>
      <c r="EL28" s="33"/>
      <c r="EM28" s="110" t="s">
        <v>8</v>
      </c>
      <c r="EN28" s="110" t="s">
        <v>8</v>
      </c>
      <c r="EO28" s="110" t="s">
        <v>8</v>
      </c>
      <c r="EP28" s="33"/>
      <c r="EQ28" s="110" t="s">
        <v>8</v>
      </c>
      <c r="ER28" s="109"/>
      <c r="ES28" s="109"/>
      <c r="ET28" s="125" t="s">
        <v>8</v>
      </c>
      <c r="EU28" s="115" t="s">
        <v>6</v>
      </c>
      <c r="EV28" s="115" t="s">
        <v>6</v>
      </c>
      <c r="EW28" s="33"/>
      <c r="EX28" s="115" t="s">
        <v>6</v>
      </c>
      <c r="EY28" s="1"/>
      <c r="EZ28" s="1"/>
      <c r="FA28" s="104" t="s">
        <v>140</v>
      </c>
      <c r="FB28" s="115" t="s">
        <v>6</v>
      </c>
      <c r="FC28" s="115" t="s">
        <v>6</v>
      </c>
      <c r="FD28" s="33"/>
      <c r="FE28" s="115" t="s">
        <v>6</v>
      </c>
      <c r="FF28" s="33"/>
      <c r="FG28" s="33"/>
      <c r="FH28" s="115" t="s">
        <v>6</v>
      </c>
      <c r="FI28" s="115" t="s">
        <v>6</v>
      </c>
      <c r="FJ28" s="115" t="s">
        <v>6</v>
      </c>
      <c r="FK28" s="33"/>
      <c r="FL28" s="115" t="s">
        <v>6</v>
      </c>
      <c r="FM28" s="33"/>
      <c r="FN28" s="33"/>
      <c r="FO28" s="110" t="s">
        <v>8</v>
      </c>
      <c r="FP28" s="110" t="s">
        <v>8</v>
      </c>
      <c r="FQ28" s="110" t="s">
        <v>8</v>
      </c>
      <c r="FR28" s="33"/>
      <c r="FS28" s="110" t="s">
        <v>8</v>
      </c>
      <c r="FT28" s="109"/>
      <c r="FU28" s="109"/>
      <c r="FV28" s="110" t="s">
        <v>8</v>
      </c>
      <c r="FW28" s="110" t="s">
        <v>8</v>
      </c>
      <c r="FX28" s="110" t="s">
        <v>8</v>
      </c>
      <c r="FY28" s="33"/>
      <c r="FZ28" s="125" t="s">
        <v>310</v>
      </c>
      <c r="GA28" s="1"/>
      <c r="GB28" s="1"/>
      <c r="GC28" s="110" t="s">
        <v>8</v>
      </c>
      <c r="GD28" s="110" t="s">
        <v>8</v>
      </c>
      <c r="GE28" s="110" t="s">
        <v>8</v>
      </c>
      <c r="GF28" s="33"/>
      <c r="GG28" s="110" t="s">
        <v>8</v>
      </c>
      <c r="GH28" s="33"/>
      <c r="GI28" s="33"/>
      <c r="GJ28" s="110" t="s">
        <v>8</v>
      </c>
      <c r="GK28" s="110" t="s">
        <v>8</v>
      </c>
      <c r="GL28" s="110" t="s">
        <v>8</v>
      </c>
      <c r="GM28" s="33"/>
      <c r="GN28" s="110" t="s">
        <v>8</v>
      </c>
      <c r="GO28" s="33"/>
      <c r="GP28" s="33"/>
      <c r="GQ28" s="110" t="s">
        <v>8</v>
      </c>
      <c r="GR28" s="110" t="s">
        <v>8</v>
      </c>
      <c r="GS28" s="110" t="s">
        <v>8</v>
      </c>
      <c r="GT28" s="33"/>
      <c r="GU28" s="110" t="s">
        <v>8</v>
      </c>
      <c r="GV28" s="109"/>
      <c r="GW28" s="109"/>
      <c r="GX28" s="110" t="s">
        <v>8</v>
      </c>
      <c r="GY28" s="110" t="s">
        <v>8</v>
      </c>
      <c r="GZ28" s="110" t="s">
        <v>8</v>
      </c>
      <c r="HA28" s="33"/>
      <c r="HB28" s="110" t="s">
        <v>8</v>
      </c>
      <c r="HC28" s="1"/>
      <c r="HD28" s="1"/>
      <c r="HE28" s="110" t="s">
        <v>8</v>
      </c>
      <c r="HF28" s="110" t="s">
        <v>8</v>
      </c>
      <c r="HG28" s="110" t="s">
        <v>8</v>
      </c>
      <c r="HH28" s="33"/>
      <c r="HI28" s="110" t="s">
        <v>8</v>
      </c>
      <c r="HJ28" s="33"/>
      <c r="HK28" s="33"/>
      <c r="HL28" s="110" t="s">
        <v>8</v>
      </c>
      <c r="HM28" s="110" t="s">
        <v>8</v>
      </c>
      <c r="HN28" s="110" t="s">
        <v>8</v>
      </c>
      <c r="HO28" s="33"/>
      <c r="HP28" s="110" t="s">
        <v>8</v>
      </c>
      <c r="HQ28" s="1"/>
      <c r="HR28" s="1"/>
      <c r="HS28" s="110" t="s">
        <v>8</v>
      </c>
      <c r="HT28" s="110" t="s">
        <v>8</v>
      </c>
      <c r="HU28" s="110" t="s">
        <v>8</v>
      </c>
      <c r="HV28" s="33"/>
      <c r="HW28" s="110" t="s">
        <v>8</v>
      </c>
      <c r="HX28" s="109"/>
      <c r="HY28" s="109"/>
      <c r="HZ28" s="110" t="s">
        <v>8</v>
      </c>
      <c r="IA28" s="110" t="s">
        <v>8</v>
      </c>
      <c r="IB28" s="110" t="s">
        <v>8</v>
      </c>
      <c r="IC28" s="33"/>
      <c r="ID28" s="115" t="s">
        <v>307</v>
      </c>
      <c r="IE28" s="1"/>
      <c r="IF28" s="1"/>
      <c r="IG28" s="110" t="s">
        <v>8</v>
      </c>
      <c r="IH28" s="110" t="s">
        <v>8</v>
      </c>
      <c r="II28" s="110" t="s">
        <v>8</v>
      </c>
      <c r="IJ28" s="33"/>
      <c r="IK28" s="110" t="s">
        <v>8</v>
      </c>
      <c r="IL28" s="33"/>
      <c r="IM28" s="33"/>
      <c r="IN28" s="110" t="s">
        <v>8</v>
      </c>
      <c r="IO28" s="110" t="s">
        <v>8</v>
      </c>
      <c r="IP28" s="110" t="s">
        <v>8</v>
      </c>
      <c r="IQ28" s="33"/>
      <c r="IR28" s="110" t="s">
        <v>8</v>
      </c>
      <c r="IS28" s="33"/>
      <c r="IT28" s="33"/>
      <c r="IU28" s="110" t="s">
        <v>8</v>
      </c>
      <c r="IV28" s="110" t="s">
        <v>8</v>
      </c>
      <c r="IW28" s="110" t="s">
        <v>8</v>
      </c>
      <c r="IX28" s="33"/>
      <c r="IY28" s="110" t="s">
        <v>8</v>
      </c>
      <c r="IZ28" s="109"/>
      <c r="JA28" s="109"/>
      <c r="JB28" s="110" t="s">
        <v>8</v>
      </c>
      <c r="JC28" s="110" t="s">
        <v>8</v>
      </c>
      <c r="JD28" s="110" t="s">
        <v>8</v>
      </c>
      <c r="JE28" s="33"/>
      <c r="JF28" s="110" t="s">
        <v>8</v>
      </c>
      <c r="JG28" s="1"/>
      <c r="JH28" s="1"/>
      <c r="JI28" s="110" t="s">
        <v>8</v>
      </c>
      <c r="JJ28" s="110" t="s">
        <v>8</v>
      </c>
      <c r="JK28" s="110" t="s">
        <v>8</v>
      </c>
      <c r="JL28" s="33"/>
      <c r="JM28" s="110" t="s">
        <v>8</v>
      </c>
      <c r="JN28" s="33"/>
      <c r="JO28" s="33"/>
      <c r="JP28" s="110" t="s">
        <v>8</v>
      </c>
      <c r="JQ28" s="110" t="s">
        <v>8</v>
      </c>
      <c r="JR28" s="110" t="s">
        <v>8</v>
      </c>
      <c r="JS28" s="33"/>
      <c r="JT28" s="110" t="s">
        <v>8</v>
      </c>
      <c r="JU28" s="33"/>
      <c r="JV28" s="33"/>
      <c r="JW28" s="110" t="s">
        <v>8</v>
      </c>
      <c r="JX28" s="110" t="s">
        <v>8</v>
      </c>
      <c r="JY28" s="110" t="s">
        <v>8</v>
      </c>
      <c r="JZ28" s="33"/>
      <c r="KA28" s="110" t="s">
        <v>8</v>
      </c>
      <c r="KB28" s="109"/>
      <c r="KC28" s="109"/>
      <c r="KD28" s="110" t="s">
        <v>8</v>
      </c>
      <c r="KE28" s="110" t="s">
        <v>8</v>
      </c>
      <c r="KF28" s="110" t="s">
        <v>8</v>
      </c>
      <c r="KG28" s="33"/>
      <c r="KH28" s="110" t="s">
        <v>8</v>
      </c>
      <c r="KI28" s="1"/>
      <c r="KJ28" s="1"/>
      <c r="KK28" s="110" t="s">
        <v>8</v>
      </c>
      <c r="KL28" s="110" t="s">
        <v>8</v>
      </c>
      <c r="KM28" s="110" t="s">
        <v>8</v>
      </c>
      <c r="KN28" s="33"/>
      <c r="KO28" s="110" t="s">
        <v>8</v>
      </c>
      <c r="KP28" s="33"/>
      <c r="KQ28" s="33"/>
      <c r="KR28" s="110" t="s">
        <v>8</v>
      </c>
      <c r="KS28" s="110" t="s">
        <v>8</v>
      </c>
      <c r="KT28" s="110" t="s">
        <v>8</v>
      </c>
      <c r="KU28" s="33"/>
      <c r="KV28" s="110" t="s">
        <v>8</v>
      </c>
      <c r="KW28" s="33"/>
      <c r="KX28" s="33"/>
      <c r="KY28" s="110" t="s">
        <v>8</v>
      </c>
      <c r="KZ28" s="110" t="s">
        <v>8</v>
      </c>
      <c r="LA28" s="110" t="s">
        <v>8</v>
      </c>
      <c r="LB28" s="33"/>
      <c r="LC28" s="110" t="s">
        <v>8</v>
      </c>
      <c r="LD28" s="109"/>
      <c r="LE28" s="109"/>
      <c r="LF28" s="110" t="s">
        <v>8</v>
      </c>
      <c r="LG28" s="110" t="s">
        <v>8</v>
      </c>
      <c r="LH28" s="110" t="s">
        <v>8</v>
      </c>
      <c r="LI28" s="33"/>
      <c r="LJ28" s="110" t="s">
        <v>8</v>
      </c>
      <c r="LK28" s="1"/>
      <c r="LL28" s="1"/>
      <c r="LM28" s="110" t="s">
        <v>8</v>
      </c>
      <c r="LN28" s="110" t="s">
        <v>8</v>
      </c>
      <c r="LO28" s="110" t="s">
        <v>8</v>
      </c>
      <c r="LP28" s="33"/>
      <c r="LQ28" s="110" t="s">
        <v>8</v>
      </c>
      <c r="LR28" s="33"/>
      <c r="LS28" s="33"/>
      <c r="LT28" s="110" t="s">
        <v>8</v>
      </c>
      <c r="LU28" s="110" t="s">
        <v>8</v>
      </c>
      <c r="LV28" s="110" t="s">
        <v>8</v>
      </c>
      <c r="LW28" s="33"/>
      <c r="LX28" s="110" t="s">
        <v>8</v>
      </c>
      <c r="LY28" s="1"/>
      <c r="LZ28" s="1"/>
      <c r="MA28" s="110" t="s">
        <v>8</v>
      </c>
      <c r="MB28" s="110" t="s">
        <v>8</v>
      </c>
      <c r="MC28" s="110" t="s">
        <v>8</v>
      </c>
      <c r="MD28" s="33"/>
      <c r="ME28" s="110" t="s">
        <v>8</v>
      </c>
      <c r="MF28" s="109"/>
      <c r="MG28" s="109"/>
      <c r="MH28" s="110" t="s">
        <v>8</v>
      </c>
      <c r="MI28" s="110" t="s">
        <v>8</v>
      </c>
      <c r="MJ28" s="110" t="s">
        <v>8</v>
      </c>
      <c r="MK28" s="33"/>
      <c r="ML28" s="110" t="s">
        <v>8</v>
      </c>
      <c r="MM28" s="1"/>
      <c r="MN28" s="1"/>
      <c r="MO28" s="110" t="s">
        <v>8</v>
      </c>
      <c r="MP28" s="110" t="s">
        <v>8</v>
      </c>
      <c r="MQ28" s="110" t="s">
        <v>8</v>
      </c>
      <c r="MR28" s="33"/>
      <c r="MS28" s="110" t="s">
        <v>8</v>
      </c>
      <c r="MT28" s="33"/>
      <c r="MU28" s="33"/>
      <c r="MV28" s="110" t="s">
        <v>8</v>
      </c>
      <c r="MW28" s="110" t="s">
        <v>8</v>
      </c>
      <c r="MX28" s="110" t="s">
        <v>8</v>
      </c>
      <c r="MY28" s="33"/>
      <c r="MZ28" s="110" t="s">
        <v>8</v>
      </c>
      <c r="NA28" s="33"/>
      <c r="NB28" s="33"/>
      <c r="NC28" s="110" t="s">
        <v>8</v>
      </c>
      <c r="ND28" s="110" t="s">
        <v>8</v>
      </c>
      <c r="NE28" s="110" t="s">
        <v>8</v>
      </c>
      <c r="NF28" s="33"/>
      <c r="NG28" s="104" t="s">
        <v>140</v>
      </c>
      <c r="NH28" s="109"/>
      <c r="NI28" s="109"/>
      <c r="NJ28" s="110" t="s">
        <v>8</v>
      </c>
      <c r="NK28" s="110" t="s">
        <v>8</v>
      </c>
      <c r="NL28" s="110" t="s">
        <v>8</v>
      </c>
      <c r="NM28" s="33"/>
      <c r="NN28" s="104" t="s">
        <v>140</v>
      </c>
      <c r="NO28" s="1"/>
      <c r="NP28" s="1"/>
      <c r="NQ28" s="33"/>
      <c r="NR28" s="33"/>
      <c r="NS28" s="33"/>
      <c r="NT28" s="33"/>
      <c r="NU28" s="33"/>
      <c r="NV28" s="33"/>
      <c r="NW28" s="33"/>
      <c r="NX28" s="33"/>
      <c r="NY28" s="33"/>
      <c r="NZ28" s="33"/>
      <c r="OA28" s="145"/>
      <c r="OB28" s="149"/>
    </row>
    <row r="29" spans="1:411">
      <c r="A29" s="97"/>
      <c r="B29" s="63"/>
      <c r="C29" s="33"/>
      <c r="D29" s="33"/>
      <c r="E29" s="33"/>
      <c r="F29" s="33"/>
      <c r="G29" s="33"/>
      <c r="H29" s="109"/>
      <c r="I29" s="109"/>
      <c r="J29" s="33"/>
      <c r="K29" s="33"/>
      <c r="L29" s="33"/>
      <c r="M29" s="33"/>
      <c r="N29" s="33"/>
      <c r="O29" s="1"/>
      <c r="P29" s="1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109"/>
      <c r="AK29" s="109"/>
      <c r="AL29" s="33"/>
      <c r="AM29" s="33"/>
      <c r="AN29" s="33"/>
      <c r="AO29" s="33"/>
      <c r="AP29" s="33"/>
      <c r="AQ29" s="1"/>
      <c r="AR29" s="1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109"/>
      <c r="BM29" s="109"/>
      <c r="BN29" s="33"/>
      <c r="BO29" s="33"/>
      <c r="BP29" s="33"/>
      <c r="BQ29" s="33"/>
      <c r="BR29" s="33"/>
      <c r="BS29" s="1"/>
      <c r="BT29" s="1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109"/>
      <c r="CO29" s="109"/>
      <c r="CP29" s="33"/>
      <c r="CQ29" s="33"/>
      <c r="CR29" s="33"/>
      <c r="CS29" s="33"/>
      <c r="CT29" s="33"/>
      <c r="CU29" s="1"/>
      <c r="CV29" s="1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109"/>
      <c r="DQ29" s="109"/>
      <c r="DR29" s="33"/>
      <c r="DS29" s="33"/>
      <c r="DT29" s="33"/>
      <c r="DU29" s="33"/>
      <c r="DV29" s="33"/>
      <c r="DW29" s="1"/>
      <c r="DX29" s="1"/>
      <c r="DY29" s="33"/>
      <c r="DZ29" s="33"/>
      <c r="EA29" s="33"/>
      <c r="EB29" s="33"/>
      <c r="EC29" s="33"/>
      <c r="ED29" s="33"/>
      <c r="EE29" s="33"/>
      <c r="EF29" s="33"/>
      <c r="EG29" s="33"/>
      <c r="EH29" s="33"/>
      <c r="EI29" s="33"/>
      <c r="EJ29" s="33"/>
      <c r="EK29" s="33"/>
      <c r="EL29" s="33"/>
      <c r="EM29" s="33"/>
      <c r="EN29" s="33"/>
      <c r="EO29" s="33"/>
      <c r="EP29" s="33"/>
      <c r="EQ29" s="33"/>
      <c r="ER29" s="109"/>
      <c r="ES29" s="109"/>
      <c r="ET29" s="33"/>
      <c r="EU29" s="33"/>
      <c r="EV29" s="33"/>
      <c r="EW29" s="33"/>
      <c r="EX29" s="33"/>
      <c r="EY29" s="1"/>
      <c r="EZ29" s="1"/>
      <c r="FA29" s="33"/>
      <c r="FB29" s="33"/>
      <c r="FC29" s="33"/>
      <c r="FD29" s="33"/>
      <c r="FE29" s="33"/>
      <c r="FF29" s="33"/>
      <c r="FG29" s="33"/>
      <c r="FH29" s="33"/>
      <c r="FI29" s="33"/>
      <c r="FJ29" s="33"/>
      <c r="FK29" s="33"/>
      <c r="FL29" s="33"/>
      <c r="FM29" s="33"/>
      <c r="FN29" s="33"/>
      <c r="FO29" s="33"/>
      <c r="FP29" s="33"/>
      <c r="FQ29" s="33"/>
      <c r="FR29" s="33"/>
      <c r="FS29" s="33"/>
      <c r="FT29" s="109"/>
      <c r="FU29" s="109"/>
      <c r="FV29" s="33"/>
      <c r="FW29" s="33"/>
      <c r="FX29" s="33"/>
      <c r="FY29" s="33"/>
      <c r="FZ29" s="33"/>
      <c r="GA29" s="1"/>
      <c r="GB29" s="1"/>
      <c r="GC29" s="33"/>
      <c r="GD29" s="33"/>
      <c r="GE29" s="33"/>
      <c r="GF29" s="33"/>
      <c r="GG29" s="33"/>
      <c r="GH29" s="33"/>
      <c r="GI29" s="33"/>
      <c r="GJ29" s="33"/>
      <c r="GK29" s="33"/>
      <c r="GL29" s="33"/>
      <c r="GM29" s="33"/>
      <c r="GN29" s="33"/>
      <c r="GO29" s="33"/>
      <c r="GP29" s="33"/>
      <c r="GQ29" s="33"/>
      <c r="GR29" s="33"/>
      <c r="GS29" s="33"/>
      <c r="GT29" s="33"/>
      <c r="GU29" s="33"/>
      <c r="GV29" s="109"/>
      <c r="GW29" s="109"/>
      <c r="GX29" s="33"/>
      <c r="GY29" s="33"/>
      <c r="GZ29" s="33"/>
      <c r="HA29" s="33"/>
      <c r="HB29" s="33"/>
      <c r="HC29" s="1"/>
      <c r="HD29" s="1"/>
      <c r="HE29" s="33"/>
      <c r="HF29" s="33"/>
      <c r="HG29" s="33"/>
      <c r="HH29" s="33"/>
      <c r="HI29" s="33"/>
      <c r="HJ29" s="33"/>
      <c r="HK29" s="33"/>
      <c r="HL29" s="33"/>
      <c r="HM29" s="33"/>
      <c r="HN29" s="33"/>
      <c r="HO29" s="33"/>
      <c r="HP29" s="33"/>
      <c r="HQ29" s="1"/>
      <c r="HR29" s="1"/>
      <c r="HS29" s="33"/>
      <c r="HT29" s="33"/>
      <c r="HU29" s="33"/>
      <c r="HV29" s="33"/>
      <c r="HW29" s="33"/>
      <c r="HX29" s="109"/>
      <c r="HY29" s="109"/>
      <c r="HZ29" s="33"/>
      <c r="IA29" s="33"/>
      <c r="IB29" s="33"/>
      <c r="IC29" s="33"/>
      <c r="ID29" s="33"/>
      <c r="IE29" s="1"/>
      <c r="IF29" s="1"/>
      <c r="IG29" s="33"/>
      <c r="IH29" s="33"/>
      <c r="II29" s="33"/>
      <c r="IJ29" s="33"/>
      <c r="IK29" s="33"/>
      <c r="IL29" s="33"/>
      <c r="IM29" s="33"/>
      <c r="IN29" s="33"/>
      <c r="IO29" s="33"/>
      <c r="IP29" s="33"/>
      <c r="IQ29" s="33"/>
      <c r="IR29" s="33"/>
      <c r="IS29" s="33"/>
      <c r="IT29" s="33"/>
      <c r="IU29" s="33"/>
      <c r="IV29" s="33"/>
      <c r="IW29" s="33"/>
      <c r="IX29" s="33"/>
      <c r="IY29" s="33"/>
      <c r="IZ29" s="109"/>
      <c r="JA29" s="109"/>
      <c r="JB29" s="33"/>
      <c r="JC29" s="33"/>
      <c r="JD29" s="33"/>
      <c r="JE29" s="33"/>
      <c r="JF29" s="33"/>
      <c r="JG29" s="1"/>
      <c r="JH29" s="1"/>
      <c r="JI29" s="33"/>
      <c r="JJ29" s="33"/>
      <c r="JK29" s="33"/>
      <c r="JL29" s="33"/>
      <c r="JM29" s="33"/>
      <c r="JN29" s="33"/>
      <c r="JO29" s="33"/>
      <c r="JP29" s="33"/>
      <c r="JQ29" s="33"/>
      <c r="JR29" s="33"/>
      <c r="JS29" s="33"/>
      <c r="JT29" s="33"/>
      <c r="JU29" s="33"/>
      <c r="JV29" s="33"/>
      <c r="JW29" s="33"/>
      <c r="JX29" s="33"/>
      <c r="JY29" s="33"/>
      <c r="JZ29" s="33"/>
      <c r="KA29" s="33"/>
      <c r="KB29" s="109"/>
      <c r="KC29" s="109"/>
      <c r="KD29" s="33"/>
      <c r="KE29" s="33"/>
      <c r="KF29" s="33"/>
      <c r="KG29" s="33"/>
      <c r="KH29" s="33"/>
      <c r="KI29" s="1"/>
      <c r="KJ29" s="1"/>
      <c r="KK29" s="33"/>
      <c r="KL29" s="33"/>
      <c r="KM29" s="33"/>
      <c r="KN29" s="33"/>
      <c r="KO29" s="33"/>
      <c r="KP29" s="33"/>
      <c r="KQ29" s="33"/>
      <c r="KR29" s="33"/>
      <c r="KS29" s="33"/>
      <c r="KT29" s="33"/>
      <c r="KU29" s="33"/>
      <c r="KV29" s="33"/>
      <c r="KW29" s="33"/>
      <c r="KX29" s="33"/>
      <c r="KY29" s="33"/>
      <c r="KZ29" s="33"/>
      <c r="LA29" s="33"/>
      <c r="LB29" s="33"/>
      <c r="LC29" s="33"/>
      <c r="LD29" s="109"/>
      <c r="LE29" s="109"/>
      <c r="LF29" s="33"/>
      <c r="LG29" s="33"/>
      <c r="LH29" s="33"/>
      <c r="LI29" s="33"/>
      <c r="LJ29" s="33"/>
      <c r="LK29" s="1"/>
      <c r="LL29" s="1"/>
      <c r="LM29" s="33"/>
      <c r="LN29" s="33"/>
      <c r="LO29" s="33"/>
      <c r="LP29" s="33"/>
      <c r="LQ29" s="33"/>
      <c r="LR29" s="33"/>
      <c r="LS29" s="33"/>
      <c r="LT29" s="33"/>
      <c r="LU29" s="33"/>
      <c r="LV29" s="33"/>
      <c r="LW29" s="33"/>
      <c r="LX29" s="33"/>
      <c r="LY29" s="1"/>
      <c r="LZ29" s="1"/>
      <c r="MA29" s="33"/>
      <c r="MB29" s="33"/>
      <c r="MC29" s="33"/>
      <c r="MD29" s="33"/>
      <c r="ME29" s="33"/>
      <c r="MF29" s="109"/>
      <c r="MG29" s="109"/>
      <c r="MH29" s="33"/>
      <c r="MI29" s="33"/>
      <c r="MJ29" s="33"/>
      <c r="MK29" s="33"/>
      <c r="ML29" s="33"/>
      <c r="MM29" s="1"/>
      <c r="MN29" s="1"/>
      <c r="MO29" s="33"/>
      <c r="MP29" s="33"/>
      <c r="MQ29" s="33"/>
      <c r="MR29" s="33"/>
      <c r="MS29" s="33"/>
      <c r="MT29" s="33"/>
      <c r="MU29" s="33"/>
      <c r="MV29" s="33"/>
      <c r="MW29" s="33"/>
      <c r="MX29" s="33"/>
      <c r="MY29" s="33"/>
      <c r="MZ29" s="33"/>
      <c r="NA29" s="33"/>
      <c r="NB29" s="33"/>
      <c r="NC29" s="33"/>
      <c r="ND29" s="33"/>
      <c r="NE29" s="33"/>
      <c r="NF29" s="33"/>
      <c r="NG29" s="33"/>
      <c r="NH29" s="109"/>
      <c r="NI29" s="109"/>
      <c r="NJ29" s="33"/>
      <c r="NK29" s="33"/>
      <c r="NL29" s="33"/>
      <c r="NM29" s="33"/>
      <c r="NN29" s="33"/>
      <c r="NO29" s="1"/>
      <c r="NP29" s="1"/>
      <c r="NQ29" s="33"/>
      <c r="NR29" s="33"/>
      <c r="NS29" s="33"/>
      <c r="NT29" s="33"/>
      <c r="NU29" s="33"/>
      <c r="NV29" s="33"/>
      <c r="NW29" s="33"/>
      <c r="NX29" s="33"/>
      <c r="NY29" s="33"/>
      <c r="NZ29" s="33"/>
      <c r="OA29" s="145"/>
      <c r="OB29" s="149"/>
    </row>
    <row r="30" spans="1:411">
      <c r="A30" s="97" t="s">
        <v>311</v>
      </c>
      <c r="B30" s="63" t="s">
        <v>312</v>
      </c>
      <c r="C30" s="110" t="s">
        <v>8</v>
      </c>
      <c r="D30" s="110" t="s">
        <v>8</v>
      </c>
      <c r="E30" s="110" t="s">
        <v>8</v>
      </c>
      <c r="F30" s="104" t="s">
        <v>140</v>
      </c>
      <c r="G30" s="104" t="s">
        <v>140</v>
      </c>
      <c r="H30" s="109"/>
      <c r="I30" s="109"/>
      <c r="J30" s="110" t="s">
        <v>8</v>
      </c>
      <c r="K30" s="110" t="s">
        <v>8</v>
      </c>
      <c r="L30" s="110" t="s">
        <v>8</v>
      </c>
      <c r="M30" s="104" t="s">
        <v>140</v>
      </c>
      <c r="N30" s="110" t="s">
        <v>8</v>
      </c>
      <c r="O30" s="1"/>
      <c r="P30" s="1"/>
      <c r="Q30" s="103" t="s">
        <v>6</v>
      </c>
      <c r="R30" s="103" t="s">
        <v>6</v>
      </c>
      <c r="S30" s="103" t="s">
        <v>6</v>
      </c>
      <c r="T30" s="103" t="s">
        <v>6</v>
      </c>
      <c r="U30" s="103" t="s">
        <v>6</v>
      </c>
      <c r="V30" s="33"/>
      <c r="W30" s="33"/>
      <c r="X30" s="110" t="s">
        <v>8</v>
      </c>
      <c r="Y30" s="106" t="s">
        <v>283</v>
      </c>
      <c r="Z30" s="110" t="s">
        <v>8</v>
      </c>
      <c r="AA30" s="110" t="s">
        <v>8</v>
      </c>
      <c r="AB30" s="110" t="s">
        <v>8</v>
      </c>
      <c r="AC30" s="33"/>
      <c r="AD30" s="33"/>
      <c r="AE30" s="110" t="s">
        <v>8</v>
      </c>
      <c r="AF30" s="110" t="s">
        <v>8</v>
      </c>
      <c r="AG30" s="110" t="s">
        <v>8</v>
      </c>
      <c r="AH30" s="110" t="s">
        <v>8</v>
      </c>
      <c r="AI30" s="110" t="s">
        <v>8</v>
      </c>
      <c r="AJ30" s="109"/>
      <c r="AK30" s="109"/>
      <c r="AL30" s="110" t="s">
        <v>8</v>
      </c>
      <c r="AM30" s="110" t="s">
        <v>8</v>
      </c>
      <c r="AN30" s="103" t="s">
        <v>6</v>
      </c>
      <c r="AO30" s="110" t="s">
        <v>8</v>
      </c>
      <c r="AP30" s="110" t="s">
        <v>8</v>
      </c>
      <c r="AQ30" s="1"/>
      <c r="AR30" s="1"/>
      <c r="AS30" s="115" t="s">
        <v>307</v>
      </c>
      <c r="AT30" s="110" t="s">
        <v>8</v>
      </c>
      <c r="AU30" s="110" t="s">
        <v>8</v>
      </c>
      <c r="AV30" s="110" t="s">
        <v>8</v>
      </c>
      <c r="AW30" s="110" t="s">
        <v>8</v>
      </c>
      <c r="AX30" s="33"/>
      <c r="AY30" s="33"/>
      <c r="AZ30" s="110" t="s">
        <v>8</v>
      </c>
      <c r="BA30" s="110" t="s">
        <v>8</v>
      </c>
      <c r="BB30" s="110" t="s">
        <v>8</v>
      </c>
      <c r="BC30" s="110" t="s">
        <v>8</v>
      </c>
      <c r="BD30" s="110" t="s">
        <v>8</v>
      </c>
      <c r="BE30" s="33"/>
      <c r="BF30" s="33"/>
      <c r="BG30" s="110" t="s">
        <v>8</v>
      </c>
      <c r="BH30" s="110" t="s">
        <v>8</v>
      </c>
      <c r="BI30" s="110" t="s">
        <v>8</v>
      </c>
      <c r="BJ30" s="110" t="s">
        <v>8</v>
      </c>
      <c r="BK30" s="110" t="s">
        <v>8</v>
      </c>
      <c r="BL30" s="109"/>
      <c r="BM30" s="109"/>
      <c r="BN30" s="110" t="s">
        <v>8</v>
      </c>
      <c r="BO30" s="110" t="s">
        <v>8</v>
      </c>
      <c r="BP30" s="110" t="s">
        <v>8</v>
      </c>
      <c r="BQ30" s="110" t="s">
        <v>8</v>
      </c>
      <c r="BR30" s="110" t="s">
        <v>8</v>
      </c>
      <c r="BS30" s="1"/>
      <c r="BT30" s="1"/>
      <c r="BU30" s="110" t="s">
        <v>8</v>
      </c>
      <c r="BV30" s="110" t="s">
        <v>8</v>
      </c>
      <c r="BW30" s="110" t="s">
        <v>8</v>
      </c>
      <c r="BX30" s="110" t="s">
        <v>8</v>
      </c>
      <c r="BY30" s="110" t="s">
        <v>8</v>
      </c>
      <c r="BZ30" s="33"/>
      <c r="CA30" s="33"/>
      <c r="CB30" s="110" t="s">
        <v>8</v>
      </c>
      <c r="CC30" s="110" t="s">
        <v>8</v>
      </c>
      <c r="CD30" s="110" t="s">
        <v>8</v>
      </c>
      <c r="CE30" s="110" t="s">
        <v>8</v>
      </c>
      <c r="CF30" s="110" t="s">
        <v>8</v>
      </c>
      <c r="CG30" s="33"/>
      <c r="CH30" s="33"/>
      <c r="CI30" s="110" t="s">
        <v>8</v>
      </c>
      <c r="CJ30" s="110" t="s">
        <v>8</v>
      </c>
      <c r="CK30" s="110" t="s">
        <v>8</v>
      </c>
      <c r="CL30" s="110" t="s">
        <v>8</v>
      </c>
      <c r="CM30" s="110" t="s">
        <v>8</v>
      </c>
      <c r="CN30" s="109"/>
      <c r="CO30" s="109"/>
      <c r="CP30" s="110" t="s">
        <v>8</v>
      </c>
      <c r="CQ30" s="110" t="s">
        <v>8</v>
      </c>
      <c r="CR30" s="110" t="s">
        <v>8</v>
      </c>
      <c r="CS30" s="110" t="s">
        <v>8</v>
      </c>
      <c r="CT30" s="110" t="s">
        <v>8</v>
      </c>
      <c r="CU30" s="1"/>
      <c r="CV30" s="1"/>
      <c r="CW30" s="110" t="s">
        <v>8</v>
      </c>
      <c r="CX30" s="110" t="s">
        <v>8</v>
      </c>
      <c r="CY30" s="110" t="s">
        <v>8</v>
      </c>
      <c r="CZ30" s="110" t="s">
        <v>8</v>
      </c>
      <c r="DA30" s="110" t="s">
        <v>8</v>
      </c>
      <c r="DB30" s="33"/>
      <c r="DC30" s="33"/>
      <c r="DD30" s="104" t="s">
        <v>140</v>
      </c>
      <c r="DE30" s="115" t="s">
        <v>307</v>
      </c>
      <c r="DF30" s="106" t="s">
        <v>283</v>
      </c>
      <c r="DG30" s="110" t="s">
        <v>8</v>
      </c>
      <c r="DH30" s="110" t="s">
        <v>8</v>
      </c>
      <c r="DI30" s="33"/>
      <c r="DJ30" s="33"/>
      <c r="DK30" s="110" t="s">
        <v>8</v>
      </c>
      <c r="DL30" s="110" t="s">
        <v>8</v>
      </c>
      <c r="DM30" s="110" t="s">
        <v>8</v>
      </c>
      <c r="DN30" s="110" t="s">
        <v>8</v>
      </c>
      <c r="DO30" s="110" t="s">
        <v>8</v>
      </c>
      <c r="DP30" s="109"/>
      <c r="DQ30" s="109"/>
      <c r="DR30" s="110" t="s">
        <v>8</v>
      </c>
      <c r="DS30" s="110" t="s">
        <v>8</v>
      </c>
      <c r="DT30" s="106" t="s">
        <v>283</v>
      </c>
      <c r="DU30" s="115" t="s">
        <v>6</v>
      </c>
      <c r="DV30" s="115" t="s">
        <v>8</v>
      </c>
      <c r="DW30" s="1"/>
      <c r="DX30" s="1"/>
      <c r="DY30" s="104" t="s">
        <v>140</v>
      </c>
      <c r="DZ30" s="110" t="s">
        <v>8</v>
      </c>
      <c r="EA30" s="110" t="s">
        <v>8</v>
      </c>
      <c r="EB30" s="110" t="s">
        <v>8</v>
      </c>
      <c r="EC30" s="110" t="s">
        <v>8</v>
      </c>
      <c r="ED30" s="33"/>
      <c r="EE30" s="33"/>
      <c r="EF30" s="110" t="s">
        <v>8</v>
      </c>
      <c r="EG30" s="110" t="s">
        <v>8</v>
      </c>
      <c r="EH30" s="110" t="s">
        <v>8</v>
      </c>
      <c r="EI30" s="110" t="s">
        <v>8</v>
      </c>
      <c r="EJ30" s="110" t="s">
        <v>8</v>
      </c>
      <c r="EK30" s="33"/>
      <c r="EL30" s="33"/>
      <c r="EM30" s="115" t="s">
        <v>8</v>
      </c>
      <c r="EN30" s="110" t="s">
        <v>8</v>
      </c>
      <c r="EO30" s="110" t="s">
        <v>8</v>
      </c>
      <c r="EP30" s="104" t="s">
        <v>140</v>
      </c>
      <c r="EQ30" s="110" t="s">
        <v>8</v>
      </c>
      <c r="ER30" s="109"/>
      <c r="ES30" s="109"/>
      <c r="ET30" s="110" t="s">
        <v>8</v>
      </c>
      <c r="EU30" s="110" t="s">
        <v>8</v>
      </c>
      <c r="EV30" s="110" t="s">
        <v>8</v>
      </c>
      <c r="EW30" s="110" t="s">
        <v>8</v>
      </c>
      <c r="EX30" s="110" t="s">
        <v>8</v>
      </c>
      <c r="EY30" s="1"/>
      <c r="EZ30" s="1"/>
      <c r="FA30" s="104" t="s">
        <v>140</v>
      </c>
      <c r="FB30" s="110" t="s">
        <v>8</v>
      </c>
      <c r="FC30" s="110" t="s">
        <v>8</v>
      </c>
      <c r="FD30" s="110" t="s">
        <v>8</v>
      </c>
      <c r="FE30" s="110" t="s">
        <v>8</v>
      </c>
      <c r="FF30" s="33"/>
      <c r="FG30" s="33"/>
      <c r="FH30" s="110" t="s">
        <v>8</v>
      </c>
      <c r="FI30" s="110" t="s">
        <v>8</v>
      </c>
      <c r="FJ30" s="110" t="s">
        <v>8</v>
      </c>
      <c r="FK30" s="110" t="s">
        <v>8</v>
      </c>
      <c r="FL30" s="110" t="s">
        <v>8</v>
      </c>
      <c r="FM30" s="33"/>
      <c r="FN30" s="33"/>
      <c r="FO30" s="110" t="s">
        <v>8</v>
      </c>
      <c r="FP30" s="110" t="s">
        <v>8</v>
      </c>
      <c r="FQ30" s="110" t="s">
        <v>8</v>
      </c>
      <c r="FR30" s="110" t="s">
        <v>8</v>
      </c>
      <c r="FS30" s="110" t="s">
        <v>8</v>
      </c>
      <c r="FT30" s="109"/>
      <c r="FU30" s="109"/>
      <c r="FV30" s="115" t="s">
        <v>307</v>
      </c>
      <c r="FW30" s="115" t="s">
        <v>307</v>
      </c>
      <c r="FX30" s="115" t="s">
        <v>307</v>
      </c>
      <c r="FY30" s="115" t="s">
        <v>307</v>
      </c>
      <c r="FZ30" s="115" t="s">
        <v>307</v>
      </c>
      <c r="GA30" s="1"/>
      <c r="GB30" s="1"/>
      <c r="GC30" s="115" t="s">
        <v>307</v>
      </c>
      <c r="GD30" s="115" t="s">
        <v>307</v>
      </c>
      <c r="GE30" s="115" t="s">
        <v>307</v>
      </c>
      <c r="GF30" s="115" t="s">
        <v>307</v>
      </c>
      <c r="GG30" s="115" t="s">
        <v>307</v>
      </c>
      <c r="GH30" s="33"/>
      <c r="GI30" s="33"/>
      <c r="GJ30" s="115" t="s">
        <v>307</v>
      </c>
      <c r="GK30" s="115" t="s">
        <v>307</v>
      </c>
      <c r="GL30" s="115" t="s">
        <v>307</v>
      </c>
      <c r="GM30" s="115" t="s">
        <v>307</v>
      </c>
      <c r="GN30" s="115" t="s">
        <v>307</v>
      </c>
      <c r="GO30" s="33"/>
      <c r="GP30" s="33"/>
      <c r="GQ30" s="110" t="s">
        <v>8</v>
      </c>
      <c r="GR30" s="110" t="s">
        <v>8</v>
      </c>
      <c r="GS30" s="110" t="s">
        <v>8</v>
      </c>
      <c r="GT30" s="110" t="s">
        <v>8</v>
      </c>
      <c r="GU30" s="110" t="s">
        <v>8</v>
      </c>
      <c r="GV30" s="109"/>
      <c r="GW30" s="109"/>
      <c r="GX30" s="110" t="s">
        <v>8</v>
      </c>
      <c r="GY30" s="110" t="s">
        <v>8</v>
      </c>
      <c r="GZ30" s="110" t="s">
        <v>8</v>
      </c>
      <c r="HA30" s="110" t="s">
        <v>8</v>
      </c>
      <c r="HB30" s="110" t="s">
        <v>8</v>
      </c>
      <c r="HC30" s="1"/>
      <c r="HD30" s="1"/>
      <c r="HE30" s="110" t="s">
        <v>8</v>
      </c>
      <c r="HF30" s="110" t="s">
        <v>8</v>
      </c>
      <c r="HG30" s="110" t="s">
        <v>8</v>
      </c>
      <c r="HH30" s="110" t="s">
        <v>8</v>
      </c>
      <c r="HI30" s="110" t="s">
        <v>8</v>
      </c>
      <c r="HJ30" s="33"/>
      <c r="HK30" s="33"/>
      <c r="HL30" s="110" t="s">
        <v>8</v>
      </c>
      <c r="HM30" s="110" t="s">
        <v>8</v>
      </c>
      <c r="HN30" s="110" t="s">
        <v>8</v>
      </c>
      <c r="HO30" s="110" t="s">
        <v>8</v>
      </c>
      <c r="HP30" s="110" t="s">
        <v>8</v>
      </c>
      <c r="HQ30" s="1"/>
      <c r="HR30" s="1"/>
      <c r="HS30" s="110" t="s">
        <v>8</v>
      </c>
      <c r="HT30" s="110" t="s">
        <v>8</v>
      </c>
      <c r="HU30" s="110" t="s">
        <v>8</v>
      </c>
      <c r="HV30" s="110" t="s">
        <v>8</v>
      </c>
      <c r="HW30" s="110" t="s">
        <v>8</v>
      </c>
      <c r="HX30" s="109"/>
      <c r="HY30" s="109"/>
      <c r="HZ30" s="110" t="s">
        <v>8</v>
      </c>
      <c r="IA30" s="110" t="s">
        <v>8</v>
      </c>
      <c r="IB30" s="110" t="s">
        <v>8</v>
      </c>
      <c r="IC30" s="110" t="s">
        <v>8</v>
      </c>
      <c r="ID30" s="110" t="s">
        <v>8</v>
      </c>
      <c r="IE30" s="1"/>
      <c r="IF30" s="1"/>
      <c r="IG30" s="110" t="s">
        <v>8</v>
      </c>
      <c r="IH30" s="110" t="s">
        <v>8</v>
      </c>
      <c r="II30" s="110" t="s">
        <v>8</v>
      </c>
      <c r="IJ30" s="110" t="s">
        <v>8</v>
      </c>
      <c r="IK30" s="110" t="s">
        <v>8</v>
      </c>
      <c r="IL30" s="33"/>
      <c r="IM30" s="33"/>
      <c r="IN30" s="110" t="s">
        <v>8</v>
      </c>
      <c r="IO30" s="110" t="s">
        <v>8</v>
      </c>
      <c r="IP30" s="110" t="s">
        <v>8</v>
      </c>
      <c r="IQ30" s="110" t="s">
        <v>8</v>
      </c>
      <c r="IR30" s="110" t="s">
        <v>8</v>
      </c>
      <c r="IS30" s="33"/>
      <c r="IT30" s="33"/>
      <c r="IU30" s="115" t="s">
        <v>8</v>
      </c>
      <c r="IV30" s="115" t="s">
        <v>8</v>
      </c>
      <c r="IW30" s="115" t="s">
        <v>8</v>
      </c>
      <c r="IX30" s="115" t="s">
        <v>8</v>
      </c>
      <c r="IY30" s="115" t="s">
        <v>8</v>
      </c>
      <c r="IZ30" s="109"/>
      <c r="JA30" s="109"/>
      <c r="JB30" s="110" t="s">
        <v>8</v>
      </c>
      <c r="JC30" s="110" t="s">
        <v>8</v>
      </c>
      <c r="JD30" s="110" t="s">
        <v>8</v>
      </c>
      <c r="JE30" s="110" t="s">
        <v>8</v>
      </c>
      <c r="JF30" s="110" t="s">
        <v>8</v>
      </c>
      <c r="JG30" s="1"/>
      <c r="JH30" s="1"/>
      <c r="JI30" s="110" t="s">
        <v>8</v>
      </c>
      <c r="JJ30" s="110" t="s">
        <v>8</v>
      </c>
      <c r="JK30" s="110" t="s">
        <v>8</v>
      </c>
      <c r="JL30" s="110" t="s">
        <v>8</v>
      </c>
      <c r="JM30" s="110" t="s">
        <v>8</v>
      </c>
      <c r="JN30" s="33"/>
      <c r="JO30" s="33"/>
      <c r="JP30" s="110" t="s">
        <v>8</v>
      </c>
      <c r="JQ30" s="110" t="s">
        <v>8</v>
      </c>
      <c r="JR30" s="110" t="s">
        <v>8</v>
      </c>
      <c r="JS30" s="110" t="s">
        <v>8</v>
      </c>
      <c r="JT30" s="110" t="s">
        <v>8</v>
      </c>
      <c r="JU30" s="33"/>
      <c r="JV30" s="33"/>
      <c r="JW30" s="110" t="s">
        <v>8</v>
      </c>
      <c r="JX30" s="110" t="s">
        <v>8</v>
      </c>
      <c r="JY30" s="110" t="s">
        <v>8</v>
      </c>
      <c r="JZ30" s="110" t="s">
        <v>8</v>
      </c>
      <c r="KA30" s="110" t="s">
        <v>8</v>
      </c>
      <c r="KB30" s="109"/>
      <c r="KC30" s="109"/>
      <c r="KD30" s="110" t="s">
        <v>8</v>
      </c>
      <c r="KE30" s="110" t="s">
        <v>8</v>
      </c>
      <c r="KF30" s="110" t="s">
        <v>8</v>
      </c>
      <c r="KG30" s="110" t="s">
        <v>8</v>
      </c>
      <c r="KH30" s="110" t="s">
        <v>8</v>
      </c>
      <c r="KI30" s="1"/>
      <c r="KJ30" s="1"/>
      <c r="KK30" s="110" t="s">
        <v>8</v>
      </c>
      <c r="KL30" s="110" t="s">
        <v>8</v>
      </c>
      <c r="KM30" s="110" t="s">
        <v>8</v>
      </c>
      <c r="KN30" s="110" t="s">
        <v>8</v>
      </c>
      <c r="KO30" s="110" t="s">
        <v>8</v>
      </c>
      <c r="KP30" s="33"/>
      <c r="KQ30" s="33"/>
      <c r="KR30" s="110" t="s">
        <v>8</v>
      </c>
      <c r="KS30" s="110" t="s">
        <v>8</v>
      </c>
      <c r="KT30" s="110" t="s">
        <v>8</v>
      </c>
      <c r="KU30" s="110" t="s">
        <v>8</v>
      </c>
      <c r="KV30" s="110" t="s">
        <v>8</v>
      </c>
      <c r="KW30" s="33"/>
      <c r="KX30" s="33"/>
      <c r="KY30" s="110" t="s">
        <v>8</v>
      </c>
      <c r="KZ30" s="110" t="s">
        <v>8</v>
      </c>
      <c r="LA30" s="110" t="s">
        <v>8</v>
      </c>
      <c r="LB30" s="110" t="s">
        <v>8</v>
      </c>
      <c r="LC30" s="110" t="s">
        <v>8</v>
      </c>
      <c r="LD30" s="109"/>
      <c r="LE30" s="109"/>
      <c r="LF30" s="110" t="s">
        <v>8</v>
      </c>
      <c r="LG30" s="110" t="s">
        <v>8</v>
      </c>
      <c r="LH30" s="110" t="s">
        <v>8</v>
      </c>
      <c r="LI30" s="110" t="s">
        <v>8</v>
      </c>
      <c r="LJ30" s="110" t="s">
        <v>8</v>
      </c>
      <c r="LK30" s="1"/>
      <c r="LL30" s="1"/>
      <c r="LM30" s="110" t="s">
        <v>8</v>
      </c>
      <c r="LN30" s="110" t="s">
        <v>8</v>
      </c>
      <c r="LO30" s="110" t="s">
        <v>8</v>
      </c>
      <c r="LP30" s="110" t="s">
        <v>8</v>
      </c>
      <c r="LQ30" s="110" t="s">
        <v>8</v>
      </c>
      <c r="LR30" s="33"/>
      <c r="LS30" s="33"/>
      <c r="LT30" s="110" t="s">
        <v>8</v>
      </c>
      <c r="LU30" s="110" t="s">
        <v>8</v>
      </c>
      <c r="LV30" s="110" t="s">
        <v>8</v>
      </c>
      <c r="LW30" s="110" t="s">
        <v>8</v>
      </c>
      <c r="LX30" s="110" t="s">
        <v>8</v>
      </c>
      <c r="LY30" s="1"/>
      <c r="LZ30" s="1"/>
      <c r="MA30" s="110" t="s">
        <v>8</v>
      </c>
      <c r="MB30" s="110" t="s">
        <v>8</v>
      </c>
      <c r="MC30" s="110" t="s">
        <v>8</v>
      </c>
      <c r="MD30" s="110" t="s">
        <v>8</v>
      </c>
      <c r="ME30" s="110" t="s">
        <v>8</v>
      </c>
      <c r="MF30" s="109"/>
      <c r="MG30" s="109"/>
      <c r="MH30" s="110" t="s">
        <v>8</v>
      </c>
      <c r="MI30" s="110" t="s">
        <v>8</v>
      </c>
      <c r="MJ30" s="110" t="s">
        <v>8</v>
      </c>
      <c r="MK30" s="110" t="s">
        <v>8</v>
      </c>
      <c r="ML30" s="110" t="s">
        <v>8</v>
      </c>
      <c r="MM30" s="1"/>
      <c r="MN30" s="1"/>
      <c r="MO30" s="110" t="s">
        <v>8</v>
      </c>
      <c r="MP30" s="110" t="s">
        <v>8</v>
      </c>
      <c r="MQ30" s="110" t="s">
        <v>8</v>
      </c>
      <c r="MR30" s="110" t="s">
        <v>8</v>
      </c>
      <c r="MS30" s="110" t="s">
        <v>8</v>
      </c>
      <c r="MT30" s="33"/>
      <c r="MU30" s="33"/>
      <c r="MV30" s="110" t="s">
        <v>8</v>
      </c>
      <c r="MW30" s="110" t="s">
        <v>8</v>
      </c>
      <c r="MX30" s="110" t="s">
        <v>8</v>
      </c>
      <c r="MY30" s="110" t="s">
        <v>8</v>
      </c>
      <c r="MZ30" s="110" t="s">
        <v>8</v>
      </c>
      <c r="NA30" s="33"/>
      <c r="NB30" s="33"/>
      <c r="NC30" s="110" t="s">
        <v>8</v>
      </c>
      <c r="ND30" s="110" t="s">
        <v>8</v>
      </c>
      <c r="NE30" s="110" t="s">
        <v>8</v>
      </c>
      <c r="NF30" s="110" t="s">
        <v>8</v>
      </c>
      <c r="NG30" s="104" t="s">
        <v>140</v>
      </c>
      <c r="NH30" s="109"/>
      <c r="NI30" s="109"/>
      <c r="NJ30" s="110" t="s">
        <v>8</v>
      </c>
      <c r="NK30" s="110" t="s">
        <v>8</v>
      </c>
      <c r="NL30" s="110" t="s">
        <v>8</v>
      </c>
      <c r="NM30" s="110" t="s">
        <v>8</v>
      </c>
      <c r="NN30" s="104" t="s">
        <v>140</v>
      </c>
      <c r="NO30" s="1"/>
      <c r="NP30" s="1"/>
      <c r="NQ30" s="33"/>
      <c r="NR30" s="33"/>
      <c r="NS30" s="33"/>
      <c r="NT30" s="33"/>
      <c r="NU30" s="33"/>
      <c r="NV30" s="33"/>
      <c r="NW30" s="33"/>
      <c r="NX30" s="33"/>
      <c r="NY30" s="33"/>
      <c r="NZ30" s="33"/>
      <c r="OA30" s="145"/>
      <c r="OB30" s="149"/>
    </row>
    <row r="31" spans="1:411">
      <c r="A31" s="97"/>
      <c r="B31" s="63"/>
      <c r="C31" s="33"/>
      <c r="D31" s="33"/>
      <c r="E31" s="33"/>
      <c r="F31" s="99"/>
      <c r="G31" s="99"/>
      <c r="H31" s="109"/>
      <c r="I31" s="109"/>
      <c r="J31" s="33"/>
      <c r="K31" s="33"/>
      <c r="L31" s="33"/>
      <c r="M31" s="99"/>
      <c r="N31" s="33"/>
      <c r="O31" s="1"/>
      <c r="P31" s="1"/>
      <c r="Q31" s="99"/>
      <c r="R31" s="99"/>
      <c r="S31" s="99"/>
      <c r="T31" s="99"/>
      <c r="U31" s="99"/>
      <c r="V31" s="33"/>
      <c r="W31" s="33"/>
      <c r="X31" s="33"/>
      <c r="Y31" s="99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109"/>
      <c r="AK31" s="109"/>
      <c r="AL31" s="33"/>
      <c r="AM31" s="33"/>
      <c r="AN31" s="99"/>
      <c r="AO31" s="33"/>
      <c r="AP31" s="33"/>
      <c r="AQ31" s="1"/>
      <c r="AR31" s="1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109"/>
      <c r="BM31" s="109"/>
      <c r="BN31" s="33"/>
      <c r="BO31" s="33"/>
      <c r="BP31" s="33"/>
      <c r="BQ31" s="33"/>
      <c r="BR31" s="33"/>
      <c r="BS31" s="1"/>
      <c r="BT31" s="1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109"/>
      <c r="CO31" s="109"/>
      <c r="CP31" s="33"/>
      <c r="CQ31" s="33"/>
      <c r="CR31" s="33"/>
      <c r="CS31" s="33"/>
      <c r="CT31" s="33"/>
      <c r="CU31" s="1"/>
      <c r="CV31" s="1"/>
      <c r="CW31" s="33"/>
      <c r="CX31" s="33"/>
      <c r="CY31" s="33"/>
      <c r="CZ31" s="33"/>
      <c r="DA31" s="33"/>
      <c r="DB31" s="33"/>
      <c r="DC31" s="33"/>
      <c r="DD31" s="99"/>
      <c r="DE31" s="33"/>
      <c r="DF31" s="99"/>
      <c r="DG31" s="33"/>
      <c r="DH31" s="33"/>
      <c r="DI31" s="33"/>
      <c r="DJ31" s="33"/>
      <c r="DK31" s="33"/>
      <c r="DL31" s="33"/>
      <c r="DM31" s="33"/>
      <c r="DN31" s="33"/>
      <c r="DO31" s="33"/>
      <c r="DP31" s="109"/>
      <c r="DQ31" s="109"/>
      <c r="DR31" s="33"/>
      <c r="DS31" s="33"/>
      <c r="DT31" s="99"/>
      <c r="DU31" s="33"/>
      <c r="DV31" s="33"/>
      <c r="DW31" s="1"/>
      <c r="DX31" s="1"/>
      <c r="DY31" s="99"/>
      <c r="DZ31" s="33"/>
      <c r="EA31" s="33"/>
      <c r="EB31" s="33"/>
      <c r="EC31" s="33"/>
      <c r="ED31" s="33"/>
      <c r="EE31" s="33"/>
      <c r="EF31" s="33"/>
      <c r="EG31" s="33"/>
      <c r="EH31" s="33"/>
      <c r="EI31" s="33"/>
      <c r="EJ31" s="33"/>
      <c r="EK31" s="33"/>
      <c r="EL31" s="33"/>
      <c r="EM31" s="33"/>
      <c r="EN31" s="33"/>
      <c r="EO31" s="33"/>
      <c r="EP31" s="99"/>
      <c r="EQ31" s="33"/>
      <c r="ER31" s="109"/>
      <c r="ES31" s="109"/>
      <c r="ET31" s="33"/>
      <c r="EU31" s="33"/>
      <c r="EV31" s="33"/>
      <c r="EW31" s="33"/>
      <c r="EX31" s="33"/>
      <c r="EY31" s="1"/>
      <c r="EZ31" s="1"/>
      <c r="FA31" s="99"/>
      <c r="FB31" s="33"/>
      <c r="FC31" s="33"/>
      <c r="FD31" s="33"/>
      <c r="FE31" s="33"/>
      <c r="FF31" s="33"/>
      <c r="FG31" s="33"/>
      <c r="FH31" s="33"/>
      <c r="FI31" s="33"/>
      <c r="FJ31" s="33"/>
      <c r="FK31" s="33"/>
      <c r="FL31" s="33"/>
      <c r="FM31" s="33"/>
      <c r="FN31" s="33"/>
      <c r="FO31" s="33"/>
      <c r="FP31" s="33"/>
      <c r="FQ31" s="33"/>
      <c r="FR31" s="33"/>
      <c r="FS31" s="33"/>
      <c r="FT31" s="109"/>
      <c r="FU31" s="109"/>
      <c r="FV31" s="33"/>
      <c r="FW31" s="33"/>
      <c r="FX31" s="33"/>
      <c r="FY31" s="33"/>
      <c r="FZ31" s="33"/>
      <c r="GA31" s="1"/>
      <c r="GB31" s="1"/>
      <c r="GC31" s="33"/>
      <c r="GD31" s="33"/>
      <c r="GE31" s="33"/>
      <c r="GF31" s="33"/>
      <c r="GG31" s="33"/>
      <c r="GH31" s="33"/>
      <c r="GI31" s="33"/>
      <c r="GJ31" s="33"/>
      <c r="GK31" s="33"/>
      <c r="GL31" s="33"/>
      <c r="GM31" s="33"/>
      <c r="GN31" s="33"/>
      <c r="GO31" s="33"/>
      <c r="GP31" s="33"/>
      <c r="GQ31" s="33"/>
      <c r="GR31" s="33"/>
      <c r="GS31" s="33"/>
      <c r="GT31" s="33"/>
      <c r="GU31" s="33"/>
      <c r="GV31" s="109"/>
      <c r="GW31" s="109"/>
      <c r="GX31" s="33"/>
      <c r="GY31" s="33"/>
      <c r="GZ31" s="33"/>
      <c r="HA31" s="33"/>
      <c r="HB31" s="33"/>
      <c r="HC31" s="1"/>
      <c r="HD31" s="1"/>
      <c r="HE31" s="33"/>
      <c r="HF31" s="33"/>
      <c r="HG31" s="33"/>
      <c r="HH31" s="33"/>
      <c r="HI31" s="33"/>
      <c r="HJ31" s="33"/>
      <c r="HK31" s="33"/>
      <c r="HL31" s="33"/>
      <c r="HM31" s="33"/>
      <c r="HN31" s="33"/>
      <c r="HO31" s="33"/>
      <c r="HP31" s="33"/>
      <c r="HQ31" s="1"/>
      <c r="HR31" s="1"/>
      <c r="HS31" s="33"/>
      <c r="HT31" s="33"/>
      <c r="HU31" s="33"/>
      <c r="HV31" s="33"/>
      <c r="HW31" s="33"/>
      <c r="HX31" s="109"/>
      <c r="HY31" s="109"/>
      <c r="HZ31" s="33"/>
      <c r="IA31" s="33"/>
      <c r="IB31" s="33"/>
      <c r="IC31" s="33"/>
      <c r="ID31" s="33"/>
      <c r="IE31" s="1"/>
      <c r="IF31" s="1"/>
      <c r="IG31" s="33"/>
      <c r="IH31" s="33"/>
      <c r="II31" s="33"/>
      <c r="IJ31" s="33"/>
      <c r="IK31" s="33"/>
      <c r="IL31" s="33"/>
      <c r="IM31" s="33"/>
      <c r="IN31" s="33"/>
      <c r="IO31" s="33"/>
      <c r="IP31" s="33"/>
      <c r="IQ31" s="33"/>
      <c r="IR31" s="33"/>
      <c r="IS31" s="33"/>
      <c r="IT31" s="33"/>
      <c r="IU31" s="33"/>
      <c r="IV31" s="33"/>
      <c r="IW31" s="33"/>
      <c r="IX31" s="33"/>
      <c r="IY31" s="33"/>
      <c r="IZ31" s="109"/>
      <c r="JA31" s="109"/>
      <c r="JB31" s="33"/>
      <c r="JC31" s="33"/>
      <c r="JD31" s="33"/>
      <c r="JE31" s="33"/>
      <c r="JF31" s="33"/>
      <c r="JG31" s="1"/>
      <c r="JH31" s="1"/>
      <c r="JI31" s="33"/>
      <c r="JJ31" s="33"/>
      <c r="JK31" s="33"/>
      <c r="JL31" s="33"/>
      <c r="JM31" s="33"/>
      <c r="JN31" s="33"/>
      <c r="JO31" s="33"/>
      <c r="JP31" s="33"/>
      <c r="JQ31" s="33"/>
      <c r="JR31" s="33"/>
      <c r="JS31" s="33"/>
      <c r="JT31" s="33"/>
      <c r="JU31" s="33"/>
      <c r="JV31" s="33"/>
      <c r="JW31" s="33"/>
      <c r="JX31" s="33"/>
      <c r="JY31" s="33"/>
      <c r="JZ31" s="33"/>
      <c r="KA31" s="33"/>
      <c r="KB31" s="109"/>
      <c r="KC31" s="109"/>
      <c r="KD31" s="33"/>
      <c r="KE31" s="33"/>
      <c r="KF31" s="33"/>
      <c r="KG31" s="33"/>
      <c r="KH31" s="33"/>
      <c r="KI31" s="1"/>
      <c r="KJ31" s="1"/>
      <c r="KK31" s="33"/>
      <c r="KL31" s="33"/>
      <c r="KM31" s="33"/>
      <c r="KN31" s="33"/>
      <c r="KO31" s="33"/>
      <c r="KP31" s="33"/>
      <c r="KQ31" s="33"/>
      <c r="KR31" s="33"/>
      <c r="KS31" s="33"/>
      <c r="KT31" s="33"/>
      <c r="KU31" s="33"/>
      <c r="KV31" s="33"/>
      <c r="KW31" s="33"/>
      <c r="KX31" s="33"/>
      <c r="KY31" s="33"/>
      <c r="KZ31" s="33"/>
      <c r="LA31" s="33"/>
      <c r="LB31" s="33"/>
      <c r="LC31" s="33"/>
      <c r="LD31" s="109"/>
      <c r="LE31" s="109"/>
      <c r="LF31" s="33"/>
      <c r="LG31" s="33"/>
      <c r="LH31" s="33"/>
      <c r="LI31" s="33"/>
      <c r="LJ31" s="33"/>
      <c r="LK31" s="1"/>
      <c r="LL31" s="1"/>
      <c r="LM31" s="33"/>
      <c r="LN31" s="33"/>
      <c r="LO31" s="33"/>
      <c r="LP31" s="33"/>
      <c r="LQ31" s="33"/>
      <c r="LR31" s="33"/>
      <c r="LS31" s="33"/>
      <c r="LT31" s="33"/>
      <c r="LU31" s="33"/>
      <c r="LV31" s="33"/>
      <c r="LW31" s="33"/>
      <c r="LX31" s="33"/>
      <c r="LY31" s="1"/>
      <c r="LZ31" s="1"/>
      <c r="MA31" s="33"/>
      <c r="MB31" s="33"/>
      <c r="MC31" s="33"/>
      <c r="MD31" s="33"/>
      <c r="ME31" s="33"/>
      <c r="MF31" s="109"/>
      <c r="MG31" s="109"/>
      <c r="MH31" s="33"/>
      <c r="MI31" s="33"/>
      <c r="MJ31" s="33"/>
      <c r="MK31" s="33"/>
      <c r="ML31" s="33"/>
      <c r="MM31" s="1"/>
      <c r="MN31" s="1"/>
      <c r="MO31" s="33"/>
      <c r="MP31" s="33"/>
      <c r="MQ31" s="33"/>
      <c r="MR31" s="33"/>
      <c r="MS31" s="33"/>
      <c r="MT31" s="33"/>
      <c r="MU31" s="33"/>
      <c r="MV31" s="33"/>
      <c r="MW31" s="33"/>
      <c r="MX31" s="33"/>
      <c r="MY31" s="33"/>
      <c r="MZ31" s="33"/>
      <c r="NA31" s="33"/>
      <c r="NB31" s="33"/>
      <c r="NC31" s="33"/>
      <c r="ND31" s="33"/>
      <c r="NE31" s="33"/>
      <c r="NF31" s="33"/>
      <c r="NG31" s="99"/>
      <c r="NH31" s="109"/>
      <c r="NI31" s="109"/>
      <c r="NJ31" s="33"/>
      <c r="NK31" s="33"/>
      <c r="NL31" s="33"/>
      <c r="NM31" s="33"/>
      <c r="NN31" s="99"/>
      <c r="NO31" s="1"/>
      <c r="NP31" s="1"/>
      <c r="NQ31" s="33"/>
      <c r="NR31" s="33"/>
      <c r="NS31" s="33"/>
      <c r="NT31" s="33"/>
      <c r="NU31" s="33"/>
      <c r="NV31" s="33"/>
      <c r="NW31" s="33"/>
      <c r="NX31" s="33"/>
      <c r="NY31" s="33"/>
      <c r="NZ31" s="33"/>
      <c r="OA31" s="145"/>
      <c r="OB31" s="149"/>
    </row>
    <row r="32" spans="1:411">
      <c r="A32" s="97" t="s">
        <v>313</v>
      </c>
      <c r="B32" s="63"/>
      <c r="C32" s="33"/>
      <c r="D32" s="33"/>
      <c r="E32" s="33"/>
      <c r="F32" s="99"/>
      <c r="G32" s="99"/>
      <c r="H32" s="109"/>
      <c r="I32" s="109"/>
      <c r="J32" s="33"/>
      <c r="K32" s="33"/>
      <c r="L32" s="33"/>
      <c r="M32" s="99"/>
      <c r="N32" s="33"/>
      <c r="O32" s="1"/>
      <c r="P32" s="1"/>
      <c r="Q32" s="99"/>
      <c r="R32" s="99"/>
      <c r="S32" s="99"/>
      <c r="T32" s="99"/>
      <c r="U32" s="99"/>
      <c r="V32" s="33"/>
      <c r="W32" s="33"/>
      <c r="X32" s="33"/>
      <c r="Y32" s="99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109"/>
      <c r="AK32" s="109"/>
      <c r="AL32" s="33"/>
      <c r="AM32" s="33"/>
      <c r="AN32" s="99"/>
      <c r="AO32" s="33"/>
      <c r="AP32" s="33"/>
      <c r="AQ32" s="1"/>
      <c r="AR32" s="1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S32" s="1"/>
      <c r="BT32" s="1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110" t="s">
        <v>8</v>
      </c>
      <c r="CJ32" s="110" t="s">
        <v>8</v>
      </c>
      <c r="CK32" s="110" t="s">
        <v>8</v>
      </c>
      <c r="CL32" s="110" t="s">
        <v>8</v>
      </c>
      <c r="CM32" s="110" t="s">
        <v>8</v>
      </c>
      <c r="CN32" s="109"/>
      <c r="CO32" s="109"/>
      <c r="CP32" s="108" t="s">
        <v>10</v>
      </c>
      <c r="CQ32" s="110" t="s">
        <v>8</v>
      </c>
      <c r="CR32" s="110" t="s">
        <v>8</v>
      </c>
      <c r="CS32" s="110" t="s">
        <v>8</v>
      </c>
      <c r="CT32" s="110" t="s">
        <v>8</v>
      </c>
      <c r="CU32" s="1"/>
      <c r="CV32" s="1"/>
      <c r="CW32" s="110" t="s">
        <v>8</v>
      </c>
      <c r="CX32" s="110" t="s">
        <v>8</v>
      </c>
      <c r="CY32" s="110" t="s">
        <v>8</v>
      </c>
      <c r="CZ32" s="110" t="s">
        <v>8</v>
      </c>
      <c r="DA32" s="110" t="s">
        <v>8</v>
      </c>
      <c r="DB32" s="33"/>
      <c r="DC32" s="33"/>
      <c r="DD32" s="104" t="s">
        <v>140</v>
      </c>
      <c r="DE32" s="110" t="s">
        <v>8</v>
      </c>
      <c r="DF32" s="33" t="s">
        <v>314</v>
      </c>
      <c r="DG32" s="33" t="s">
        <v>314</v>
      </c>
      <c r="DH32" s="110" t="s">
        <v>8</v>
      </c>
      <c r="DI32" s="33"/>
      <c r="DJ32" s="33"/>
      <c r="DK32" s="110" t="s">
        <v>8</v>
      </c>
      <c r="DL32" s="110" t="s">
        <v>8</v>
      </c>
      <c r="DM32" s="33" t="s">
        <v>315</v>
      </c>
      <c r="DN32" s="110" t="s">
        <v>8</v>
      </c>
      <c r="DO32" s="110" t="s">
        <v>8</v>
      </c>
      <c r="DP32" s="109"/>
      <c r="DQ32" s="109"/>
      <c r="DR32" s="110" t="s">
        <v>8</v>
      </c>
      <c r="DS32" s="110" t="s">
        <v>8</v>
      </c>
      <c r="DT32" s="110" t="s">
        <v>8</v>
      </c>
      <c r="DU32" s="110" t="s">
        <v>8</v>
      </c>
      <c r="DV32" s="110" t="s">
        <v>8</v>
      </c>
      <c r="DW32" s="1"/>
      <c r="DX32" s="1"/>
      <c r="DY32" s="104" t="s">
        <v>140</v>
      </c>
      <c r="DZ32" s="110" t="s">
        <v>8</v>
      </c>
      <c r="EA32" s="110" t="s">
        <v>8</v>
      </c>
      <c r="EB32" s="110" t="s">
        <v>8</v>
      </c>
      <c r="EC32" s="110" t="s">
        <v>8</v>
      </c>
      <c r="ED32" s="33"/>
      <c r="EE32" s="33"/>
      <c r="EF32" s="110" t="s">
        <v>8</v>
      </c>
      <c r="EG32" s="110" t="s">
        <v>8</v>
      </c>
      <c r="EH32" s="110" t="s">
        <v>8</v>
      </c>
      <c r="EI32" s="110" t="s">
        <v>8</v>
      </c>
      <c r="EJ32" s="110" t="s">
        <v>8</v>
      </c>
      <c r="EK32" s="33"/>
      <c r="EL32" s="33"/>
      <c r="EM32" s="110" t="s">
        <v>8</v>
      </c>
      <c r="EN32" s="110" t="s">
        <v>8</v>
      </c>
      <c r="EO32" s="110" t="s">
        <v>8</v>
      </c>
      <c r="EP32" s="104" t="s">
        <v>140</v>
      </c>
      <c r="EQ32" s="110" t="s">
        <v>8</v>
      </c>
      <c r="ER32" s="109"/>
      <c r="ES32" s="109"/>
      <c r="ET32" s="110" t="s">
        <v>8</v>
      </c>
      <c r="EU32" s="110" t="s">
        <v>8</v>
      </c>
      <c r="EV32" s="110" t="s">
        <v>8</v>
      </c>
      <c r="EW32" s="110" t="s">
        <v>8</v>
      </c>
      <c r="EX32" s="110" t="s">
        <v>8</v>
      </c>
      <c r="EY32" s="1"/>
      <c r="EZ32" s="1"/>
      <c r="FA32" s="104" t="s">
        <v>140</v>
      </c>
      <c r="FB32" s="110" t="s">
        <v>8</v>
      </c>
      <c r="FC32" s="110" t="s">
        <v>8</v>
      </c>
      <c r="FD32" s="110" t="s">
        <v>8</v>
      </c>
      <c r="FE32" s="110" t="s">
        <v>8</v>
      </c>
      <c r="FF32" s="33"/>
      <c r="FG32" s="33"/>
      <c r="FH32" s="110" t="s">
        <v>8</v>
      </c>
      <c r="FI32" s="110" t="s">
        <v>8</v>
      </c>
      <c r="FJ32" s="110" t="s">
        <v>8</v>
      </c>
      <c r="FK32" s="110" t="s">
        <v>8</v>
      </c>
      <c r="FL32" s="110" t="s">
        <v>8</v>
      </c>
      <c r="FM32" s="33"/>
      <c r="FN32" s="33"/>
      <c r="FO32" s="110" t="s">
        <v>8</v>
      </c>
      <c r="FP32" s="110" t="s">
        <v>8</v>
      </c>
      <c r="FQ32" s="110" t="s">
        <v>8</v>
      </c>
      <c r="FR32" s="110" t="s">
        <v>8</v>
      </c>
      <c r="FS32" s="110" t="s">
        <v>8</v>
      </c>
      <c r="FT32" s="109"/>
      <c r="FU32" s="109"/>
      <c r="FV32" s="110" t="s">
        <v>8</v>
      </c>
      <c r="FW32" s="110" t="s">
        <v>8</v>
      </c>
      <c r="FX32" s="110" t="s">
        <v>8</v>
      </c>
      <c r="FY32" s="110" t="s">
        <v>8</v>
      </c>
      <c r="FZ32" s="110" t="s">
        <v>8</v>
      </c>
      <c r="GA32" s="1"/>
      <c r="GB32" s="1"/>
      <c r="GC32" s="110" t="s">
        <v>8</v>
      </c>
      <c r="GD32" s="110" t="s">
        <v>8</v>
      </c>
      <c r="GE32" s="110" t="s">
        <v>8</v>
      </c>
      <c r="GF32" s="110" t="s">
        <v>8</v>
      </c>
      <c r="GG32" s="110" t="s">
        <v>8</v>
      </c>
      <c r="GH32" s="33"/>
      <c r="GI32" s="33"/>
      <c r="GJ32" s="110" t="s">
        <v>8</v>
      </c>
      <c r="GK32" s="110" t="s">
        <v>8</v>
      </c>
      <c r="GL32" s="110" t="s">
        <v>8</v>
      </c>
      <c r="GM32" s="110" t="s">
        <v>8</v>
      </c>
      <c r="GN32" s="110" t="s">
        <v>8</v>
      </c>
      <c r="GO32" s="33"/>
      <c r="GP32" s="33"/>
      <c r="GQ32" s="110" t="s">
        <v>8</v>
      </c>
      <c r="GR32" s="110" t="s">
        <v>8</v>
      </c>
      <c r="GS32" s="110" t="s">
        <v>8</v>
      </c>
      <c r="GT32" s="110" t="s">
        <v>8</v>
      </c>
      <c r="GU32" s="110" t="s">
        <v>8</v>
      </c>
      <c r="GV32" s="109"/>
      <c r="GW32" s="109"/>
      <c r="GX32" s="110" t="s">
        <v>8</v>
      </c>
      <c r="GY32" s="110" t="s">
        <v>8</v>
      </c>
      <c r="GZ32" s="110" t="s">
        <v>8</v>
      </c>
      <c r="HA32" s="110" t="s">
        <v>8</v>
      </c>
      <c r="HB32" s="110" t="s">
        <v>8</v>
      </c>
      <c r="HC32" s="1"/>
      <c r="HD32" s="1"/>
      <c r="HE32" s="110" t="s">
        <v>8</v>
      </c>
      <c r="HF32" s="110" t="s">
        <v>8</v>
      </c>
      <c r="HG32" s="110" t="s">
        <v>8</v>
      </c>
      <c r="HH32" s="110" t="s">
        <v>8</v>
      </c>
      <c r="HI32" s="110" t="s">
        <v>8</v>
      </c>
      <c r="HJ32" s="33"/>
      <c r="HK32" s="33"/>
      <c r="HL32" s="110" t="s">
        <v>8</v>
      </c>
      <c r="HM32" s="110" t="s">
        <v>8</v>
      </c>
      <c r="HN32" s="110" t="s">
        <v>8</v>
      </c>
      <c r="HO32" s="110" t="s">
        <v>8</v>
      </c>
      <c r="HP32" s="110" t="s">
        <v>8</v>
      </c>
      <c r="HQ32" s="1"/>
      <c r="HR32" s="1"/>
      <c r="HS32" s="110" t="s">
        <v>8</v>
      </c>
      <c r="HT32" s="110" t="s">
        <v>8</v>
      </c>
      <c r="HU32" s="110" t="s">
        <v>8</v>
      </c>
      <c r="HV32" s="110" t="s">
        <v>8</v>
      </c>
      <c r="HW32" s="110" t="s">
        <v>8</v>
      </c>
      <c r="HX32" s="109"/>
      <c r="HY32" s="109"/>
      <c r="HZ32" s="110" t="s">
        <v>8</v>
      </c>
      <c r="IA32" s="110" t="s">
        <v>8</v>
      </c>
      <c r="IB32" s="110" t="s">
        <v>8</v>
      </c>
      <c r="IC32" s="110" t="s">
        <v>8</v>
      </c>
      <c r="ID32" s="110" t="s">
        <v>8</v>
      </c>
      <c r="IE32" s="1"/>
      <c r="IF32" s="1"/>
      <c r="IG32" s="110" t="s">
        <v>8</v>
      </c>
      <c r="IH32" s="110" t="s">
        <v>8</v>
      </c>
      <c r="II32" s="110" t="s">
        <v>8</v>
      </c>
      <c r="IJ32" s="110" t="s">
        <v>8</v>
      </c>
      <c r="IK32" s="110" t="s">
        <v>8</v>
      </c>
      <c r="IL32" s="33"/>
      <c r="IM32" s="33"/>
      <c r="IN32" s="110" t="s">
        <v>8</v>
      </c>
      <c r="IO32" s="110" t="s">
        <v>8</v>
      </c>
      <c r="IP32" s="110" t="s">
        <v>8</v>
      </c>
      <c r="IQ32" s="110" t="s">
        <v>8</v>
      </c>
      <c r="IR32" s="110" t="s">
        <v>8</v>
      </c>
      <c r="IS32" s="33"/>
      <c r="IT32" s="33"/>
      <c r="IU32" s="110" t="s">
        <v>8</v>
      </c>
      <c r="IV32" s="110" t="s">
        <v>8</v>
      </c>
      <c r="IW32" s="110" t="s">
        <v>8</v>
      </c>
      <c r="IX32" s="110" t="s">
        <v>8</v>
      </c>
      <c r="IY32" s="110" t="s">
        <v>8</v>
      </c>
      <c r="IZ32" s="109"/>
      <c r="JA32" s="109"/>
      <c r="JB32" s="110" t="s">
        <v>8</v>
      </c>
      <c r="JC32" s="110" t="s">
        <v>8</v>
      </c>
      <c r="JD32" s="110" t="s">
        <v>8</v>
      </c>
      <c r="JE32" s="110" t="s">
        <v>8</v>
      </c>
      <c r="JF32" s="110" t="s">
        <v>8</v>
      </c>
      <c r="JG32" s="1"/>
      <c r="JH32" s="1"/>
      <c r="JI32" s="110" t="s">
        <v>8</v>
      </c>
      <c r="JJ32" s="110" t="s">
        <v>8</v>
      </c>
      <c r="JK32" s="110" t="s">
        <v>8</v>
      </c>
      <c r="JL32" s="110" t="s">
        <v>8</v>
      </c>
      <c r="JM32" s="110" t="s">
        <v>8</v>
      </c>
      <c r="JN32" s="33"/>
      <c r="JO32" s="33"/>
      <c r="JP32" s="110" t="s">
        <v>8</v>
      </c>
      <c r="JQ32" s="110" t="s">
        <v>8</v>
      </c>
      <c r="JR32" s="110" t="s">
        <v>8</v>
      </c>
      <c r="JS32" s="110" t="s">
        <v>8</v>
      </c>
      <c r="JT32" s="110" t="s">
        <v>8</v>
      </c>
      <c r="JU32" s="33"/>
      <c r="JV32" s="33"/>
      <c r="JW32" s="110" t="s">
        <v>8</v>
      </c>
      <c r="JX32" s="110" t="s">
        <v>8</v>
      </c>
      <c r="JY32" s="110" t="s">
        <v>8</v>
      </c>
      <c r="JZ32" s="110" t="s">
        <v>8</v>
      </c>
      <c r="KA32" s="110" t="s">
        <v>8</v>
      </c>
      <c r="KB32" s="109"/>
      <c r="KC32" s="109"/>
      <c r="KD32" s="110" t="s">
        <v>8</v>
      </c>
      <c r="KE32" s="110" t="s">
        <v>8</v>
      </c>
      <c r="KF32" s="110" t="s">
        <v>8</v>
      </c>
      <c r="KG32" s="110" t="s">
        <v>8</v>
      </c>
      <c r="KH32" s="110" t="s">
        <v>8</v>
      </c>
      <c r="KI32" s="1"/>
      <c r="KJ32" s="1"/>
      <c r="KK32" s="110" t="s">
        <v>8</v>
      </c>
      <c r="KL32" s="110" t="s">
        <v>8</v>
      </c>
      <c r="KM32" s="110" t="s">
        <v>8</v>
      </c>
      <c r="KN32" s="110" t="s">
        <v>8</v>
      </c>
      <c r="KO32" s="110" t="s">
        <v>8</v>
      </c>
      <c r="KP32" s="33"/>
      <c r="KQ32" s="33"/>
      <c r="KR32" s="110" t="s">
        <v>8</v>
      </c>
      <c r="KS32" s="110" t="s">
        <v>8</v>
      </c>
      <c r="KT32" s="110" t="s">
        <v>8</v>
      </c>
      <c r="KU32" s="110" t="s">
        <v>8</v>
      </c>
      <c r="KV32" s="110" t="s">
        <v>8</v>
      </c>
      <c r="KW32" s="33"/>
      <c r="KX32" s="33"/>
      <c r="KY32" s="110" t="s">
        <v>8</v>
      </c>
      <c r="KZ32" s="110" t="s">
        <v>8</v>
      </c>
      <c r="LA32" s="110" t="s">
        <v>8</v>
      </c>
      <c r="LB32" s="110" t="s">
        <v>8</v>
      </c>
      <c r="LC32" s="110" t="s">
        <v>8</v>
      </c>
      <c r="LD32" s="109"/>
      <c r="LE32" s="109"/>
      <c r="LF32" s="110" t="s">
        <v>8</v>
      </c>
      <c r="LG32" s="110" t="s">
        <v>8</v>
      </c>
      <c r="LH32" s="110" t="s">
        <v>8</v>
      </c>
      <c r="LI32" s="110" t="s">
        <v>8</v>
      </c>
      <c r="LJ32" s="110" t="s">
        <v>8</v>
      </c>
      <c r="LK32" s="1"/>
      <c r="LL32" s="1"/>
      <c r="LM32" s="110" t="s">
        <v>8</v>
      </c>
      <c r="LN32" s="110" t="s">
        <v>8</v>
      </c>
      <c r="LO32" s="110" t="s">
        <v>8</v>
      </c>
      <c r="LP32" s="110" t="s">
        <v>8</v>
      </c>
      <c r="LQ32" s="110" t="s">
        <v>8</v>
      </c>
      <c r="LR32" s="33"/>
      <c r="LS32" s="33"/>
      <c r="LT32" s="110" t="s">
        <v>8</v>
      </c>
      <c r="LU32" s="110" t="s">
        <v>8</v>
      </c>
      <c r="LV32" s="110" t="s">
        <v>8</v>
      </c>
      <c r="LW32" s="110" t="s">
        <v>8</v>
      </c>
      <c r="LX32" s="110" t="s">
        <v>8</v>
      </c>
      <c r="LY32" s="1"/>
      <c r="LZ32" s="1"/>
      <c r="MA32" s="110" t="s">
        <v>8</v>
      </c>
      <c r="MB32" s="110" t="s">
        <v>8</v>
      </c>
      <c r="MC32" s="110" t="s">
        <v>8</v>
      </c>
      <c r="MD32" s="110" t="s">
        <v>8</v>
      </c>
      <c r="ME32" s="110" t="s">
        <v>8</v>
      </c>
      <c r="MF32" s="109"/>
      <c r="MG32" s="109"/>
      <c r="MH32" s="110" t="s">
        <v>8</v>
      </c>
      <c r="MI32" s="110" t="s">
        <v>8</v>
      </c>
      <c r="MJ32" s="110" t="s">
        <v>8</v>
      </c>
      <c r="MK32" s="110" t="s">
        <v>8</v>
      </c>
      <c r="ML32" s="110" t="s">
        <v>8</v>
      </c>
      <c r="MM32" s="1"/>
      <c r="MN32" s="1"/>
      <c r="MO32" s="110" t="s">
        <v>8</v>
      </c>
      <c r="MP32" s="110" t="s">
        <v>8</v>
      </c>
      <c r="MQ32" s="110" t="s">
        <v>8</v>
      </c>
      <c r="MR32" s="110" t="s">
        <v>8</v>
      </c>
      <c r="MS32" s="110" t="s">
        <v>8</v>
      </c>
      <c r="MT32" s="33"/>
      <c r="MU32" s="33"/>
      <c r="MV32" s="110" t="s">
        <v>8</v>
      </c>
      <c r="MW32" s="110" t="s">
        <v>8</v>
      </c>
      <c r="MX32" s="110" t="s">
        <v>8</v>
      </c>
      <c r="MY32" s="110" t="s">
        <v>8</v>
      </c>
      <c r="MZ32" s="110" t="s">
        <v>8</v>
      </c>
      <c r="NA32" s="33"/>
      <c r="NB32" s="33"/>
      <c r="NC32" s="110" t="s">
        <v>8</v>
      </c>
      <c r="ND32" s="110" t="s">
        <v>8</v>
      </c>
      <c r="NE32" s="110" t="s">
        <v>8</v>
      </c>
      <c r="NF32" s="110" t="s">
        <v>8</v>
      </c>
      <c r="NG32" s="110" t="s">
        <v>8</v>
      </c>
      <c r="NH32" s="109"/>
      <c r="NI32" s="109"/>
      <c r="NJ32" s="110" t="s">
        <v>8</v>
      </c>
      <c r="NK32" s="110" t="s">
        <v>8</v>
      </c>
      <c r="NL32" s="110" t="s">
        <v>8</v>
      </c>
      <c r="NM32" s="110" t="s">
        <v>8</v>
      </c>
      <c r="NN32" s="110" t="s">
        <v>8</v>
      </c>
      <c r="NO32" s="1"/>
      <c r="NP32" s="1"/>
      <c r="NQ32" s="33"/>
      <c r="NR32" s="33"/>
      <c r="NS32" s="33"/>
      <c r="NT32" s="33"/>
      <c r="NU32" s="33"/>
      <c r="NV32" s="33"/>
      <c r="NW32" s="33"/>
      <c r="NX32" s="33"/>
      <c r="NY32" s="33"/>
      <c r="NZ32" s="33"/>
      <c r="OA32" s="145"/>
      <c r="OB32" s="149"/>
    </row>
    <row r="33" spans="1:449">
      <c r="A33" s="97"/>
      <c r="B33" s="63"/>
      <c r="C33" s="33"/>
      <c r="D33" s="33"/>
      <c r="E33" s="33"/>
      <c r="F33" s="33"/>
      <c r="G33" s="33"/>
      <c r="H33" s="109"/>
      <c r="I33" s="109"/>
      <c r="J33" s="33"/>
      <c r="K33" s="33"/>
      <c r="L33" s="33"/>
      <c r="M33" s="33"/>
      <c r="N33" s="33"/>
      <c r="O33" s="1"/>
      <c r="P33" s="1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109"/>
      <c r="AK33" s="109"/>
      <c r="AL33" s="33"/>
      <c r="AM33" s="33"/>
      <c r="AN33" s="33"/>
      <c r="AO33" s="33"/>
      <c r="AP33" s="33"/>
      <c r="AQ33" s="1"/>
      <c r="AR33" s="1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109"/>
      <c r="BM33" s="109"/>
      <c r="BN33" s="33"/>
      <c r="BO33" s="33"/>
      <c r="BP33" s="33"/>
      <c r="BQ33" s="33"/>
      <c r="BR33" s="33"/>
      <c r="BS33" s="1"/>
      <c r="BT33" s="1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109"/>
      <c r="CO33" s="109"/>
      <c r="CP33" s="33"/>
      <c r="CQ33" s="33"/>
      <c r="CR33" s="33"/>
      <c r="CS33" s="33"/>
      <c r="CT33" s="33"/>
      <c r="CU33" s="1"/>
      <c r="CV33" s="1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109"/>
      <c r="DQ33" s="109"/>
      <c r="DR33" s="33"/>
      <c r="DS33" s="33"/>
      <c r="DT33" s="33"/>
      <c r="DU33" s="33"/>
      <c r="DV33" s="33"/>
      <c r="DW33" s="1"/>
      <c r="DX33" s="1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99"/>
      <c r="EQ33" s="33"/>
      <c r="ER33" s="109"/>
      <c r="ES33" s="109"/>
      <c r="ET33" s="33"/>
      <c r="EU33" s="33"/>
      <c r="EV33" s="33"/>
      <c r="EW33" s="33"/>
      <c r="EX33" s="33"/>
      <c r="EY33" s="1"/>
      <c r="EZ33" s="1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109"/>
      <c r="FU33" s="109"/>
      <c r="FV33" s="33"/>
      <c r="FW33" s="33"/>
      <c r="FX33" s="33"/>
      <c r="FY33" s="33"/>
      <c r="FZ33" s="33"/>
      <c r="GA33" s="1"/>
      <c r="GB33" s="1"/>
      <c r="GC33" s="33"/>
      <c r="GD33" s="33"/>
      <c r="GE33" s="33"/>
      <c r="GF33" s="33"/>
      <c r="GG33" s="33"/>
      <c r="GH33" s="33"/>
      <c r="GI33" s="33"/>
      <c r="GJ33" s="33"/>
      <c r="GK33" s="33"/>
      <c r="GL33" s="33"/>
      <c r="GM33" s="33"/>
      <c r="GN33" s="33"/>
      <c r="GO33" s="33"/>
      <c r="GP33" s="33"/>
      <c r="GQ33" s="33"/>
      <c r="GR33" s="33"/>
      <c r="GS33" s="33"/>
      <c r="GT33" s="33"/>
      <c r="GU33" s="33"/>
      <c r="GV33" s="109"/>
      <c r="GW33" s="109"/>
      <c r="GX33" s="33"/>
      <c r="GY33" s="33"/>
      <c r="GZ33" s="33"/>
      <c r="HA33" s="33"/>
      <c r="HB33" s="33"/>
      <c r="HC33" s="1"/>
      <c r="HD33" s="1"/>
      <c r="HE33" s="33"/>
      <c r="HF33" s="33"/>
      <c r="HG33" s="33"/>
      <c r="HH33" s="33"/>
      <c r="HI33" s="33"/>
      <c r="HJ33" s="33"/>
      <c r="HK33" s="33"/>
      <c r="HL33" s="33"/>
      <c r="HM33" s="33"/>
      <c r="HN33" s="33"/>
      <c r="HO33" s="33"/>
      <c r="HP33" s="33"/>
      <c r="HQ33" s="1"/>
      <c r="HR33" s="1"/>
      <c r="HS33" s="33"/>
      <c r="HT33" s="33"/>
      <c r="HU33" s="33"/>
      <c r="HV33" s="33"/>
      <c r="HW33" s="33"/>
      <c r="HX33" s="109"/>
      <c r="HY33" s="109"/>
      <c r="HZ33" s="33"/>
      <c r="IA33" s="33"/>
      <c r="IB33" s="33"/>
      <c r="IC33" s="33"/>
      <c r="ID33" s="33"/>
      <c r="IE33" s="1"/>
      <c r="IF33" s="1"/>
      <c r="IG33" s="33"/>
      <c r="IH33" s="33"/>
      <c r="II33" s="33"/>
      <c r="IJ33" s="33"/>
      <c r="IK33" s="33"/>
      <c r="IL33" s="33"/>
      <c r="IM33" s="33"/>
      <c r="IN33" s="33"/>
      <c r="IO33" s="33"/>
      <c r="IP33" s="33"/>
      <c r="IQ33" s="33"/>
      <c r="IR33" s="33"/>
      <c r="IS33" s="33"/>
      <c r="IT33" s="114"/>
      <c r="IU33" s="114"/>
      <c r="IV33" s="114"/>
      <c r="IW33" s="114"/>
      <c r="IX33" s="114"/>
      <c r="IY33" s="114"/>
      <c r="IZ33" s="114"/>
      <c r="JA33" s="109"/>
      <c r="JB33" s="33"/>
      <c r="JC33" s="33"/>
      <c r="JD33" s="33"/>
      <c r="JE33" s="33"/>
      <c r="JF33" s="33"/>
      <c r="JG33" s="1"/>
      <c r="JH33" s="1"/>
      <c r="JI33" s="33"/>
      <c r="JJ33" s="33"/>
      <c r="JK33" s="33"/>
      <c r="JL33" s="33"/>
      <c r="JM33" s="33"/>
      <c r="JN33" s="33"/>
      <c r="JO33" s="33"/>
      <c r="JP33" s="33"/>
      <c r="JQ33" s="33"/>
      <c r="JR33" s="33"/>
      <c r="JS33" s="33"/>
      <c r="JT33" s="33"/>
      <c r="JU33" s="33"/>
      <c r="JV33" s="33"/>
      <c r="JW33" s="33"/>
      <c r="JX33" s="33"/>
      <c r="JY33" s="33"/>
      <c r="JZ33" s="33"/>
      <c r="KA33" s="33"/>
      <c r="KB33" s="109"/>
      <c r="KC33" s="109"/>
      <c r="KD33" s="33"/>
      <c r="KE33" s="33"/>
      <c r="KF33" s="33"/>
      <c r="KG33" s="33"/>
      <c r="KH33" s="33"/>
      <c r="KI33" s="1"/>
      <c r="KJ33" s="1"/>
      <c r="KK33" s="33"/>
      <c r="KL33" s="33"/>
      <c r="KM33" s="33"/>
      <c r="KN33" s="33"/>
      <c r="KO33" s="33"/>
      <c r="KP33" s="33"/>
      <c r="KQ33" s="33"/>
      <c r="KR33" s="33"/>
      <c r="KS33" s="33"/>
      <c r="KT33" s="33"/>
      <c r="KU33" s="33"/>
      <c r="KV33" s="33"/>
      <c r="KW33" s="33"/>
      <c r="KX33" s="33"/>
      <c r="KY33" s="33"/>
      <c r="KZ33" s="33"/>
      <c r="LA33" s="33"/>
      <c r="LB33" s="33"/>
      <c r="LC33" s="33"/>
      <c r="LD33" s="109"/>
      <c r="LE33" s="109"/>
      <c r="LF33" s="33"/>
      <c r="LG33" s="33"/>
      <c r="LH33" s="33"/>
      <c r="LI33" s="33"/>
      <c r="LJ33" s="33"/>
      <c r="LK33" s="1"/>
      <c r="LL33" s="1"/>
      <c r="LM33" s="33"/>
      <c r="LN33" s="33"/>
      <c r="LO33" s="33"/>
      <c r="LP33" s="33"/>
      <c r="LQ33" s="33"/>
      <c r="LR33" s="33"/>
      <c r="LS33" s="33"/>
      <c r="LT33" s="33"/>
      <c r="LU33" s="33"/>
      <c r="LV33" s="33"/>
      <c r="LW33" s="33"/>
      <c r="LX33" s="33"/>
      <c r="LY33" s="1"/>
      <c r="LZ33" s="1"/>
      <c r="MA33" s="33"/>
      <c r="MB33" s="33"/>
      <c r="MC33" s="33"/>
      <c r="MD33" s="33"/>
      <c r="ME33" s="33"/>
      <c r="MF33" s="109"/>
      <c r="MG33" s="109"/>
      <c r="MH33" s="33"/>
      <c r="MI33" s="33"/>
      <c r="MJ33" s="33"/>
      <c r="MK33" s="33"/>
      <c r="ML33" s="33"/>
      <c r="MM33" s="1"/>
      <c r="MN33" s="1"/>
      <c r="MO33" s="33"/>
      <c r="MP33" s="33"/>
      <c r="MQ33" s="33"/>
      <c r="MR33" s="33"/>
      <c r="MS33" s="33"/>
      <c r="MT33" s="33"/>
      <c r="MU33" s="33"/>
      <c r="MV33" s="33"/>
      <c r="MW33" s="33"/>
      <c r="MX33" s="33"/>
      <c r="MY33" s="33"/>
      <c r="MZ33" s="33"/>
      <c r="NA33" s="33"/>
      <c r="NB33" s="33"/>
      <c r="NC33" s="33"/>
      <c r="ND33" s="33"/>
      <c r="NE33" s="33"/>
      <c r="NF33" s="33"/>
      <c r="NG33" s="33"/>
      <c r="NH33" s="109"/>
      <c r="NI33" s="109"/>
      <c r="NJ33" s="33"/>
      <c r="NK33" s="33"/>
      <c r="NL33" s="33"/>
      <c r="NM33" s="33"/>
      <c r="NN33" s="33"/>
      <c r="NO33" s="1"/>
      <c r="NP33" s="1"/>
      <c r="NQ33" s="33"/>
      <c r="NR33" s="33"/>
      <c r="NS33" s="33"/>
      <c r="NT33" s="33"/>
      <c r="NU33" s="33"/>
      <c r="NV33" s="33"/>
      <c r="NW33" s="33"/>
      <c r="NX33" s="33"/>
      <c r="NY33" s="33"/>
      <c r="NZ33" s="33"/>
      <c r="OA33" s="145"/>
      <c r="OB33" s="149"/>
    </row>
    <row r="34" spans="1:449">
      <c r="A34" s="97" t="s">
        <v>316</v>
      </c>
      <c r="B34" s="63" t="s">
        <v>317</v>
      </c>
      <c r="C34" s="103" t="s">
        <v>6</v>
      </c>
      <c r="D34" s="103" t="s">
        <v>6</v>
      </c>
      <c r="E34" s="103" t="s">
        <v>6</v>
      </c>
      <c r="F34" s="104" t="s">
        <v>140</v>
      </c>
      <c r="G34" s="33"/>
      <c r="H34" s="109"/>
      <c r="I34" s="109"/>
      <c r="J34" s="103" t="s">
        <v>6</v>
      </c>
      <c r="K34" s="103" t="s">
        <v>6</v>
      </c>
      <c r="L34" s="110" t="s">
        <v>8</v>
      </c>
      <c r="M34" s="104" t="s">
        <v>140</v>
      </c>
      <c r="N34" s="33"/>
      <c r="O34" s="1"/>
      <c r="P34" s="1"/>
      <c r="Q34" s="110" t="s">
        <v>8</v>
      </c>
      <c r="R34" s="110" t="s">
        <v>8</v>
      </c>
      <c r="S34" s="110" t="s">
        <v>8</v>
      </c>
      <c r="T34" s="110" t="s">
        <v>8</v>
      </c>
      <c r="U34" s="33"/>
      <c r="V34" s="33"/>
      <c r="W34" s="33"/>
      <c r="X34" s="110" t="s">
        <v>8</v>
      </c>
      <c r="Y34" s="110" t="s">
        <v>8</v>
      </c>
      <c r="Z34" s="110" t="s">
        <v>8</v>
      </c>
      <c r="AA34" s="110" t="s">
        <v>8</v>
      </c>
      <c r="AB34" s="33"/>
      <c r="AC34" s="33"/>
      <c r="AD34" s="33"/>
      <c r="AE34" s="110" t="s">
        <v>8</v>
      </c>
      <c r="AF34" s="110" t="s">
        <v>8</v>
      </c>
      <c r="AG34" s="110" t="s">
        <v>8</v>
      </c>
      <c r="AH34" s="110" t="s">
        <v>8</v>
      </c>
      <c r="AI34" s="33"/>
      <c r="AJ34" s="109"/>
      <c r="AK34" s="109"/>
      <c r="AL34" s="110" t="s">
        <v>8</v>
      </c>
      <c r="AM34" s="110" t="s">
        <v>8</v>
      </c>
      <c r="AN34" s="110" t="s">
        <v>8</v>
      </c>
      <c r="AO34" s="110" t="s">
        <v>8</v>
      </c>
      <c r="AP34" s="33"/>
      <c r="AQ34" s="1"/>
      <c r="AR34" s="1"/>
      <c r="AS34" s="110" t="s">
        <v>8</v>
      </c>
      <c r="AT34" s="110" t="s">
        <v>8</v>
      </c>
      <c r="AU34" s="110" t="s">
        <v>8</v>
      </c>
      <c r="AV34" s="110" t="s">
        <v>8</v>
      </c>
      <c r="AW34" s="33"/>
      <c r="AX34" s="33"/>
      <c r="AY34" s="33"/>
      <c r="AZ34" s="110" t="s">
        <v>8</v>
      </c>
      <c r="BA34" s="110" t="s">
        <v>8</v>
      </c>
      <c r="BB34" s="110" t="s">
        <v>8</v>
      </c>
      <c r="BC34" s="110" t="s">
        <v>8</v>
      </c>
      <c r="BD34" s="33"/>
      <c r="BE34" s="33"/>
      <c r="BF34" s="33"/>
      <c r="BG34" s="110" t="s">
        <v>8</v>
      </c>
      <c r="BH34" s="110" t="s">
        <v>8</v>
      </c>
      <c r="BI34" s="110" t="s">
        <v>8</v>
      </c>
      <c r="BJ34" s="110" t="s">
        <v>8</v>
      </c>
      <c r="BK34" s="33"/>
      <c r="BL34" s="109"/>
      <c r="BM34" s="109"/>
      <c r="BN34" s="115" t="s">
        <v>6</v>
      </c>
      <c r="BO34" s="103" t="s">
        <v>6</v>
      </c>
      <c r="BP34" s="110" t="s">
        <v>8</v>
      </c>
      <c r="BQ34" s="110" t="s">
        <v>8</v>
      </c>
      <c r="BR34" s="33"/>
      <c r="BS34" s="1"/>
      <c r="BT34" s="1"/>
      <c r="BU34" s="115" t="s">
        <v>307</v>
      </c>
      <c r="BV34" s="115" t="s">
        <v>307</v>
      </c>
      <c r="BW34" s="115" t="s">
        <v>307</v>
      </c>
      <c r="BX34" s="115" t="s">
        <v>307</v>
      </c>
      <c r="BY34" s="33"/>
      <c r="BZ34" s="33"/>
      <c r="CA34" s="33"/>
      <c r="CB34" s="110" t="s">
        <v>8</v>
      </c>
      <c r="CC34" s="110" t="s">
        <v>8</v>
      </c>
      <c r="CD34" s="110" t="s">
        <v>8</v>
      </c>
      <c r="CE34" s="110" t="s">
        <v>8</v>
      </c>
      <c r="CF34" s="33"/>
      <c r="CG34" s="33"/>
      <c r="CH34" s="33"/>
      <c r="CI34" s="108" t="s">
        <v>10</v>
      </c>
      <c r="CJ34" s="108" t="s">
        <v>10</v>
      </c>
      <c r="CK34" s="110" t="s">
        <v>8</v>
      </c>
      <c r="CL34" s="110" t="s">
        <v>8</v>
      </c>
      <c r="CM34" s="33"/>
      <c r="CN34" s="109"/>
      <c r="CO34" s="109"/>
      <c r="CP34" s="110" t="s">
        <v>8</v>
      </c>
      <c r="CQ34" s="110" t="s">
        <v>8</v>
      </c>
      <c r="CR34" s="110" t="s">
        <v>8</v>
      </c>
      <c r="CS34" s="110" t="s">
        <v>8</v>
      </c>
      <c r="CT34" s="33"/>
      <c r="CU34" s="1"/>
      <c r="CV34" s="1"/>
      <c r="CW34" s="110" t="s">
        <v>8</v>
      </c>
      <c r="CX34" s="110" t="s">
        <v>8</v>
      </c>
      <c r="CY34" s="110" t="s">
        <v>8</v>
      </c>
      <c r="CZ34" s="110" t="s">
        <v>8</v>
      </c>
      <c r="DA34" s="33"/>
      <c r="DB34" s="33"/>
      <c r="DC34" s="33"/>
      <c r="DD34" s="104" t="s">
        <v>140</v>
      </c>
      <c r="DE34" s="110" t="s">
        <v>8</v>
      </c>
      <c r="DF34" s="110" t="s">
        <v>8</v>
      </c>
      <c r="DG34" s="110" t="s">
        <v>8</v>
      </c>
      <c r="DH34" s="33"/>
      <c r="DI34" s="33"/>
      <c r="DJ34" s="33"/>
      <c r="DK34" s="110" t="s">
        <v>8</v>
      </c>
      <c r="DL34" s="110" t="s">
        <v>8</v>
      </c>
      <c r="DM34" s="110" t="s">
        <v>8</v>
      </c>
      <c r="DN34" s="110" t="s">
        <v>8</v>
      </c>
      <c r="DO34" s="33"/>
      <c r="DP34" s="109"/>
      <c r="DQ34" s="109"/>
      <c r="DR34" s="110" t="s">
        <v>8</v>
      </c>
      <c r="DS34" s="110" t="s">
        <v>8</v>
      </c>
      <c r="DT34" s="110" t="s">
        <v>8</v>
      </c>
      <c r="DU34" s="110" t="s">
        <v>8</v>
      </c>
      <c r="DV34" s="33"/>
      <c r="DW34" s="1"/>
      <c r="DX34" s="1"/>
      <c r="DY34" s="104" t="s">
        <v>140</v>
      </c>
      <c r="DZ34" s="110" t="s">
        <v>8</v>
      </c>
      <c r="EA34" s="110" t="s">
        <v>8</v>
      </c>
      <c r="EB34" s="110" t="s">
        <v>8</v>
      </c>
      <c r="EC34" s="33"/>
      <c r="ED34" s="33"/>
      <c r="EE34" s="33"/>
      <c r="EF34" s="110" t="s">
        <v>8</v>
      </c>
      <c r="EG34" s="110" t="s">
        <v>8</v>
      </c>
      <c r="EH34" s="110" t="s">
        <v>8</v>
      </c>
      <c r="EI34" s="110" t="s">
        <v>8</v>
      </c>
      <c r="EJ34" s="33"/>
      <c r="EK34" s="33"/>
      <c r="EL34" s="33"/>
      <c r="EM34" s="110" t="s">
        <v>8</v>
      </c>
      <c r="EN34" s="110" t="s">
        <v>8</v>
      </c>
      <c r="EO34" s="110" t="s">
        <v>8</v>
      </c>
      <c r="EP34" s="104" t="s">
        <v>140</v>
      </c>
      <c r="EQ34" s="33"/>
      <c r="ER34" s="109"/>
      <c r="ES34" s="109"/>
      <c r="ET34" s="110" t="s">
        <v>8</v>
      </c>
      <c r="EU34" s="110" t="s">
        <v>8</v>
      </c>
      <c r="EV34" s="110" t="s">
        <v>8</v>
      </c>
      <c r="EW34" s="110" t="s">
        <v>8</v>
      </c>
      <c r="EX34" s="33"/>
      <c r="EY34" s="1"/>
      <c r="EZ34" s="1"/>
      <c r="FA34" s="104" t="s">
        <v>140</v>
      </c>
      <c r="FB34" s="110" t="s">
        <v>8</v>
      </c>
      <c r="FC34" s="110" t="s">
        <v>8</v>
      </c>
      <c r="FD34" s="110" t="s">
        <v>8</v>
      </c>
      <c r="FE34" s="33"/>
      <c r="FF34" s="33"/>
      <c r="FG34" s="33"/>
      <c r="FH34" s="110" t="s">
        <v>8</v>
      </c>
      <c r="FI34" s="110" t="s">
        <v>8</v>
      </c>
      <c r="FJ34" s="110" t="s">
        <v>8</v>
      </c>
      <c r="FK34" s="110" t="s">
        <v>8</v>
      </c>
      <c r="FL34" s="33"/>
      <c r="FM34" s="33"/>
      <c r="FN34" s="33"/>
      <c r="FO34" s="110" t="s">
        <v>8</v>
      </c>
      <c r="FP34" s="110" t="s">
        <v>8</v>
      </c>
      <c r="FQ34" s="110" t="s">
        <v>8</v>
      </c>
      <c r="FR34" s="110" t="s">
        <v>8</v>
      </c>
      <c r="FS34" s="33"/>
      <c r="FT34" s="109"/>
      <c r="FU34" s="109"/>
      <c r="FV34" s="110" t="s">
        <v>8</v>
      </c>
      <c r="FW34" s="110" t="s">
        <v>8</v>
      </c>
      <c r="FX34" s="110" t="s">
        <v>8</v>
      </c>
      <c r="FY34" s="110" t="s">
        <v>8</v>
      </c>
      <c r="FZ34" s="33"/>
      <c r="GA34" s="1"/>
      <c r="GB34" s="1"/>
      <c r="GC34" s="110" t="s">
        <v>8</v>
      </c>
      <c r="GD34" s="110" t="s">
        <v>8</v>
      </c>
      <c r="GE34" s="110" t="s">
        <v>8</v>
      </c>
      <c r="GF34" s="110" t="s">
        <v>8</v>
      </c>
      <c r="GG34" s="33"/>
      <c r="GH34" s="33"/>
      <c r="GI34" s="33"/>
      <c r="GJ34" s="110" t="s">
        <v>8</v>
      </c>
      <c r="GK34" s="110" t="s">
        <v>8</v>
      </c>
      <c r="GL34" s="110" t="s">
        <v>8</v>
      </c>
      <c r="GM34" s="110" t="s">
        <v>8</v>
      </c>
      <c r="GN34" s="33"/>
      <c r="GO34" s="33"/>
      <c r="GP34" s="33"/>
      <c r="GQ34" s="110" t="s">
        <v>8</v>
      </c>
      <c r="GR34" s="110" t="s">
        <v>8</v>
      </c>
      <c r="GS34" s="110" t="s">
        <v>8</v>
      </c>
      <c r="GT34" s="110" t="s">
        <v>8</v>
      </c>
      <c r="GU34" s="33"/>
      <c r="GV34" s="109"/>
      <c r="GW34" s="109"/>
      <c r="GX34" s="110" t="s">
        <v>8</v>
      </c>
      <c r="GY34" s="110" t="s">
        <v>8</v>
      </c>
      <c r="GZ34" s="110" t="s">
        <v>8</v>
      </c>
      <c r="HA34" s="110" t="s">
        <v>8</v>
      </c>
      <c r="HB34" s="33"/>
      <c r="HC34" s="1"/>
      <c r="HD34" s="1"/>
      <c r="HE34" s="110" t="s">
        <v>8</v>
      </c>
      <c r="HF34" s="110" t="s">
        <v>8</v>
      </c>
      <c r="HG34" s="110" t="s">
        <v>8</v>
      </c>
      <c r="HH34" s="110" t="s">
        <v>8</v>
      </c>
      <c r="HI34" s="33"/>
      <c r="HJ34" s="33"/>
      <c r="HK34" s="33"/>
      <c r="HL34" s="115" t="s">
        <v>307</v>
      </c>
      <c r="HM34" s="115" t="s">
        <v>307</v>
      </c>
      <c r="HN34" s="115" t="s">
        <v>307</v>
      </c>
      <c r="HO34" s="115" t="s">
        <v>307</v>
      </c>
      <c r="HP34" s="33"/>
      <c r="HQ34" s="1"/>
      <c r="HR34" s="1"/>
      <c r="HS34" s="115" t="s">
        <v>307</v>
      </c>
      <c r="HT34" s="115" t="s">
        <v>307</v>
      </c>
      <c r="HU34" s="115" t="s">
        <v>307</v>
      </c>
      <c r="HV34" s="115" t="s">
        <v>307</v>
      </c>
      <c r="HW34" s="33"/>
      <c r="HX34" s="109"/>
      <c r="HY34" s="109"/>
      <c r="HZ34" s="115" t="s">
        <v>307</v>
      </c>
      <c r="IA34" s="115" t="s">
        <v>307</v>
      </c>
      <c r="IB34" s="115" t="s">
        <v>307</v>
      </c>
      <c r="IC34" s="115" t="s">
        <v>307</v>
      </c>
      <c r="ID34" s="33"/>
      <c r="IE34" s="1"/>
      <c r="IF34" s="1"/>
      <c r="IG34" s="115" t="s">
        <v>307</v>
      </c>
      <c r="IH34" s="110" t="s">
        <v>8</v>
      </c>
      <c r="II34" s="110" t="s">
        <v>8</v>
      </c>
      <c r="IJ34" s="110" t="s">
        <v>8</v>
      </c>
      <c r="IK34" s="33"/>
      <c r="IL34" s="33"/>
      <c r="IM34" s="33"/>
      <c r="IN34" s="110" t="s">
        <v>8</v>
      </c>
      <c r="IO34" s="110" t="s">
        <v>8</v>
      </c>
      <c r="IP34" s="110" t="s">
        <v>8</v>
      </c>
      <c r="IQ34" s="110" t="s">
        <v>8</v>
      </c>
      <c r="IR34" s="33"/>
      <c r="IS34" s="33"/>
      <c r="IT34" s="33"/>
      <c r="IU34" s="110" t="s">
        <v>8</v>
      </c>
      <c r="IV34" s="110" t="s">
        <v>8</v>
      </c>
      <c r="IW34" s="110" t="s">
        <v>8</v>
      </c>
      <c r="IX34" s="110" t="s">
        <v>8</v>
      </c>
      <c r="IY34" s="33"/>
      <c r="IZ34" s="109"/>
      <c r="JA34" s="109"/>
      <c r="JB34" s="110" t="s">
        <v>8</v>
      </c>
      <c r="JC34" s="110" t="s">
        <v>8</v>
      </c>
      <c r="JD34" s="110" t="s">
        <v>8</v>
      </c>
      <c r="JE34" s="110" t="s">
        <v>8</v>
      </c>
      <c r="JF34" s="33"/>
      <c r="JG34" s="1"/>
      <c r="JH34" s="1"/>
      <c r="JI34" s="110" t="s">
        <v>8</v>
      </c>
      <c r="JJ34" s="110" t="s">
        <v>8</v>
      </c>
      <c r="JK34" s="110" t="s">
        <v>8</v>
      </c>
      <c r="JL34" s="110" t="s">
        <v>8</v>
      </c>
      <c r="JM34" s="33"/>
      <c r="JN34" s="33"/>
      <c r="JO34" s="33"/>
      <c r="JP34" s="110" t="s">
        <v>8</v>
      </c>
      <c r="JQ34" s="110" t="s">
        <v>8</v>
      </c>
      <c r="JR34" s="110" t="s">
        <v>8</v>
      </c>
      <c r="JS34" s="110" t="s">
        <v>8</v>
      </c>
      <c r="JT34" s="33"/>
      <c r="JU34" s="33"/>
      <c r="JV34" s="33"/>
      <c r="JW34" s="110" t="s">
        <v>8</v>
      </c>
      <c r="JX34" s="110" t="s">
        <v>8</v>
      </c>
      <c r="JY34" s="110" t="s">
        <v>8</v>
      </c>
      <c r="JZ34" s="110" t="s">
        <v>8</v>
      </c>
      <c r="KA34" s="33"/>
      <c r="KB34" s="109"/>
      <c r="KC34" s="109"/>
      <c r="KD34" s="110" t="s">
        <v>8</v>
      </c>
      <c r="KE34" s="110" t="s">
        <v>8</v>
      </c>
      <c r="KF34" s="110" t="s">
        <v>8</v>
      </c>
      <c r="KG34" s="110" t="s">
        <v>8</v>
      </c>
      <c r="KH34" s="33"/>
      <c r="KI34" s="1"/>
      <c r="KJ34" s="1"/>
      <c r="KK34" s="110" t="s">
        <v>8</v>
      </c>
      <c r="KL34" s="110" t="s">
        <v>8</v>
      </c>
      <c r="KM34" s="110" t="s">
        <v>8</v>
      </c>
      <c r="KN34" s="110" t="s">
        <v>8</v>
      </c>
      <c r="KO34" s="33"/>
      <c r="KP34" s="33"/>
      <c r="KQ34" s="33"/>
      <c r="KR34" s="110" t="s">
        <v>8</v>
      </c>
      <c r="KS34" s="110" t="s">
        <v>8</v>
      </c>
      <c r="KT34" s="110" t="s">
        <v>8</v>
      </c>
      <c r="KU34" s="110" t="s">
        <v>8</v>
      </c>
      <c r="KV34" s="33"/>
      <c r="KW34" s="33"/>
      <c r="KX34" s="33"/>
      <c r="KY34" s="110" t="s">
        <v>8</v>
      </c>
      <c r="KZ34" s="110" t="s">
        <v>8</v>
      </c>
      <c r="LA34" s="110" t="s">
        <v>8</v>
      </c>
      <c r="LB34" s="110" t="s">
        <v>8</v>
      </c>
      <c r="LC34" s="33"/>
      <c r="LD34" s="109"/>
      <c r="LE34" s="109"/>
      <c r="LF34" s="110" t="s">
        <v>8</v>
      </c>
      <c r="LG34" s="110" t="s">
        <v>8</v>
      </c>
      <c r="LH34" s="110" t="s">
        <v>8</v>
      </c>
      <c r="LI34" s="110" t="s">
        <v>8</v>
      </c>
      <c r="LJ34" s="33"/>
      <c r="LK34" s="1"/>
      <c r="LL34" s="1"/>
      <c r="LM34" s="110" t="s">
        <v>8</v>
      </c>
      <c r="LN34" s="110" t="s">
        <v>8</v>
      </c>
      <c r="LO34" s="110" t="s">
        <v>8</v>
      </c>
      <c r="LP34" s="110" t="s">
        <v>8</v>
      </c>
      <c r="LQ34" s="33"/>
      <c r="LR34" s="33"/>
      <c r="LS34" s="33"/>
      <c r="LT34" s="110" t="s">
        <v>8</v>
      </c>
      <c r="LU34" s="110" t="s">
        <v>8</v>
      </c>
      <c r="LV34" s="110" t="s">
        <v>8</v>
      </c>
      <c r="LW34" s="110" t="s">
        <v>8</v>
      </c>
      <c r="LX34" s="33"/>
      <c r="LY34" s="1"/>
      <c r="LZ34" s="1"/>
      <c r="MA34" s="110" t="s">
        <v>8</v>
      </c>
      <c r="MB34" s="110" t="s">
        <v>8</v>
      </c>
      <c r="MC34" s="110" t="s">
        <v>8</v>
      </c>
      <c r="MD34" s="110" t="s">
        <v>8</v>
      </c>
      <c r="ME34" s="33"/>
      <c r="MF34" s="109"/>
      <c r="MG34" s="109"/>
      <c r="MH34" s="110" t="s">
        <v>8</v>
      </c>
      <c r="MI34" s="110" t="s">
        <v>8</v>
      </c>
      <c r="MJ34" s="110" t="s">
        <v>8</v>
      </c>
      <c r="MK34" s="110" t="s">
        <v>8</v>
      </c>
      <c r="ML34" s="33"/>
      <c r="MM34" s="1"/>
      <c r="MN34" s="1"/>
      <c r="MO34" s="110" t="s">
        <v>8</v>
      </c>
      <c r="MP34" s="110" t="s">
        <v>8</v>
      </c>
      <c r="MQ34" s="110" t="s">
        <v>8</v>
      </c>
      <c r="MR34" s="110" t="s">
        <v>8</v>
      </c>
      <c r="MS34" s="33"/>
      <c r="MT34" s="33"/>
      <c r="MU34" s="33"/>
      <c r="MV34" s="110" t="s">
        <v>8</v>
      </c>
      <c r="MW34" s="110" t="s">
        <v>8</v>
      </c>
      <c r="MX34" s="110" t="s">
        <v>8</v>
      </c>
      <c r="MY34" s="110" t="s">
        <v>8</v>
      </c>
      <c r="MZ34" s="33"/>
      <c r="NA34" s="33"/>
      <c r="NB34" s="33"/>
      <c r="NC34" s="110" t="s">
        <v>8</v>
      </c>
      <c r="ND34" s="110" t="s">
        <v>8</v>
      </c>
      <c r="NE34" s="110" t="s">
        <v>8</v>
      </c>
      <c r="NF34" s="110" t="s">
        <v>8</v>
      </c>
      <c r="NG34" s="33"/>
      <c r="NH34" s="109"/>
      <c r="NI34" s="109"/>
      <c r="NJ34" s="110" t="s">
        <v>8</v>
      </c>
      <c r="NK34" s="110" t="s">
        <v>8</v>
      </c>
      <c r="NL34" s="110" t="s">
        <v>8</v>
      </c>
      <c r="NM34" s="110" t="s">
        <v>8</v>
      </c>
      <c r="NN34" s="33"/>
      <c r="NO34" s="1"/>
      <c r="NP34" s="1"/>
      <c r="NQ34" s="33"/>
      <c r="NR34" s="33"/>
      <c r="NS34" s="33"/>
      <c r="NT34" s="33"/>
      <c r="NU34" s="33"/>
      <c r="NV34" s="33"/>
      <c r="NW34" s="33"/>
      <c r="NX34" s="33"/>
      <c r="NY34" s="33"/>
      <c r="NZ34" s="33"/>
      <c r="OA34" s="145"/>
      <c r="OB34" s="149"/>
    </row>
    <row r="35" spans="1:449">
      <c r="A35" s="97"/>
      <c r="B35" s="63"/>
      <c r="C35" s="33"/>
      <c r="D35" s="33"/>
      <c r="E35" s="33"/>
      <c r="F35" s="33"/>
      <c r="G35" s="33"/>
      <c r="H35" s="109"/>
      <c r="I35" s="109"/>
      <c r="J35" s="33"/>
      <c r="K35" s="33"/>
      <c r="L35" s="33"/>
      <c r="M35" s="33"/>
      <c r="N35" s="33"/>
      <c r="O35" s="1"/>
      <c r="P35" s="1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109"/>
      <c r="AK35" s="109"/>
      <c r="AL35" s="33"/>
      <c r="AM35" s="33"/>
      <c r="AN35" s="33"/>
      <c r="AO35" s="33"/>
      <c r="AP35" s="33"/>
      <c r="AQ35" s="1"/>
      <c r="AR35" s="1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109"/>
      <c r="BM35" s="109"/>
      <c r="BN35" s="33"/>
      <c r="BO35" s="33"/>
      <c r="BP35" s="33"/>
      <c r="BQ35" s="33"/>
      <c r="BR35" s="33"/>
      <c r="BS35" s="1"/>
      <c r="BT35" s="1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109"/>
      <c r="CO35" s="109"/>
      <c r="CP35" s="33"/>
      <c r="CQ35" s="33"/>
      <c r="CR35" s="33"/>
      <c r="CS35" s="33"/>
      <c r="CT35" s="33"/>
      <c r="CU35" s="1"/>
      <c r="CV35" s="1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33"/>
      <c r="DL35" s="33"/>
      <c r="DM35" s="33"/>
      <c r="DN35" s="33"/>
      <c r="DO35" s="33"/>
      <c r="DP35" s="109"/>
      <c r="DQ35" s="109"/>
      <c r="DR35" s="33"/>
      <c r="DS35" s="33"/>
      <c r="DT35" s="33"/>
      <c r="DU35" s="33"/>
      <c r="DV35" s="33"/>
      <c r="DW35" s="1"/>
      <c r="DX35" s="1"/>
      <c r="DY35" s="33"/>
      <c r="DZ35" s="33"/>
      <c r="EA35" s="33"/>
      <c r="EB35" s="33"/>
      <c r="EC35" s="33"/>
      <c r="ED35" s="33"/>
      <c r="EE35" s="33"/>
      <c r="EF35" s="33"/>
      <c r="EG35" s="33"/>
      <c r="EH35" s="33"/>
      <c r="EI35" s="33"/>
      <c r="EJ35" s="33"/>
      <c r="EK35" s="33"/>
      <c r="EL35" s="33"/>
      <c r="EM35" s="33"/>
      <c r="EN35" s="33"/>
      <c r="EO35" s="33"/>
      <c r="EP35" s="33"/>
      <c r="EQ35" s="33"/>
      <c r="ER35" s="109"/>
      <c r="ES35" s="109"/>
      <c r="ET35" s="33"/>
      <c r="EU35" s="33"/>
      <c r="EV35" s="33"/>
      <c r="EW35" s="33"/>
      <c r="EX35" s="33"/>
      <c r="EY35" s="1"/>
      <c r="EZ35" s="1"/>
      <c r="FA35" s="33"/>
      <c r="FB35" s="33"/>
      <c r="FC35" s="33"/>
      <c r="FD35" s="33"/>
      <c r="FE35" s="33"/>
      <c r="FF35" s="33"/>
      <c r="FG35" s="33"/>
      <c r="FH35" s="33"/>
      <c r="FI35" s="33"/>
      <c r="FJ35" s="33"/>
      <c r="FK35" s="33"/>
      <c r="FL35" s="33"/>
      <c r="FM35" s="33"/>
      <c r="FN35" s="33"/>
      <c r="FO35" s="33"/>
      <c r="FP35" s="33"/>
      <c r="FQ35" s="33"/>
      <c r="FR35" s="33"/>
      <c r="FS35" s="33"/>
      <c r="FT35" s="109"/>
      <c r="FU35" s="109"/>
      <c r="FV35" s="33"/>
      <c r="FW35" s="33"/>
      <c r="FX35" s="33"/>
      <c r="FY35" s="33"/>
      <c r="FZ35" s="33"/>
      <c r="GA35" s="1"/>
      <c r="GB35" s="1"/>
      <c r="GC35" s="33"/>
      <c r="GD35" s="33"/>
      <c r="GE35" s="33"/>
      <c r="GF35" s="33"/>
      <c r="GG35" s="33"/>
      <c r="GH35" s="33"/>
      <c r="GI35" s="33"/>
      <c r="GJ35" s="33"/>
      <c r="GK35" s="33"/>
      <c r="GL35" s="33"/>
      <c r="GM35" s="33"/>
      <c r="GN35" s="33"/>
      <c r="GO35" s="33"/>
      <c r="GP35" s="33"/>
      <c r="GQ35" s="33"/>
      <c r="GR35" s="33"/>
      <c r="GS35" s="33"/>
      <c r="GT35" s="33"/>
      <c r="GU35" s="33"/>
      <c r="GV35" s="109"/>
      <c r="GW35" s="109"/>
      <c r="GX35" s="33"/>
      <c r="GY35" s="33"/>
      <c r="GZ35" s="33"/>
      <c r="HA35" s="33"/>
      <c r="HB35" s="33"/>
      <c r="HC35" s="1"/>
      <c r="HD35" s="1"/>
      <c r="HE35" s="33"/>
      <c r="HF35" s="33"/>
      <c r="HG35" s="33"/>
      <c r="HH35" s="33"/>
      <c r="HI35" s="33"/>
      <c r="HJ35" s="33"/>
      <c r="HK35" s="33"/>
      <c r="HL35" s="33"/>
      <c r="HM35" s="33"/>
      <c r="HN35" s="33"/>
      <c r="HO35" s="33"/>
      <c r="HP35" s="33"/>
      <c r="HQ35" s="1"/>
      <c r="HR35" s="1"/>
      <c r="HS35" s="33"/>
      <c r="HT35" s="33"/>
      <c r="HU35" s="33"/>
      <c r="HV35" s="33"/>
      <c r="HW35" s="33"/>
      <c r="HX35" s="109"/>
      <c r="HY35" s="109"/>
      <c r="HZ35" s="33"/>
      <c r="IA35" s="33"/>
      <c r="IB35" s="33"/>
      <c r="IC35" s="33"/>
      <c r="ID35" s="33"/>
      <c r="IE35" s="1"/>
      <c r="IF35" s="1"/>
      <c r="IG35" s="33"/>
      <c r="IH35" s="33"/>
      <c r="II35" s="33"/>
      <c r="IJ35" s="33"/>
      <c r="IK35" s="33"/>
      <c r="IL35" s="33"/>
      <c r="IM35" s="33"/>
      <c r="IN35" s="33"/>
      <c r="IO35" s="33"/>
      <c r="IP35" s="33"/>
      <c r="IQ35" s="33"/>
      <c r="IR35" s="33"/>
      <c r="IS35" s="33"/>
      <c r="IT35" s="33"/>
      <c r="IU35" s="33"/>
      <c r="IV35" s="33"/>
      <c r="IW35" s="33"/>
      <c r="IX35" s="33"/>
      <c r="IY35" s="33"/>
      <c r="IZ35" s="109"/>
      <c r="JA35" s="109"/>
      <c r="JB35" s="33"/>
      <c r="JC35" s="33"/>
      <c r="JD35" s="33"/>
      <c r="JE35" s="33"/>
      <c r="JF35" s="33"/>
      <c r="JG35" s="1"/>
      <c r="JH35" s="1"/>
      <c r="JI35" s="33"/>
      <c r="JJ35" s="33"/>
      <c r="JK35" s="33"/>
      <c r="JL35" s="33"/>
      <c r="JM35" s="33"/>
      <c r="JN35" s="33"/>
      <c r="JO35" s="33"/>
      <c r="JP35" s="33"/>
      <c r="JQ35" s="33"/>
      <c r="JR35" s="33"/>
      <c r="JS35" s="33"/>
      <c r="JT35" s="33"/>
      <c r="JU35" s="33"/>
      <c r="JV35" s="33"/>
      <c r="JW35" s="33"/>
      <c r="JX35" s="33"/>
      <c r="JY35" s="33"/>
      <c r="JZ35" s="33"/>
      <c r="KA35" s="33"/>
      <c r="KB35" s="109"/>
      <c r="KC35" s="109"/>
      <c r="KD35" s="33"/>
      <c r="KE35" s="33"/>
      <c r="KF35" s="33"/>
      <c r="KG35" s="33"/>
      <c r="KH35" s="33"/>
      <c r="KI35" s="1"/>
      <c r="KJ35" s="1"/>
      <c r="KK35" s="33"/>
      <c r="KL35" s="33"/>
      <c r="KM35" s="33"/>
      <c r="KN35" s="33"/>
      <c r="KO35" s="33"/>
      <c r="KP35" s="33"/>
      <c r="KQ35" s="33"/>
      <c r="KR35" s="33"/>
      <c r="KS35" s="33"/>
      <c r="KT35" s="33"/>
      <c r="KU35" s="33"/>
      <c r="KV35" s="33"/>
      <c r="KW35" s="33"/>
      <c r="KX35" s="33"/>
      <c r="KY35" s="33"/>
      <c r="KZ35" s="33"/>
      <c r="LA35" s="33"/>
      <c r="LB35" s="33"/>
      <c r="LC35" s="33"/>
      <c r="LD35" s="109"/>
      <c r="LE35" s="109"/>
      <c r="LF35" s="33"/>
      <c r="LG35" s="33"/>
      <c r="LH35" s="33"/>
      <c r="LI35" s="33"/>
      <c r="LJ35" s="33"/>
      <c r="LK35" s="1"/>
      <c r="LL35" s="1"/>
      <c r="LM35" s="33"/>
      <c r="LN35" s="33"/>
      <c r="LO35" s="33"/>
      <c r="LP35" s="33"/>
      <c r="LQ35" s="33"/>
      <c r="LR35" s="33"/>
      <c r="LS35" s="33"/>
      <c r="LT35" s="33"/>
      <c r="LU35" s="33"/>
      <c r="LV35" s="33"/>
      <c r="LW35" s="33"/>
      <c r="LX35" s="33"/>
      <c r="LY35" s="1"/>
      <c r="LZ35" s="1"/>
      <c r="MA35" s="33"/>
      <c r="MB35" s="33"/>
      <c r="MC35" s="33"/>
      <c r="MD35" s="33"/>
      <c r="ME35" s="33"/>
      <c r="MF35" s="109"/>
      <c r="MG35" s="109"/>
      <c r="MH35" s="33"/>
      <c r="MI35" s="33"/>
      <c r="MJ35" s="33"/>
      <c r="MK35" s="33"/>
      <c r="ML35" s="33"/>
      <c r="MM35" s="1"/>
      <c r="MN35" s="1"/>
      <c r="MO35" s="33"/>
      <c r="MP35" s="33"/>
      <c r="MQ35" s="33"/>
      <c r="MR35" s="33"/>
      <c r="MS35" s="33"/>
      <c r="MT35" s="33"/>
      <c r="MU35" s="33"/>
      <c r="MV35" s="33"/>
      <c r="MW35" s="33"/>
      <c r="MX35" s="33"/>
      <c r="MY35" s="33"/>
      <c r="MZ35" s="33"/>
      <c r="NA35" s="33"/>
      <c r="NB35" s="33"/>
      <c r="NC35" s="33"/>
      <c r="ND35" s="33"/>
      <c r="NE35" s="33"/>
      <c r="NF35" s="33"/>
      <c r="NG35" s="33"/>
      <c r="NH35" s="109"/>
      <c r="NI35" s="109"/>
      <c r="NJ35" s="33"/>
      <c r="NK35" s="33"/>
      <c r="NL35" s="33"/>
      <c r="NM35" s="33"/>
      <c r="NN35" s="33"/>
      <c r="NO35" s="1"/>
      <c r="NP35" s="1"/>
      <c r="NQ35" s="33"/>
      <c r="NR35" s="33"/>
      <c r="NS35" s="33"/>
      <c r="NT35" s="33"/>
      <c r="NU35" s="33"/>
      <c r="NV35" s="33"/>
      <c r="NW35" s="33"/>
      <c r="NX35" s="33"/>
      <c r="NY35" s="33"/>
      <c r="NZ35" s="33"/>
      <c r="OA35" s="145"/>
      <c r="OB35" s="149"/>
    </row>
    <row r="36" spans="1:449">
      <c r="A36" s="97" t="s">
        <v>318</v>
      </c>
      <c r="B36" s="63" t="s">
        <v>319</v>
      </c>
      <c r="C36" s="110" t="s">
        <v>8</v>
      </c>
      <c r="D36" s="110" t="s">
        <v>8</v>
      </c>
      <c r="E36" s="33"/>
      <c r="F36" s="104" t="s">
        <v>140</v>
      </c>
      <c r="G36" s="104" t="s">
        <v>140</v>
      </c>
      <c r="H36" s="109"/>
      <c r="I36" s="109"/>
      <c r="J36" s="110" t="s">
        <v>8</v>
      </c>
      <c r="K36" s="110" t="s">
        <v>8</v>
      </c>
      <c r="L36" s="33"/>
      <c r="M36" s="104" t="s">
        <v>140</v>
      </c>
      <c r="N36" s="103" t="s">
        <v>6</v>
      </c>
      <c r="O36" s="1"/>
      <c r="P36" s="1"/>
      <c r="Q36" s="113" t="s">
        <v>8</v>
      </c>
      <c r="R36" s="113" t="s">
        <v>8</v>
      </c>
      <c r="S36" s="1"/>
      <c r="T36" s="111" t="s">
        <v>8</v>
      </c>
      <c r="U36" s="111" t="s">
        <v>8</v>
      </c>
      <c r="V36" s="33"/>
      <c r="W36" s="33"/>
      <c r="X36" s="108" t="s">
        <v>10</v>
      </c>
      <c r="Y36" s="108" t="s">
        <v>10</v>
      </c>
      <c r="Z36" s="1"/>
      <c r="AA36" s="111" t="s">
        <v>8</v>
      </c>
      <c r="AB36" s="111" t="s">
        <v>8</v>
      </c>
      <c r="AC36" s="33"/>
      <c r="AD36" s="33"/>
      <c r="AE36" s="113" t="s">
        <v>8</v>
      </c>
      <c r="AF36" s="113" t="s">
        <v>8</v>
      </c>
      <c r="AG36" s="1"/>
      <c r="AH36" s="111" t="s">
        <v>8</v>
      </c>
      <c r="AI36" s="111" t="s">
        <v>8</v>
      </c>
      <c r="AJ36" s="109"/>
      <c r="AK36" s="109"/>
      <c r="AL36" s="110" t="s">
        <v>8</v>
      </c>
      <c r="AM36" s="110" t="s">
        <v>8</v>
      </c>
      <c r="AN36" s="33"/>
      <c r="AO36" s="111" t="s">
        <v>8</v>
      </c>
      <c r="AP36" s="111" t="s">
        <v>8</v>
      </c>
      <c r="AQ36" s="1"/>
      <c r="AR36" s="1"/>
      <c r="AS36" s="110" t="s">
        <v>8</v>
      </c>
      <c r="AT36" s="110" t="s">
        <v>8</v>
      </c>
      <c r="AU36" s="33"/>
      <c r="AV36" s="111" t="s">
        <v>8</v>
      </c>
      <c r="AW36" s="111" t="s">
        <v>8</v>
      </c>
      <c r="AX36" s="33"/>
      <c r="AY36" s="33"/>
      <c r="AZ36" s="110" t="s">
        <v>8</v>
      </c>
      <c r="BA36" s="110" t="s">
        <v>8</v>
      </c>
      <c r="BB36" s="33"/>
      <c r="BC36" s="111" t="s">
        <v>8</v>
      </c>
      <c r="BD36" s="111" t="s">
        <v>8</v>
      </c>
      <c r="BE36" s="33"/>
      <c r="BF36" s="33"/>
      <c r="BG36" s="110" t="s">
        <v>8</v>
      </c>
      <c r="BH36" s="110" t="s">
        <v>8</v>
      </c>
      <c r="BI36" s="33"/>
      <c r="BJ36" s="111" t="s">
        <v>8</v>
      </c>
      <c r="BK36" s="111" t="s">
        <v>8</v>
      </c>
      <c r="BL36" s="109"/>
      <c r="BM36" s="109"/>
      <c r="BN36" s="110" t="s">
        <v>8</v>
      </c>
      <c r="BO36" s="110" t="s">
        <v>8</v>
      </c>
      <c r="BP36" s="33"/>
      <c r="BQ36" s="111" t="s">
        <v>8</v>
      </c>
      <c r="BR36" s="111" t="s">
        <v>8</v>
      </c>
      <c r="BS36" s="1"/>
      <c r="BT36" s="1"/>
      <c r="BU36" s="110" t="s">
        <v>8</v>
      </c>
      <c r="BV36" s="110" t="s">
        <v>8</v>
      </c>
      <c r="BW36" s="33"/>
      <c r="BX36" s="111" t="s">
        <v>8</v>
      </c>
      <c r="BY36" s="115" t="s">
        <v>6</v>
      </c>
      <c r="BZ36" s="33"/>
      <c r="CA36" s="33"/>
      <c r="CB36" s="115" t="s">
        <v>6</v>
      </c>
      <c r="CC36" s="115" t="s">
        <v>6</v>
      </c>
      <c r="CD36" s="33"/>
      <c r="CE36" s="115" t="s">
        <v>6</v>
      </c>
      <c r="CF36" s="111" t="s">
        <v>8</v>
      </c>
      <c r="CG36" s="33"/>
      <c r="CH36" s="33"/>
      <c r="CI36" s="110" t="s">
        <v>8</v>
      </c>
      <c r="CJ36" s="33"/>
      <c r="CK36" s="33"/>
      <c r="CL36" s="33"/>
      <c r="CM36" s="33"/>
      <c r="CN36" s="109"/>
      <c r="CO36" s="109"/>
      <c r="CP36" s="33"/>
      <c r="CQ36" s="33"/>
      <c r="CR36" s="33"/>
      <c r="CS36" s="33"/>
      <c r="CT36" s="33"/>
      <c r="CU36" s="1"/>
      <c r="CV36" s="1"/>
      <c r="CW36" s="33"/>
      <c r="CX36" s="33"/>
      <c r="CY36" s="33"/>
      <c r="CZ36" s="33"/>
      <c r="DA36" s="33"/>
      <c r="DB36" s="33"/>
      <c r="DC36" s="33"/>
      <c r="DD36" s="99"/>
      <c r="DE36" s="33"/>
      <c r="DF36" s="33"/>
      <c r="DG36" s="33"/>
      <c r="DH36" s="33"/>
      <c r="DI36" s="33"/>
      <c r="DJ36" s="33"/>
      <c r="DK36" s="33"/>
      <c r="DL36" s="33"/>
      <c r="DM36" s="33"/>
      <c r="DN36" s="33"/>
      <c r="DO36" s="33"/>
      <c r="DP36" s="109"/>
      <c r="DQ36" s="109"/>
      <c r="DR36" s="33"/>
      <c r="DS36" s="33"/>
      <c r="DT36" s="33"/>
      <c r="DU36" s="33"/>
      <c r="DV36" s="33"/>
      <c r="DW36" s="1"/>
      <c r="DX36" s="1"/>
      <c r="DY36" s="99"/>
      <c r="DZ36" s="33"/>
      <c r="EA36" s="33"/>
      <c r="EB36" s="33"/>
      <c r="EC36" s="33"/>
      <c r="ED36" s="33"/>
      <c r="EE36" s="33"/>
      <c r="EF36" s="33"/>
      <c r="EG36" s="33"/>
      <c r="EH36" s="33"/>
      <c r="EI36" s="33"/>
      <c r="EJ36" s="33"/>
      <c r="EK36" s="33"/>
      <c r="EL36" s="33"/>
      <c r="EM36" s="33"/>
      <c r="EN36" s="33"/>
      <c r="EO36" s="33"/>
      <c r="EP36" s="99"/>
      <c r="EQ36" s="33"/>
      <c r="ER36" s="109"/>
      <c r="ES36" s="109"/>
      <c r="ET36" s="33"/>
      <c r="EU36" s="33"/>
      <c r="EV36" s="33"/>
      <c r="EW36" s="33"/>
      <c r="EX36" s="33"/>
      <c r="EY36" s="1"/>
      <c r="EZ36" s="1"/>
      <c r="FA36" s="99"/>
      <c r="FB36" s="33"/>
      <c r="FC36" s="33"/>
      <c r="FD36" s="33"/>
      <c r="FE36" s="33"/>
      <c r="FF36" s="33"/>
      <c r="FG36" s="33"/>
      <c r="FH36" s="33"/>
      <c r="FI36" s="33"/>
      <c r="FJ36" s="33"/>
      <c r="FK36" s="33"/>
      <c r="FL36" s="33"/>
      <c r="FM36" s="33"/>
      <c r="FN36" s="33"/>
      <c r="FO36" s="33"/>
      <c r="FP36" s="33"/>
      <c r="FQ36" s="33"/>
      <c r="FR36" s="33"/>
      <c r="FS36" s="33"/>
      <c r="FT36" s="109"/>
      <c r="FU36" s="109"/>
      <c r="FV36" s="33"/>
      <c r="FW36" s="33"/>
      <c r="FX36" s="33"/>
      <c r="FY36" s="33"/>
      <c r="FZ36" s="33"/>
      <c r="GA36" s="1"/>
      <c r="GB36" s="1"/>
      <c r="GC36" s="33"/>
      <c r="GD36" s="33"/>
      <c r="GE36" s="33"/>
      <c r="GF36" s="33"/>
      <c r="GG36" s="33"/>
      <c r="GH36" s="33"/>
      <c r="GI36" s="33"/>
      <c r="GJ36" s="33"/>
      <c r="GK36" s="33"/>
      <c r="GL36" s="33"/>
      <c r="GM36" s="33"/>
      <c r="GN36" s="33"/>
      <c r="GO36" s="33"/>
      <c r="GP36" s="33"/>
      <c r="GQ36" s="33"/>
      <c r="GR36" s="33"/>
      <c r="GS36" s="33"/>
      <c r="GT36" s="33"/>
      <c r="GU36" s="33"/>
      <c r="GV36" s="109"/>
      <c r="GW36" s="109"/>
      <c r="GX36" s="33"/>
      <c r="GY36" s="33"/>
      <c r="GZ36" s="33"/>
      <c r="HA36" s="33"/>
      <c r="HB36" s="33"/>
      <c r="HC36" s="1"/>
      <c r="HD36" s="1"/>
      <c r="HE36" s="33"/>
      <c r="HF36" s="33"/>
      <c r="HG36" s="33"/>
      <c r="HH36" s="33"/>
      <c r="HI36" s="33"/>
      <c r="HJ36" s="33"/>
      <c r="HK36" s="33"/>
      <c r="HL36" s="33"/>
      <c r="HM36" s="33"/>
      <c r="HN36" s="33"/>
      <c r="HO36" s="33"/>
      <c r="HP36" s="33"/>
      <c r="HQ36" s="1"/>
      <c r="HR36" s="1"/>
      <c r="HS36" s="33"/>
      <c r="HT36" s="33"/>
      <c r="HU36" s="33"/>
      <c r="HV36" s="33"/>
      <c r="HW36" s="33"/>
      <c r="HX36" s="109"/>
      <c r="HY36" s="109"/>
      <c r="HZ36" s="33"/>
      <c r="IA36" s="33"/>
      <c r="IB36" s="33"/>
      <c r="IC36" s="33"/>
      <c r="ID36" s="33"/>
      <c r="IE36" s="1"/>
      <c r="IF36" s="1"/>
      <c r="IG36" s="33"/>
      <c r="IH36" s="33"/>
      <c r="II36" s="33"/>
      <c r="IJ36" s="33"/>
      <c r="IK36" s="33"/>
      <c r="IL36" s="33"/>
      <c r="IM36" s="33"/>
      <c r="IN36" s="33"/>
      <c r="IO36" s="33"/>
      <c r="IP36" s="33"/>
      <c r="IQ36" s="33"/>
      <c r="IR36" s="33"/>
      <c r="IS36" s="33"/>
      <c r="IT36" s="33"/>
      <c r="IU36" s="33"/>
      <c r="IV36" s="33"/>
      <c r="IW36" s="33"/>
      <c r="IX36" s="33"/>
      <c r="IY36" s="33"/>
      <c r="IZ36" s="109"/>
      <c r="JA36" s="109"/>
      <c r="JB36" s="33"/>
      <c r="JC36" s="33"/>
      <c r="JD36" s="33"/>
      <c r="JE36" s="33"/>
      <c r="JF36" s="33"/>
      <c r="JG36" s="1"/>
      <c r="JH36" s="1"/>
      <c r="JI36" s="33"/>
      <c r="JJ36" s="33"/>
      <c r="JK36" s="33"/>
      <c r="JL36" s="33"/>
      <c r="JM36" s="33"/>
      <c r="JN36" s="33"/>
      <c r="JO36" s="33"/>
      <c r="JP36" s="33"/>
      <c r="JQ36" s="33"/>
      <c r="JR36" s="33"/>
      <c r="JS36" s="33"/>
      <c r="JT36" s="33"/>
      <c r="JU36" s="33"/>
      <c r="JV36" s="33"/>
      <c r="JW36" s="33"/>
      <c r="JX36" s="33"/>
      <c r="JY36" s="33"/>
      <c r="JZ36" s="33"/>
      <c r="KA36" s="33"/>
      <c r="KB36" s="109"/>
      <c r="KC36" s="109"/>
      <c r="KD36" s="33"/>
      <c r="KE36" s="33"/>
      <c r="KF36" s="33"/>
      <c r="KG36" s="33"/>
      <c r="KH36" s="33"/>
      <c r="KI36" s="1"/>
      <c r="KJ36" s="1"/>
      <c r="KK36" s="33"/>
      <c r="KL36" s="33"/>
      <c r="KM36" s="33"/>
      <c r="KN36" s="33"/>
      <c r="KO36" s="33"/>
      <c r="KP36" s="33"/>
      <c r="KQ36" s="33"/>
      <c r="KR36" s="33"/>
      <c r="KS36" s="33"/>
      <c r="KT36" s="33"/>
      <c r="KU36" s="33"/>
      <c r="KV36" s="33"/>
      <c r="KW36" s="33"/>
      <c r="KX36" s="33"/>
      <c r="KY36" s="33"/>
      <c r="KZ36" s="33"/>
      <c r="LA36" s="33"/>
      <c r="LB36" s="33"/>
      <c r="LC36" s="33"/>
      <c r="LD36" s="109"/>
      <c r="LE36" s="109"/>
      <c r="LF36" s="33"/>
      <c r="LG36" s="33"/>
      <c r="LH36" s="33"/>
      <c r="LI36" s="33"/>
      <c r="LJ36" s="33"/>
      <c r="LK36" s="1"/>
      <c r="LL36" s="1"/>
      <c r="LM36" s="33"/>
      <c r="LN36" s="33"/>
      <c r="LO36" s="33"/>
      <c r="LP36" s="33"/>
      <c r="LQ36" s="33"/>
      <c r="LR36" s="33"/>
      <c r="LS36" s="33"/>
      <c r="LT36" s="33"/>
      <c r="LU36" s="33"/>
      <c r="LV36" s="33"/>
      <c r="LW36" s="33"/>
      <c r="LX36" s="33"/>
      <c r="LY36" s="1"/>
      <c r="LZ36" s="1"/>
      <c r="MA36" s="33"/>
      <c r="MB36" s="33"/>
      <c r="MC36" s="33"/>
      <c r="MD36" s="33"/>
      <c r="ME36" s="33"/>
      <c r="MF36" s="109"/>
      <c r="MG36" s="109"/>
      <c r="MH36" s="33"/>
      <c r="MI36" s="33"/>
      <c r="MJ36" s="33"/>
      <c r="MK36" s="33"/>
      <c r="ML36" s="33"/>
      <c r="MM36" s="1"/>
      <c r="MN36" s="1"/>
      <c r="MO36" s="33"/>
      <c r="MP36" s="33"/>
      <c r="MQ36" s="33"/>
      <c r="MR36" s="33"/>
      <c r="MS36" s="33"/>
      <c r="MT36" s="33"/>
      <c r="MU36" s="33"/>
      <c r="MV36" s="33"/>
      <c r="MW36" s="33"/>
      <c r="MX36" s="33"/>
      <c r="MY36" s="33"/>
      <c r="MZ36" s="33"/>
      <c r="NA36" s="33"/>
      <c r="NB36" s="33"/>
      <c r="NC36" s="33"/>
      <c r="ND36" s="33"/>
      <c r="NE36" s="33"/>
      <c r="NF36" s="33"/>
      <c r="NG36" s="99"/>
      <c r="NH36" s="109"/>
      <c r="NI36" s="109"/>
      <c r="NJ36" s="33"/>
      <c r="NK36" s="33"/>
      <c r="NL36" s="33"/>
      <c r="NM36" s="33"/>
      <c r="NN36" s="99"/>
      <c r="NO36" s="1"/>
      <c r="NP36" s="1"/>
      <c r="NQ36" s="33"/>
      <c r="NR36" s="33"/>
      <c r="NS36" s="33"/>
      <c r="NT36" s="33"/>
      <c r="NU36" s="33"/>
      <c r="NV36" s="33"/>
      <c r="NW36" s="33"/>
      <c r="NX36" s="33"/>
      <c r="NY36" s="33"/>
      <c r="NZ36" s="33"/>
      <c r="OA36" s="145"/>
      <c r="OB36" s="149"/>
    </row>
    <row r="37" spans="1:449">
      <c r="A37" s="97"/>
      <c r="B37" s="63"/>
      <c r="C37" s="110"/>
      <c r="D37" s="110"/>
      <c r="E37" s="33"/>
      <c r="F37" s="104"/>
      <c r="G37" s="104"/>
      <c r="H37" s="109"/>
      <c r="I37" s="109"/>
      <c r="J37" s="110"/>
      <c r="K37" s="110"/>
      <c r="L37" s="33"/>
      <c r="M37" s="104"/>
      <c r="N37" s="103"/>
      <c r="O37" s="1"/>
      <c r="P37" s="1"/>
      <c r="Q37" s="113"/>
      <c r="R37" s="113"/>
      <c r="S37" s="1"/>
      <c r="T37" s="111"/>
      <c r="U37" s="111"/>
      <c r="V37" s="33"/>
      <c r="W37" s="33"/>
      <c r="X37" s="108"/>
      <c r="Y37" s="108"/>
      <c r="Z37" s="1"/>
      <c r="AA37" s="111"/>
      <c r="AB37" s="111"/>
      <c r="AC37" s="33"/>
      <c r="AD37" s="33"/>
      <c r="AE37" s="113"/>
      <c r="AF37" s="113"/>
      <c r="AG37" s="1"/>
      <c r="AH37" s="111"/>
      <c r="AI37" s="111"/>
      <c r="AJ37" s="109"/>
      <c r="AK37" s="109"/>
      <c r="AL37" s="110"/>
      <c r="AM37" s="110"/>
      <c r="AN37" s="33"/>
      <c r="AO37" s="111"/>
      <c r="AP37" s="111"/>
      <c r="AQ37" s="1"/>
      <c r="AR37" s="1"/>
      <c r="AS37" s="110"/>
      <c r="AT37" s="110"/>
      <c r="AU37" s="33"/>
      <c r="AV37" s="111"/>
      <c r="AW37" s="111"/>
      <c r="AX37" s="33"/>
      <c r="AY37" s="33"/>
      <c r="AZ37" s="110"/>
      <c r="BA37" s="110"/>
      <c r="BB37" s="33"/>
      <c r="BC37" s="111"/>
      <c r="BD37" s="111"/>
      <c r="BE37" s="33"/>
      <c r="BF37" s="33"/>
      <c r="BG37" s="110"/>
      <c r="BH37" s="110"/>
      <c r="BI37" s="33"/>
      <c r="BJ37" s="111"/>
      <c r="BK37" s="111"/>
      <c r="BL37" s="109"/>
      <c r="BM37" s="109"/>
      <c r="BN37" s="110"/>
      <c r="BO37" s="110"/>
      <c r="BP37" s="33"/>
      <c r="BQ37" s="111"/>
      <c r="BR37" s="111"/>
      <c r="BS37" s="1"/>
      <c r="BT37" s="1"/>
      <c r="BU37" s="110"/>
      <c r="BV37" s="110"/>
      <c r="BW37" s="33"/>
      <c r="BX37" s="111"/>
      <c r="BY37" s="115"/>
      <c r="BZ37" s="33"/>
      <c r="CA37" s="33"/>
      <c r="CB37" s="115"/>
      <c r="CC37" s="115"/>
      <c r="CD37" s="33"/>
      <c r="CE37" s="115"/>
      <c r="CF37" s="111"/>
      <c r="CG37" s="33"/>
      <c r="CH37" s="33"/>
      <c r="CI37" s="110"/>
      <c r="CJ37" s="33"/>
      <c r="CK37" s="33"/>
      <c r="CL37" s="33"/>
      <c r="CM37" s="33"/>
      <c r="CN37" s="109"/>
      <c r="CO37" s="109"/>
      <c r="CP37" s="33"/>
      <c r="CQ37" s="33"/>
      <c r="CR37" s="33"/>
      <c r="CS37" s="33"/>
      <c r="CT37" s="33"/>
      <c r="CU37" s="1"/>
      <c r="CV37" s="1"/>
      <c r="CW37" s="33"/>
      <c r="CX37" s="33"/>
      <c r="CY37" s="33"/>
      <c r="CZ37" s="33"/>
      <c r="DA37" s="33"/>
      <c r="DB37" s="33"/>
      <c r="DC37" s="33"/>
      <c r="DD37" s="99"/>
      <c r="DE37" s="33"/>
      <c r="DF37" s="33"/>
      <c r="DG37" s="33"/>
      <c r="DH37" s="33"/>
      <c r="DI37" s="33"/>
      <c r="DJ37" s="33"/>
      <c r="DK37" s="33"/>
      <c r="DL37" s="33"/>
      <c r="DM37" s="33"/>
      <c r="DN37" s="33"/>
      <c r="DO37" s="33"/>
      <c r="DP37" s="109"/>
      <c r="DQ37" s="109"/>
      <c r="DR37" s="33"/>
      <c r="DS37" s="33"/>
      <c r="DT37" s="33"/>
      <c r="DU37" s="33"/>
      <c r="DV37" s="33"/>
      <c r="DW37" s="1"/>
      <c r="DX37" s="1"/>
      <c r="DY37" s="99"/>
      <c r="DZ37" s="33"/>
      <c r="EA37" s="33"/>
      <c r="EB37" s="33"/>
      <c r="EC37" s="33"/>
      <c r="ED37" s="33"/>
      <c r="EE37" s="33"/>
      <c r="EF37" s="33"/>
      <c r="EG37" s="33"/>
      <c r="EH37" s="33"/>
      <c r="EI37" s="33"/>
      <c r="EJ37" s="33"/>
      <c r="EK37" s="33"/>
      <c r="EL37" s="33"/>
      <c r="EM37" s="33"/>
      <c r="EN37" s="33"/>
      <c r="EO37" s="33"/>
      <c r="EP37" s="99"/>
      <c r="EQ37" s="33"/>
      <c r="ER37" s="109"/>
      <c r="ES37" s="109"/>
      <c r="ET37" s="33"/>
      <c r="EU37" s="33"/>
      <c r="EV37" s="33"/>
      <c r="EW37" s="33"/>
      <c r="EX37" s="33"/>
      <c r="EY37" s="1"/>
      <c r="EZ37" s="1"/>
      <c r="FA37" s="99"/>
      <c r="FB37" s="33"/>
      <c r="FC37" s="33"/>
      <c r="FD37" s="33"/>
      <c r="FE37" s="33"/>
      <c r="FF37" s="33"/>
      <c r="FG37" s="33"/>
      <c r="FH37" s="33"/>
      <c r="FI37" s="33"/>
      <c r="FJ37" s="33"/>
      <c r="FK37" s="33"/>
      <c r="FL37" s="33"/>
      <c r="FM37" s="33"/>
      <c r="FN37" s="33"/>
      <c r="FO37" s="33"/>
      <c r="FP37" s="33"/>
      <c r="FQ37" s="33"/>
      <c r="FR37" s="33"/>
      <c r="FS37" s="33"/>
      <c r="FT37" s="109"/>
      <c r="FU37" s="109"/>
      <c r="FV37" s="33"/>
      <c r="FW37" s="33"/>
      <c r="FX37" s="33"/>
      <c r="FY37" s="33"/>
      <c r="FZ37" s="33"/>
      <c r="GA37" s="1"/>
      <c r="GB37" s="1"/>
      <c r="GC37" s="33"/>
      <c r="GD37" s="33"/>
      <c r="GE37" s="33"/>
      <c r="GF37" s="33"/>
      <c r="GG37" s="33"/>
      <c r="GH37" s="33"/>
      <c r="GI37" s="33"/>
      <c r="GJ37" s="33"/>
      <c r="GK37" s="33"/>
      <c r="GL37" s="33"/>
      <c r="GM37" s="33"/>
      <c r="GN37" s="33"/>
      <c r="GO37" s="33"/>
      <c r="GP37" s="33"/>
      <c r="GQ37" s="33"/>
      <c r="GR37" s="33"/>
      <c r="GS37" s="33"/>
      <c r="GT37" s="33"/>
      <c r="GU37" s="33"/>
      <c r="GV37" s="109"/>
      <c r="GW37" s="109"/>
      <c r="GX37" s="33"/>
      <c r="GY37" s="33"/>
      <c r="GZ37" s="33"/>
      <c r="HA37" s="33"/>
      <c r="HB37" s="33"/>
      <c r="HC37" s="1"/>
      <c r="HD37" s="1"/>
      <c r="HE37" s="33"/>
      <c r="HF37" s="33"/>
      <c r="HG37" s="33"/>
      <c r="HH37" s="33"/>
      <c r="HI37" s="33"/>
      <c r="HJ37" s="33"/>
      <c r="HK37" s="33"/>
      <c r="HL37" s="33"/>
      <c r="HM37" s="33"/>
      <c r="HN37" s="33"/>
      <c r="HO37" s="33"/>
      <c r="HP37" s="33"/>
      <c r="HQ37" s="1"/>
      <c r="HR37" s="1"/>
      <c r="HS37" s="33"/>
      <c r="HT37" s="33"/>
      <c r="HU37" s="33"/>
      <c r="HV37" s="33"/>
      <c r="HW37" s="33"/>
      <c r="HX37" s="109"/>
      <c r="HY37" s="109"/>
      <c r="HZ37" s="33"/>
      <c r="IA37" s="33"/>
      <c r="IB37" s="33"/>
      <c r="IC37" s="33"/>
      <c r="ID37" s="33"/>
      <c r="IE37" s="1"/>
      <c r="IF37" s="1"/>
      <c r="IG37" s="33"/>
      <c r="IH37" s="33"/>
      <c r="II37" s="33"/>
      <c r="IJ37" s="33"/>
      <c r="IK37" s="33"/>
      <c r="IL37" s="33"/>
      <c r="IM37" s="33"/>
      <c r="IN37" s="33"/>
      <c r="IO37" s="33"/>
      <c r="IP37" s="33"/>
      <c r="IQ37" s="33"/>
      <c r="IR37" s="33"/>
      <c r="IS37" s="33"/>
      <c r="IT37" s="33"/>
      <c r="IU37" s="33"/>
      <c r="IV37" s="33"/>
      <c r="IW37" s="33"/>
      <c r="IX37" s="33"/>
      <c r="IY37" s="33"/>
      <c r="IZ37" s="109"/>
      <c r="JA37" s="109"/>
      <c r="JB37" s="33"/>
      <c r="JC37" s="33"/>
      <c r="JD37" s="33"/>
      <c r="JE37" s="33"/>
      <c r="JF37" s="33"/>
      <c r="JG37" s="1"/>
      <c r="JH37" s="1"/>
      <c r="JI37" s="33"/>
      <c r="JJ37" s="33"/>
      <c r="JK37" s="33"/>
      <c r="JL37" s="33"/>
      <c r="JM37" s="33"/>
      <c r="JN37" s="33"/>
      <c r="JO37" s="33"/>
      <c r="JP37" s="33"/>
      <c r="JQ37" s="33"/>
      <c r="JR37" s="33"/>
      <c r="JS37" s="33"/>
      <c r="JT37" s="33"/>
      <c r="JU37" s="33"/>
      <c r="JV37" s="33"/>
      <c r="JW37" s="33"/>
      <c r="JX37" s="33"/>
      <c r="JY37" s="33"/>
      <c r="JZ37" s="33"/>
      <c r="KA37" s="33"/>
      <c r="KB37" s="109"/>
      <c r="KC37" s="109"/>
      <c r="KD37" s="33"/>
      <c r="KE37" s="33"/>
      <c r="KF37" s="33"/>
      <c r="KG37" s="33"/>
      <c r="KH37" s="33"/>
      <c r="KI37" s="1"/>
      <c r="KJ37" s="1"/>
      <c r="KK37" s="33"/>
      <c r="KL37" s="33"/>
      <c r="KM37" s="33"/>
      <c r="KN37" s="33"/>
      <c r="KO37" s="33"/>
      <c r="KP37" s="33"/>
      <c r="KQ37" s="33"/>
      <c r="KR37" s="33"/>
      <c r="KS37" s="33"/>
      <c r="KT37" s="33"/>
      <c r="KU37" s="33"/>
      <c r="KV37" s="33"/>
      <c r="KW37" s="33"/>
      <c r="KX37" s="33"/>
      <c r="KY37" s="33"/>
      <c r="KZ37" s="33"/>
      <c r="LA37" s="33"/>
      <c r="LB37" s="33"/>
      <c r="LC37" s="33"/>
      <c r="LD37" s="109"/>
      <c r="LE37" s="109"/>
      <c r="LF37" s="33"/>
      <c r="LG37" s="33"/>
      <c r="LH37" s="33"/>
      <c r="LI37" s="33"/>
      <c r="LJ37" s="33"/>
      <c r="LK37" s="1"/>
      <c r="LL37" s="1"/>
      <c r="LM37" s="33"/>
      <c r="LN37" s="33"/>
      <c r="LO37" s="33"/>
      <c r="LP37" s="33"/>
      <c r="LQ37" s="33"/>
      <c r="LR37" s="33"/>
      <c r="LS37" s="33"/>
      <c r="LT37" s="33"/>
      <c r="LU37" s="33"/>
      <c r="LV37" s="33"/>
      <c r="LW37" s="33"/>
      <c r="LX37" s="33"/>
      <c r="LY37" s="1"/>
      <c r="LZ37" s="1"/>
      <c r="MA37" s="33"/>
      <c r="MB37" s="33"/>
      <c r="MC37" s="33"/>
      <c r="MD37" s="33"/>
      <c r="ME37" s="33"/>
      <c r="MF37" s="109"/>
      <c r="MG37" s="109"/>
      <c r="MH37" s="33"/>
      <c r="MI37" s="33"/>
      <c r="MJ37" s="33"/>
      <c r="MK37" s="33"/>
      <c r="ML37" s="33"/>
      <c r="MM37" s="1"/>
      <c r="MN37" s="1"/>
      <c r="MO37" s="33"/>
      <c r="MP37" s="33"/>
      <c r="MQ37" s="33"/>
      <c r="MR37" s="33"/>
      <c r="MS37" s="33"/>
      <c r="MT37" s="33"/>
      <c r="MU37" s="33"/>
      <c r="MV37" s="33"/>
      <c r="MW37" s="33"/>
      <c r="MX37" s="33"/>
      <c r="MY37" s="33"/>
      <c r="MZ37" s="33"/>
      <c r="NA37" s="33"/>
      <c r="NB37" s="33"/>
      <c r="NC37" s="33"/>
      <c r="ND37" s="33"/>
      <c r="NE37" s="33"/>
      <c r="NF37" s="33"/>
      <c r="NG37" s="99"/>
      <c r="NH37" s="109"/>
      <c r="NI37" s="109"/>
      <c r="NJ37" s="33"/>
      <c r="NK37" s="33"/>
      <c r="NL37" s="33"/>
      <c r="NM37" s="33"/>
      <c r="NN37" s="99"/>
      <c r="NO37" s="1"/>
      <c r="NP37" s="1"/>
      <c r="NQ37" s="33"/>
      <c r="NR37" s="33"/>
      <c r="NS37" s="33"/>
      <c r="NT37" s="33"/>
      <c r="NU37" s="33"/>
      <c r="NV37" s="33"/>
      <c r="NW37" s="33"/>
      <c r="NX37" s="33"/>
      <c r="NY37" s="33"/>
      <c r="NZ37" s="33"/>
      <c r="OA37" s="145"/>
      <c r="OB37" s="149"/>
    </row>
    <row r="38" spans="1:449">
      <c r="A38" s="97"/>
      <c r="B38" s="63"/>
      <c r="C38" s="110"/>
      <c r="D38" s="110"/>
      <c r="E38" s="33"/>
      <c r="F38" s="104"/>
      <c r="G38" s="104"/>
      <c r="H38" s="109"/>
      <c r="I38" s="109"/>
      <c r="J38" s="110"/>
      <c r="K38" s="110"/>
      <c r="L38" s="33"/>
      <c r="M38" s="104"/>
      <c r="N38" s="103"/>
      <c r="O38" s="1"/>
      <c r="P38" s="1"/>
      <c r="Q38" s="113"/>
      <c r="R38" s="113"/>
      <c r="S38" s="1"/>
      <c r="T38" s="111"/>
      <c r="U38" s="111"/>
      <c r="V38" s="33"/>
      <c r="W38" s="33"/>
      <c r="X38" s="108"/>
      <c r="Y38" s="108"/>
      <c r="Z38" s="1"/>
      <c r="AA38" s="111"/>
      <c r="AB38" s="111"/>
      <c r="AC38" s="33"/>
      <c r="AD38" s="33"/>
      <c r="AE38" s="113"/>
      <c r="AF38" s="113"/>
      <c r="AG38" s="1"/>
      <c r="AH38" s="111"/>
      <c r="AI38" s="111"/>
      <c r="AJ38" s="109"/>
      <c r="AK38" s="109"/>
      <c r="AL38" s="110"/>
      <c r="AM38" s="110"/>
      <c r="AN38" s="33"/>
      <c r="AO38" s="111"/>
      <c r="AP38" s="111"/>
      <c r="AQ38" s="1"/>
      <c r="AR38" s="1"/>
      <c r="AS38" s="110"/>
      <c r="AT38" s="110"/>
      <c r="AU38" s="33"/>
      <c r="AV38" s="111"/>
      <c r="AW38" s="111"/>
      <c r="AX38" s="33"/>
      <c r="AY38" s="33"/>
      <c r="AZ38" s="110"/>
      <c r="BA38" s="110"/>
      <c r="BB38" s="33"/>
      <c r="BC38" s="111"/>
      <c r="BD38" s="111"/>
      <c r="BE38" s="33"/>
      <c r="BF38" s="33"/>
      <c r="BG38" s="110"/>
      <c r="BH38" s="110"/>
      <c r="BI38" s="33"/>
      <c r="BJ38" s="111"/>
      <c r="BK38" s="111"/>
      <c r="BL38" s="109"/>
      <c r="BM38" s="109"/>
      <c r="BN38" s="110"/>
      <c r="BO38" s="110"/>
      <c r="BP38" s="33"/>
      <c r="BQ38" s="111"/>
      <c r="BR38" s="111"/>
      <c r="BS38" s="1"/>
      <c r="BT38" s="1"/>
      <c r="BU38" s="110"/>
      <c r="BV38" s="110"/>
      <c r="BW38" s="33"/>
      <c r="BX38" s="111"/>
      <c r="BY38" s="115"/>
      <c r="BZ38" s="33"/>
      <c r="CA38" s="33"/>
      <c r="CB38" s="115"/>
      <c r="CC38" s="115"/>
      <c r="CD38" s="33"/>
      <c r="CE38" s="115"/>
      <c r="CF38" s="111"/>
      <c r="CG38" s="33"/>
      <c r="CH38" s="33"/>
      <c r="CI38" s="110"/>
      <c r="CJ38" s="33"/>
      <c r="CK38" s="33"/>
      <c r="CL38" s="33"/>
      <c r="CM38" s="33"/>
      <c r="CN38" s="109"/>
      <c r="CO38" s="109"/>
      <c r="CP38" s="33"/>
      <c r="CQ38" s="33"/>
      <c r="CR38" s="33"/>
      <c r="CS38" s="33"/>
      <c r="CT38" s="33"/>
      <c r="CU38" s="1"/>
      <c r="CV38" s="1"/>
      <c r="CW38" s="33"/>
      <c r="CX38" s="33"/>
      <c r="CY38" s="33"/>
      <c r="CZ38" s="33"/>
      <c r="DA38" s="33"/>
      <c r="DB38" s="33"/>
      <c r="DC38" s="33"/>
      <c r="DD38" s="99"/>
      <c r="DE38" s="33"/>
      <c r="DF38" s="33"/>
      <c r="DG38" s="33"/>
      <c r="DH38" s="33"/>
      <c r="DI38" s="33"/>
      <c r="DJ38" s="33"/>
      <c r="DK38" s="33"/>
      <c r="DL38" s="33"/>
      <c r="DM38" s="33"/>
      <c r="DN38" s="33"/>
      <c r="DO38" s="33"/>
      <c r="DP38" s="109"/>
      <c r="DQ38" s="109"/>
      <c r="DR38" s="33"/>
      <c r="DS38" s="33"/>
      <c r="DT38" s="33"/>
      <c r="DU38" s="33"/>
      <c r="DV38" s="33"/>
      <c r="DW38" s="1"/>
      <c r="DX38" s="1"/>
      <c r="DY38" s="99"/>
      <c r="DZ38" s="33"/>
      <c r="EA38" s="33"/>
      <c r="EB38" s="33"/>
      <c r="EC38" s="33"/>
      <c r="ED38" s="33"/>
      <c r="EE38" s="33"/>
      <c r="EF38" s="33"/>
      <c r="EG38" s="33"/>
      <c r="EH38" s="33"/>
      <c r="EI38" s="33"/>
      <c r="EJ38" s="33"/>
      <c r="EK38" s="33"/>
      <c r="EL38" s="33"/>
      <c r="EM38" s="33"/>
      <c r="EN38" s="33"/>
      <c r="EO38" s="33"/>
      <c r="EP38" s="99"/>
      <c r="EQ38" s="33"/>
      <c r="ER38" s="109"/>
      <c r="ES38" s="109"/>
      <c r="ET38" s="33"/>
      <c r="EU38" s="33"/>
      <c r="EV38" s="33"/>
      <c r="EW38" s="33"/>
      <c r="EX38" s="33"/>
      <c r="EY38" s="1"/>
      <c r="EZ38" s="1"/>
      <c r="FA38" s="99"/>
      <c r="FB38" s="33"/>
      <c r="FC38" s="33"/>
      <c r="FD38" s="33"/>
      <c r="FE38" s="33"/>
      <c r="FF38" s="33"/>
      <c r="FG38" s="33"/>
      <c r="FH38" s="33"/>
      <c r="FI38" s="33"/>
      <c r="FJ38" s="33"/>
      <c r="FK38" s="33"/>
      <c r="FL38" s="33"/>
      <c r="FM38" s="33"/>
      <c r="FN38" s="33"/>
      <c r="FO38" s="33"/>
      <c r="FP38" s="33"/>
      <c r="FQ38" s="33"/>
      <c r="FR38" s="33"/>
      <c r="FS38" s="33"/>
      <c r="FT38" s="109"/>
      <c r="FU38" s="109"/>
      <c r="FV38" s="33"/>
      <c r="FW38" s="33"/>
      <c r="FX38" s="33"/>
      <c r="FY38" s="33"/>
      <c r="FZ38" s="33"/>
      <c r="GA38" s="1"/>
      <c r="GB38" s="1"/>
      <c r="GC38" s="33"/>
      <c r="GD38" s="33"/>
      <c r="GE38" s="33"/>
      <c r="GF38" s="33"/>
      <c r="GG38" s="33"/>
      <c r="GH38" s="33"/>
      <c r="GI38" s="33"/>
      <c r="GJ38" s="33"/>
      <c r="GK38" s="33"/>
      <c r="GL38" s="33"/>
      <c r="GM38" s="33"/>
      <c r="GN38" s="33"/>
      <c r="GO38" s="33"/>
      <c r="GP38" s="33"/>
      <c r="GQ38" s="33"/>
      <c r="GR38" s="33"/>
      <c r="GS38" s="33"/>
      <c r="GT38" s="33"/>
      <c r="GU38" s="33"/>
      <c r="GV38" s="109"/>
      <c r="GW38" s="109"/>
      <c r="GX38" s="33"/>
      <c r="GY38" s="33"/>
      <c r="GZ38" s="33"/>
      <c r="HA38" s="33"/>
      <c r="HB38" s="33"/>
      <c r="HC38" s="1"/>
      <c r="HD38" s="1"/>
      <c r="HE38" s="33"/>
      <c r="HF38" s="33"/>
      <c r="HG38" s="33"/>
      <c r="HH38" s="33"/>
      <c r="HI38" s="33"/>
      <c r="HJ38" s="33"/>
      <c r="HK38" s="33"/>
      <c r="HL38" s="33"/>
      <c r="HM38" s="33"/>
      <c r="HN38" s="33"/>
      <c r="HO38" s="33"/>
      <c r="HP38" s="33"/>
      <c r="HQ38" s="1"/>
      <c r="HR38" s="1"/>
      <c r="HS38" s="33"/>
      <c r="HT38" s="33"/>
      <c r="HU38" s="33"/>
      <c r="HV38" s="33"/>
      <c r="HW38" s="33"/>
      <c r="HX38" s="109"/>
      <c r="HY38" s="109"/>
      <c r="HZ38" s="33"/>
      <c r="IA38" s="33"/>
      <c r="IB38" s="33"/>
      <c r="IC38" s="33"/>
      <c r="ID38" s="33"/>
      <c r="IE38" s="1"/>
      <c r="IF38" s="1"/>
      <c r="IG38" s="33"/>
      <c r="IH38" s="33"/>
      <c r="II38" s="33"/>
      <c r="IJ38" s="33"/>
      <c r="IK38" s="33"/>
      <c r="IL38" s="33"/>
      <c r="IM38" s="33"/>
      <c r="IN38" s="33"/>
      <c r="IO38" s="33"/>
      <c r="IP38" s="33"/>
      <c r="IQ38" s="33"/>
      <c r="IR38" s="33"/>
      <c r="IS38" s="33"/>
      <c r="IT38" s="33"/>
      <c r="IU38" s="33"/>
      <c r="IV38" s="33"/>
      <c r="IW38" s="33"/>
      <c r="IX38" s="33"/>
      <c r="IY38" s="33"/>
      <c r="IZ38" s="109"/>
      <c r="JA38" s="109"/>
      <c r="JB38" s="33"/>
      <c r="JC38" s="33"/>
      <c r="JD38" s="33"/>
      <c r="JE38" s="33"/>
      <c r="JF38" s="33"/>
      <c r="JG38" s="1"/>
      <c r="JH38" s="1"/>
      <c r="JI38" s="33"/>
      <c r="JJ38" s="33"/>
      <c r="JK38" s="33"/>
      <c r="JL38" s="33"/>
      <c r="JM38" s="33"/>
      <c r="JN38" s="33"/>
      <c r="JO38" s="33"/>
      <c r="JP38" s="33"/>
      <c r="JQ38" s="33"/>
      <c r="JR38" s="33"/>
      <c r="JS38" s="33"/>
      <c r="JT38" s="33"/>
      <c r="JU38" s="33"/>
      <c r="JV38" s="33"/>
      <c r="JW38" s="33"/>
      <c r="JX38" s="33"/>
      <c r="JY38" s="33"/>
      <c r="JZ38" s="33"/>
      <c r="KA38" s="33"/>
      <c r="KB38" s="109"/>
      <c r="KC38" s="109"/>
      <c r="KD38" s="33"/>
      <c r="KE38" s="33"/>
      <c r="KF38" s="33"/>
      <c r="KG38" s="33"/>
      <c r="KH38" s="33"/>
      <c r="KI38" s="1"/>
      <c r="KJ38" s="1"/>
      <c r="KK38" s="33"/>
      <c r="KL38" s="33"/>
      <c r="KM38" s="33"/>
      <c r="KN38" s="33"/>
      <c r="KO38" s="33"/>
      <c r="KP38" s="33"/>
      <c r="KQ38" s="33"/>
      <c r="KR38" s="33"/>
      <c r="KS38" s="33"/>
      <c r="KT38" s="33"/>
      <c r="KU38" s="33"/>
      <c r="KV38" s="33"/>
      <c r="KW38" s="33"/>
      <c r="KX38" s="33"/>
      <c r="KY38" s="33"/>
      <c r="KZ38" s="33"/>
      <c r="LA38" s="33"/>
      <c r="LB38" s="33"/>
      <c r="LC38" s="33"/>
      <c r="LD38" s="109"/>
      <c r="LE38" s="109"/>
      <c r="LF38" s="33"/>
      <c r="LG38" s="33"/>
      <c r="LH38" s="33"/>
      <c r="LI38" s="33"/>
      <c r="LJ38" s="33"/>
      <c r="LK38" s="1"/>
      <c r="LL38" s="1"/>
      <c r="LM38" s="33"/>
      <c r="LN38" s="33"/>
      <c r="LO38" s="33"/>
      <c r="LP38" s="33"/>
      <c r="LQ38" s="33"/>
      <c r="LR38" s="33"/>
      <c r="LS38" s="33"/>
      <c r="LT38" s="33"/>
      <c r="LU38" s="33"/>
      <c r="LV38" s="33"/>
      <c r="LW38" s="33"/>
      <c r="LX38" s="33"/>
      <c r="LY38" s="1"/>
      <c r="LZ38" s="1"/>
      <c r="MA38" s="33"/>
      <c r="MB38" s="33"/>
      <c r="MC38" s="33"/>
      <c r="MD38" s="33"/>
      <c r="ME38" s="33"/>
      <c r="MF38" s="109"/>
      <c r="MG38" s="109"/>
      <c r="MH38" s="33"/>
      <c r="MI38" s="33"/>
      <c r="MJ38" s="33"/>
      <c r="MK38" s="33"/>
      <c r="ML38" s="33"/>
      <c r="MM38" s="1"/>
      <c r="MN38" s="1"/>
      <c r="MO38" s="33"/>
      <c r="MP38" s="33"/>
      <c r="MQ38" s="33"/>
      <c r="MR38" s="33"/>
      <c r="MS38" s="33"/>
      <c r="MT38" s="33"/>
      <c r="MU38" s="33"/>
      <c r="MV38" s="33"/>
      <c r="MW38" s="33"/>
      <c r="MX38" s="33"/>
      <c r="MY38" s="33"/>
      <c r="MZ38" s="33"/>
      <c r="NA38" s="33"/>
      <c r="NB38" s="33"/>
      <c r="NC38" s="33"/>
      <c r="ND38" s="33"/>
      <c r="NE38" s="33"/>
      <c r="NF38" s="33"/>
      <c r="NG38" s="99"/>
      <c r="NH38" s="109"/>
      <c r="NI38" s="109"/>
      <c r="NJ38" s="33"/>
      <c r="NK38" s="33"/>
      <c r="NL38" s="33"/>
      <c r="NM38" s="33"/>
      <c r="NN38" s="99"/>
      <c r="NO38" s="1"/>
      <c r="NP38" s="1"/>
      <c r="NQ38" s="33"/>
      <c r="NR38" s="33"/>
      <c r="NS38" s="33"/>
      <c r="NT38" s="33"/>
      <c r="NU38" s="33"/>
      <c r="NV38" s="33"/>
      <c r="NW38" s="33"/>
      <c r="NX38" s="33"/>
      <c r="NY38" s="33"/>
      <c r="NZ38" s="33"/>
      <c r="OA38" s="145"/>
      <c r="OB38" s="149"/>
    </row>
    <row r="39" spans="1:449">
      <c r="A39" s="97"/>
      <c r="B39" s="63"/>
      <c r="C39" s="33"/>
      <c r="D39" s="33"/>
      <c r="E39" s="33"/>
      <c r="F39" s="33"/>
      <c r="G39" s="33"/>
      <c r="H39" s="109"/>
      <c r="I39" s="109"/>
      <c r="J39" s="33"/>
      <c r="K39" s="33"/>
      <c r="L39" s="33"/>
      <c r="M39" s="33"/>
      <c r="N39" s="33"/>
      <c r="O39" s="1"/>
      <c r="P39" s="1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109"/>
      <c r="AK39" s="109"/>
      <c r="AL39" s="33"/>
      <c r="AM39" s="33"/>
      <c r="AN39" s="33"/>
      <c r="AO39" s="33"/>
      <c r="AP39" s="33"/>
      <c r="AQ39" s="1"/>
      <c r="AR39" s="1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109"/>
      <c r="BM39" s="109"/>
      <c r="BN39" s="33"/>
      <c r="BO39" s="33"/>
      <c r="BP39" s="33"/>
      <c r="BQ39" s="33"/>
      <c r="BR39" s="33"/>
      <c r="BS39" s="1"/>
      <c r="BT39" s="1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109"/>
      <c r="CO39" s="109"/>
      <c r="CP39" s="33"/>
      <c r="CQ39" s="33"/>
      <c r="CR39" s="33"/>
      <c r="CS39" s="33"/>
      <c r="CT39" s="33"/>
      <c r="CU39" s="1"/>
      <c r="CV39" s="1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109"/>
      <c r="DQ39" s="109"/>
      <c r="DR39" s="33"/>
      <c r="DS39" s="33"/>
      <c r="DT39" s="33"/>
      <c r="DU39" s="33"/>
      <c r="DV39" s="33"/>
      <c r="DW39" s="1"/>
      <c r="DX39" s="1"/>
      <c r="DY39" s="33"/>
      <c r="DZ39" s="33"/>
      <c r="EA39" s="33"/>
      <c r="EB39" s="33"/>
      <c r="EC39" s="33"/>
      <c r="ED39" s="33"/>
      <c r="EE39" s="33"/>
      <c r="EF39" s="33"/>
      <c r="EG39" s="33"/>
      <c r="EH39" s="33"/>
      <c r="EI39" s="33"/>
      <c r="EJ39" s="33"/>
      <c r="EK39" s="33"/>
      <c r="EL39" s="33"/>
      <c r="EM39" s="33"/>
      <c r="EN39" s="33"/>
      <c r="EO39" s="33"/>
      <c r="EP39" s="33"/>
      <c r="EQ39" s="33"/>
      <c r="ER39" s="109"/>
      <c r="ES39" s="109"/>
      <c r="ET39" s="33"/>
      <c r="EU39" s="33"/>
      <c r="EV39" s="33"/>
      <c r="EW39" s="33"/>
      <c r="EX39" s="33"/>
      <c r="EY39" s="1"/>
      <c r="EZ39" s="1"/>
      <c r="FA39" s="33"/>
      <c r="FB39" s="33"/>
      <c r="FC39" s="33"/>
      <c r="FD39" s="33"/>
      <c r="FE39" s="33"/>
      <c r="FF39" s="33"/>
      <c r="FG39" s="33"/>
      <c r="FH39" s="33"/>
      <c r="FI39" s="33"/>
      <c r="FJ39" s="33"/>
      <c r="FK39" s="33"/>
      <c r="FL39" s="33"/>
      <c r="FM39" s="33"/>
      <c r="FN39" s="33"/>
      <c r="FO39" s="33"/>
      <c r="FP39" s="33"/>
      <c r="FQ39" s="33"/>
      <c r="FR39" s="33"/>
      <c r="FS39" s="33"/>
      <c r="FT39" s="109"/>
      <c r="FU39" s="109"/>
      <c r="FV39" s="33"/>
      <c r="FW39" s="33"/>
      <c r="FX39" s="33"/>
      <c r="FY39" s="33"/>
      <c r="FZ39" s="33"/>
      <c r="GA39" s="1"/>
      <c r="GB39" s="1"/>
      <c r="GC39" s="33"/>
      <c r="GD39" s="33"/>
      <c r="GE39" s="33"/>
      <c r="GF39" s="33"/>
      <c r="GG39" s="33"/>
      <c r="GH39" s="33"/>
      <c r="GI39" s="33"/>
      <c r="GJ39" s="33"/>
      <c r="GK39" s="33"/>
      <c r="GL39" s="33"/>
      <c r="GM39" s="33"/>
      <c r="GN39" s="33"/>
      <c r="GO39" s="33"/>
      <c r="GP39" s="33"/>
      <c r="GQ39" s="33"/>
      <c r="GR39" s="33"/>
      <c r="GS39" s="33"/>
      <c r="GT39" s="33"/>
      <c r="GU39" s="33"/>
      <c r="GV39" s="109"/>
      <c r="GW39" s="109"/>
      <c r="GX39" s="33"/>
      <c r="GY39" s="33"/>
      <c r="GZ39" s="33"/>
      <c r="HA39" s="33"/>
      <c r="HB39" s="33"/>
      <c r="HC39" s="1"/>
      <c r="HD39" s="1"/>
      <c r="HE39" s="33"/>
      <c r="HF39" s="33"/>
      <c r="HG39" s="33"/>
      <c r="HH39" s="33"/>
      <c r="HI39" s="33"/>
      <c r="HJ39" s="33"/>
      <c r="HK39" s="33"/>
      <c r="HL39" s="109"/>
      <c r="HM39" s="109"/>
      <c r="HN39" s="109"/>
      <c r="HO39" s="109"/>
      <c r="HP39" s="109"/>
      <c r="HQ39" s="1"/>
      <c r="HR39" s="1"/>
      <c r="HS39" s="109"/>
      <c r="HT39" s="109"/>
      <c r="HU39" s="109"/>
      <c r="HV39" s="109"/>
      <c r="HW39" s="109"/>
      <c r="HX39" s="109"/>
      <c r="HY39" s="109"/>
      <c r="HZ39" s="33"/>
      <c r="IA39" s="33"/>
      <c r="IB39" s="33"/>
      <c r="IC39" s="33"/>
      <c r="ID39" s="33"/>
      <c r="IE39" s="1"/>
      <c r="IF39" s="1"/>
      <c r="IG39" s="33"/>
      <c r="IH39" s="33"/>
      <c r="II39" s="33"/>
      <c r="IJ39" s="33"/>
      <c r="IK39" s="33"/>
      <c r="IL39" s="33"/>
      <c r="IM39" s="33"/>
      <c r="IN39" s="33"/>
      <c r="IO39" s="33"/>
      <c r="IP39" s="33"/>
      <c r="IQ39" s="33"/>
      <c r="IR39" s="33"/>
      <c r="IS39" s="33"/>
      <c r="IT39" s="33"/>
      <c r="IU39" s="33"/>
      <c r="IV39" s="33"/>
      <c r="IW39" s="33"/>
      <c r="IX39" s="33"/>
      <c r="IY39" s="33"/>
      <c r="IZ39" s="109"/>
      <c r="JA39" s="109"/>
      <c r="JB39" s="33"/>
      <c r="JC39" s="33"/>
      <c r="JD39" s="33"/>
      <c r="JE39" s="33"/>
      <c r="JF39" s="33"/>
      <c r="JG39" s="1"/>
      <c r="JH39" s="1"/>
      <c r="JI39" s="33"/>
      <c r="JJ39" s="33"/>
      <c r="JK39" s="33"/>
      <c r="JL39" s="33"/>
      <c r="JM39" s="33"/>
      <c r="JN39" s="33"/>
      <c r="JO39" s="33"/>
      <c r="JP39" s="33"/>
      <c r="JQ39" s="33"/>
      <c r="JR39" s="33"/>
      <c r="JS39" s="33"/>
      <c r="JT39" s="33"/>
      <c r="JU39" s="33"/>
      <c r="JV39" s="33"/>
      <c r="JW39" s="33"/>
      <c r="JX39" s="33"/>
      <c r="JY39" s="33"/>
      <c r="JZ39" s="33"/>
      <c r="KA39" s="33"/>
      <c r="KB39" s="109"/>
      <c r="KC39" s="109"/>
      <c r="KD39" s="33"/>
      <c r="KE39" s="33"/>
      <c r="KF39" s="33"/>
      <c r="KG39" s="33"/>
      <c r="KH39" s="33"/>
      <c r="KI39" s="1"/>
      <c r="KJ39" s="1"/>
      <c r="KK39" s="33"/>
      <c r="KL39" s="33"/>
      <c r="KM39" s="33"/>
      <c r="KN39" s="33"/>
      <c r="KO39" s="33"/>
      <c r="KP39" s="33"/>
      <c r="KQ39" s="33"/>
      <c r="KR39" s="33"/>
      <c r="KS39" s="33"/>
      <c r="KT39" s="33"/>
      <c r="KU39" s="33"/>
      <c r="KV39" s="33"/>
      <c r="KW39" s="33"/>
      <c r="KX39" s="33"/>
      <c r="KY39" s="33"/>
      <c r="KZ39" s="33"/>
      <c r="LA39" s="33"/>
      <c r="LB39" s="33"/>
      <c r="LC39" s="33"/>
      <c r="LD39" s="109"/>
      <c r="LE39" s="109"/>
      <c r="LF39" s="33"/>
      <c r="LG39" s="33"/>
      <c r="LH39" s="33"/>
      <c r="LI39" s="33"/>
      <c r="LJ39" s="33"/>
      <c r="LK39" s="1"/>
      <c r="LL39" s="1"/>
      <c r="LM39" s="33"/>
      <c r="LN39" s="33"/>
      <c r="LO39" s="33"/>
      <c r="LP39" s="33"/>
      <c r="LQ39" s="33"/>
      <c r="LR39" s="33"/>
      <c r="LS39" s="33"/>
      <c r="LT39" s="33"/>
      <c r="LU39" s="33"/>
      <c r="LV39" s="33"/>
      <c r="LW39" s="33"/>
      <c r="LX39" s="33"/>
      <c r="LY39" s="1"/>
      <c r="LZ39" s="1"/>
      <c r="MA39" s="33"/>
      <c r="MB39" s="33"/>
      <c r="MC39" s="33"/>
      <c r="MD39" s="33"/>
      <c r="ME39" s="33"/>
      <c r="MF39" s="109"/>
      <c r="MG39" s="109"/>
      <c r="MH39" s="33"/>
      <c r="MI39" s="33"/>
      <c r="MJ39" s="33"/>
      <c r="MK39" s="33"/>
      <c r="ML39" s="33"/>
      <c r="MM39" s="1"/>
      <c r="MN39" s="1"/>
      <c r="MO39" s="33"/>
      <c r="MP39" s="33"/>
      <c r="MQ39" s="33"/>
      <c r="MR39" s="33"/>
      <c r="MS39" s="33"/>
      <c r="MT39" s="33"/>
      <c r="MU39" s="33"/>
      <c r="MV39" s="33"/>
      <c r="MW39" s="33"/>
      <c r="MX39" s="33"/>
      <c r="MY39" s="33"/>
      <c r="MZ39" s="33"/>
      <c r="NA39" s="33"/>
      <c r="NB39" s="33"/>
      <c r="NC39" s="33"/>
      <c r="ND39" s="33"/>
      <c r="NE39" s="33"/>
      <c r="NF39" s="33"/>
      <c r="NG39" s="33"/>
      <c r="NH39" s="109"/>
      <c r="NI39" s="109"/>
      <c r="NJ39" s="33"/>
      <c r="NK39" s="33"/>
      <c r="NL39" s="33"/>
      <c r="NM39" s="33"/>
      <c r="NN39" s="33"/>
      <c r="NO39" s="1"/>
      <c r="NP39" s="1"/>
      <c r="NQ39" s="33"/>
      <c r="NR39" s="33"/>
      <c r="NS39" s="33"/>
      <c r="NT39" s="33"/>
      <c r="NU39" s="33"/>
      <c r="NV39" s="33"/>
      <c r="NW39" s="33"/>
      <c r="NX39" s="33"/>
      <c r="NY39" s="33"/>
      <c r="NZ39" s="33"/>
      <c r="OA39" s="145"/>
      <c r="OB39" s="149"/>
    </row>
    <row r="40" spans="1:449">
      <c r="A40" s="97"/>
      <c r="B40" s="63"/>
      <c r="C40" s="33"/>
      <c r="D40" s="33"/>
      <c r="E40" s="33"/>
      <c r="F40" s="33"/>
      <c r="G40" s="33"/>
      <c r="H40" s="109"/>
      <c r="I40" s="109"/>
      <c r="J40" s="33"/>
      <c r="K40" s="33"/>
      <c r="L40" s="33"/>
      <c r="M40" s="33"/>
      <c r="N40" s="33"/>
      <c r="O40" s="1"/>
      <c r="P40" s="1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109"/>
      <c r="AK40" s="109"/>
      <c r="AL40" s="33"/>
      <c r="AM40" s="33"/>
      <c r="AN40" s="33"/>
      <c r="AO40" s="33"/>
      <c r="AP40" s="33"/>
      <c r="AQ40" s="1"/>
      <c r="AR40" s="1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109"/>
      <c r="BM40" s="109"/>
      <c r="BN40" s="33"/>
      <c r="BO40" s="33"/>
      <c r="BP40" s="33"/>
      <c r="BQ40" s="33"/>
      <c r="BR40" s="33"/>
      <c r="BS40" s="1"/>
      <c r="BT40" s="1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109"/>
      <c r="CO40" s="109"/>
      <c r="CP40" s="33"/>
      <c r="CQ40" s="33"/>
      <c r="CR40" s="33"/>
      <c r="CS40" s="33"/>
      <c r="CT40" s="33"/>
      <c r="CU40" s="1"/>
      <c r="CV40" s="1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3"/>
      <c r="DP40" s="109"/>
      <c r="DQ40" s="109"/>
      <c r="DR40" s="33"/>
      <c r="DS40" s="33"/>
      <c r="DT40" s="33"/>
      <c r="DU40" s="33"/>
      <c r="DV40" s="33"/>
      <c r="DW40" s="1"/>
      <c r="DX40" s="1"/>
      <c r="DY40" s="33"/>
      <c r="DZ40" s="33"/>
      <c r="EA40" s="33"/>
      <c r="EB40" s="33"/>
      <c r="EC40" s="33"/>
      <c r="ED40" s="33"/>
      <c r="EE40" s="33"/>
      <c r="EF40" s="33"/>
      <c r="EG40" s="33"/>
      <c r="EH40" s="33"/>
      <c r="EI40" s="33"/>
      <c r="EJ40" s="33"/>
      <c r="EK40" s="33"/>
      <c r="EL40" s="33"/>
      <c r="EM40" s="33"/>
      <c r="EN40" s="33"/>
      <c r="EO40" s="33"/>
      <c r="EP40" s="33"/>
      <c r="EQ40" s="33"/>
      <c r="ER40" s="109"/>
      <c r="ES40" s="109"/>
      <c r="ET40" s="33"/>
      <c r="EU40" s="33"/>
      <c r="EV40" s="33"/>
      <c r="EW40" s="33"/>
      <c r="EX40" s="33"/>
      <c r="EY40" s="1"/>
      <c r="EZ40" s="1"/>
      <c r="FA40" s="33"/>
      <c r="FB40" s="33"/>
      <c r="FC40" s="33"/>
      <c r="FD40" s="33"/>
      <c r="FE40" s="33"/>
      <c r="FF40" s="33"/>
      <c r="FG40" s="33"/>
      <c r="FH40" s="33"/>
      <c r="FI40" s="33"/>
      <c r="FJ40" s="33"/>
      <c r="FK40" s="33"/>
      <c r="FL40" s="33"/>
      <c r="FM40" s="33"/>
      <c r="FN40" s="33"/>
      <c r="FO40" s="33"/>
      <c r="FP40" s="33"/>
      <c r="FQ40" s="33"/>
      <c r="FR40" s="33"/>
      <c r="FS40" s="33"/>
      <c r="FT40" s="109"/>
      <c r="FU40" s="109"/>
      <c r="FV40" s="33"/>
      <c r="FW40" s="33"/>
      <c r="FX40" s="33"/>
      <c r="FY40" s="33"/>
      <c r="FZ40" s="33"/>
      <c r="GA40" s="1"/>
      <c r="GB40" s="1"/>
      <c r="GC40" s="33"/>
      <c r="GD40" s="33"/>
      <c r="GE40" s="33"/>
      <c r="GF40" s="33"/>
      <c r="GG40" s="33"/>
      <c r="GH40" s="33"/>
      <c r="GI40" s="33"/>
      <c r="GJ40" s="33"/>
      <c r="GK40" s="33"/>
      <c r="GL40" s="33"/>
      <c r="GM40" s="33"/>
      <c r="GN40" s="33"/>
      <c r="GO40" s="33"/>
      <c r="GP40" s="33"/>
      <c r="GQ40" s="33"/>
      <c r="GR40" s="33"/>
      <c r="GS40" s="33"/>
      <c r="GT40" s="33"/>
      <c r="GU40" s="33"/>
      <c r="GV40" s="109"/>
      <c r="GW40" s="109"/>
      <c r="GX40" s="33"/>
      <c r="GY40" s="33"/>
      <c r="GZ40" s="33"/>
      <c r="HA40" s="33"/>
      <c r="HB40" s="33"/>
      <c r="HC40" s="1"/>
      <c r="HD40" s="1"/>
      <c r="HE40" s="33"/>
      <c r="HF40" s="33"/>
      <c r="HG40" s="33"/>
      <c r="HH40" s="33"/>
      <c r="HI40" s="33"/>
      <c r="HJ40" s="33"/>
      <c r="HK40" s="33"/>
      <c r="HL40" s="109"/>
      <c r="HM40" s="109"/>
      <c r="HN40" s="109"/>
      <c r="HO40" s="109"/>
      <c r="HP40" s="109"/>
      <c r="HQ40" s="1"/>
      <c r="HR40" s="1"/>
      <c r="HS40" s="109"/>
      <c r="HT40" s="109"/>
      <c r="HU40" s="109"/>
      <c r="HV40" s="109"/>
      <c r="HW40" s="109"/>
      <c r="HX40" s="109"/>
      <c r="HY40" s="109"/>
      <c r="HZ40" s="33"/>
      <c r="IA40" s="33"/>
      <c r="IB40" s="33"/>
      <c r="IC40" s="33"/>
      <c r="ID40" s="33"/>
      <c r="IE40" s="1"/>
      <c r="IF40" s="1"/>
      <c r="IG40" s="33"/>
      <c r="IH40" s="33"/>
      <c r="II40" s="33"/>
      <c r="IJ40" s="33"/>
      <c r="IK40" s="33"/>
      <c r="IL40" s="33"/>
      <c r="IM40" s="33"/>
      <c r="IN40" s="33"/>
      <c r="IO40" s="33"/>
      <c r="IP40" s="33"/>
      <c r="IQ40" s="33"/>
      <c r="IR40" s="33"/>
      <c r="IS40" s="33"/>
      <c r="IT40" s="33"/>
      <c r="IU40" s="33"/>
      <c r="IV40" s="33"/>
      <c r="IW40" s="33"/>
      <c r="IX40" s="33"/>
      <c r="IY40" s="33"/>
      <c r="IZ40" s="109"/>
      <c r="JA40" s="109"/>
      <c r="JB40" s="33"/>
      <c r="JC40" s="33"/>
      <c r="JD40" s="33"/>
      <c r="JE40" s="33"/>
      <c r="JF40" s="33"/>
      <c r="JG40" s="1"/>
      <c r="JH40" s="1"/>
      <c r="JI40" s="33"/>
      <c r="JJ40" s="33"/>
      <c r="JK40" s="33"/>
      <c r="JL40" s="33"/>
      <c r="JM40" s="33"/>
      <c r="JN40" s="33"/>
      <c r="JO40" s="33"/>
      <c r="JP40" s="33"/>
      <c r="JQ40" s="33"/>
      <c r="JR40" s="33"/>
      <c r="JS40" s="33"/>
      <c r="JT40" s="33"/>
      <c r="JU40" s="33"/>
      <c r="JV40" s="33"/>
      <c r="JW40" s="33"/>
      <c r="JX40" s="33"/>
      <c r="JY40" s="33"/>
      <c r="JZ40" s="33"/>
      <c r="KA40" s="33"/>
      <c r="KB40" s="109"/>
      <c r="KC40" s="109"/>
      <c r="KD40" s="33"/>
      <c r="KE40" s="33"/>
      <c r="KF40" s="33"/>
      <c r="KG40" s="33"/>
      <c r="KH40" s="33"/>
      <c r="KI40" s="1"/>
      <c r="KJ40" s="1"/>
      <c r="KK40" s="33"/>
      <c r="KL40" s="33"/>
      <c r="KM40" s="33"/>
      <c r="KN40" s="33"/>
      <c r="KO40" s="33"/>
      <c r="KP40" s="33"/>
      <c r="KQ40" s="33"/>
      <c r="KR40" s="33"/>
      <c r="KS40" s="33"/>
      <c r="KT40" s="33"/>
      <c r="KU40" s="33"/>
      <c r="KV40" s="33"/>
      <c r="KW40" s="33"/>
      <c r="KX40" s="33"/>
      <c r="KY40" s="33"/>
      <c r="KZ40" s="33"/>
      <c r="LA40" s="33"/>
      <c r="LB40" s="33"/>
      <c r="LC40" s="33"/>
      <c r="LD40" s="109"/>
      <c r="LE40" s="109"/>
      <c r="LF40" s="33"/>
      <c r="LG40" s="33"/>
      <c r="LH40" s="33"/>
      <c r="LI40" s="33"/>
      <c r="LJ40" s="33"/>
      <c r="LK40" s="1"/>
      <c r="LL40" s="1"/>
      <c r="LM40" s="33"/>
      <c r="LN40" s="33"/>
      <c r="LO40" s="33"/>
      <c r="LP40" s="33"/>
      <c r="LQ40" s="33"/>
      <c r="LR40" s="33"/>
      <c r="LS40" s="33"/>
      <c r="LT40" s="33"/>
      <c r="LU40" s="33"/>
      <c r="LV40" s="33"/>
      <c r="LW40" s="33"/>
      <c r="LX40" s="33"/>
      <c r="LY40" s="1"/>
      <c r="LZ40" s="1"/>
      <c r="MA40" s="33"/>
      <c r="MB40" s="33"/>
      <c r="MC40" s="33"/>
      <c r="MD40" s="33"/>
      <c r="ME40" s="33"/>
      <c r="MF40" s="109"/>
      <c r="MG40" s="109"/>
      <c r="MH40" s="33"/>
      <c r="MI40" s="33"/>
      <c r="MJ40" s="33"/>
      <c r="MK40" s="33"/>
      <c r="ML40" s="33"/>
      <c r="MM40" s="1"/>
      <c r="MN40" s="1"/>
      <c r="MO40" s="33"/>
      <c r="MP40" s="33"/>
      <c r="MQ40" s="33"/>
      <c r="MR40" s="33"/>
      <c r="MS40" s="33"/>
      <c r="MT40" s="33"/>
      <c r="MU40" s="33"/>
      <c r="MV40" s="33"/>
      <c r="MW40" s="33"/>
      <c r="MX40" s="33"/>
      <c r="MY40" s="33"/>
      <c r="MZ40" s="33"/>
      <c r="NA40" s="33"/>
      <c r="NB40" s="33"/>
      <c r="NC40" s="33"/>
      <c r="ND40" s="33"/>
      <c r="NE40" s="33"/>
      <c r="NF40" s="33"/>
      <c r="NG40" s="33"/>
      <c r="NH40" s="109"/>
      <c r="NI40" s="109"/>
      <c r="NJ40" s="33"/>
      <c r="NK40" s="33"/>
      <c r="NL40" s="33"/>
      <c r="NM40" s="33"/>
      <c r="NN40" s="33"/>
      <c r="NO40" s="1"/>
      <c r="NP40" s="1"/>
      <c r="NQ40" s="33"/>
      <c r="NR40" s="33"/>
      <c r="NS40" s="33"/>
      <c r="NT40" s="33"/>
      <c r="NU40" s="33"/>
      <c r="NV40" s="33"/>
      <c r="NW40" s="33"/>
      <c r="NX40" s="33"/>
      <c r="NY40" s="33"/>
      <c r="NZ40" s="33"/>
      <c r="OA40" s="145"/>
      <c r="OB40" s="149"/>
    </row>
    <row r="41" spans="1:449">
      <c r="A41" s="97"/>
      <c r="B41" s="63"/>
      <c r="C41" s="33"/>
      <c r="D41" s="33"/>
      <c r="E41" s="33"/>
      <c r="F41" s="33"/>
      <c r="G41" s="33"/>
      <c r="H41" s="109"/>
      <c r="I41" s="109"/>
      <c r="J41" s="33"/>
      <c r="K41" s="33"/>
      <c r="L41" s="33"/>
      <c r="M41" s="33"/>
      <c r="N41" s="33"/>
      <c r="O41" s="1"/>
      <c r="P41" s="1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109"/>
      <c r="AK41" s="109"/>
      <c r="AL41" s="33"/>
      <c r="AM41" s="33"/>
      <c r="AN41" s="33"/>
      <c r="AO41" s="33"/>
      <c r="AP41" s="33"/>
      <c r="AQ41" s="1"/>
      <c r="AR41" s="1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109"/>
      <c r="BM41" s="109"/>
      <c r="BN41" s="33"/>
      <c r="BO41" s="33"/>
      <c r="BP41" s="33"/>
      <c r="BQ41" s="33"/>
      <c r="BR41" s="33"/>
      <c r="BS41" s="1"/>
      <c r="BT41" s="1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109"/>
      <c r="CO41" s="109"/>
      <c r="CP41" s="33"/>
      <c r="CQ41" s="33"/>
      <c r="CR41" s="33"/>
      <c r="CS41" s="33"/>
      <c r="CT41" s="33"/>
      <c r="CU41" s="1"/>
      <c r="CV41" s="1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109"/>
      <c r="DQ41" s="109"/>
      <c r="DR41" s="33"/>
      <c r="DS41" s="33"/>
      <c r="DT41" s="33"/>
      <c r="DU41" s="33"/>
      <c r="DV41" s="33"/>
      <c r="DW41" s="1"/>
      <c r="DX41" s="1"/>
      <c r="DY41" s="33"/>
      <c r="DZ41" s="33"/>
      <c r="EA41" s="33"/>
      <c r="EB41" s="33"/>
      <c r="EC41" s="33"/>
      <c r="ED41" s="33"/>
      <c r="EE41" s="33"/>
      <c r="EF41" s="33"/>
      <c r="EG41" s="33"/>
      <c r="EH41" s="33"/>
      <c r="EI41" s="33"/>
      <c r="EJ41" s="33"/>
      <c r="EK41" s="33"/>
      <c r="EL41" s="33"/>
      <c r="EM41" s="33"/>
      <c r="EN41" s="33"/>
      <c r="EO41" s="33"/>
      <c r="EP41" s="33"/>
      <c r="EQ41" s="33"/>
      <c r="ER41" s="109"/>
      <c r="ES41" s="109"/>
      <c r="ET41" s="33"/>
      <c r="EU41" s="33"/>
      <c r="EV41" s="33"/>
      <c r="EW41" s="33"/>
      <c r="EX41" s="33"/>
      <c r="EY41" s="1"/>
      <c r="EZ41" s="1"/>
      <c r="FA41" s="33"/>
      <c r="FB41" s="33"/>
      <c r="FC41" s="33"/>
      <c r="FD41" s="33"/>
      <c r="FE41" s="33"/>
      <c r="FF41" s="33"/>
      <c r="FG41" s="33"/>
      <c r="FH41" s="33"/>
      <c r="FI41" s="33"/>
      <c r="FJ41" s="33"/>
      <c r="FK41" s="33"/>
      <c r="FL41" s="33"/>
      <c r="FM41" s="33"/>
      <c r="FN41" s="33"/>
      <c r="FO41" s="33"/>
      <c r="FP41" s="33"/>
      <c r="FQ41" s="33"/>
      <c r="FR41" s="33"/>
      <c r="FS41" s="33"/>
      <c r="FT41" s="109"/>
      <c r="FU41" s="109"/>
      <c r="FV41" s="33"/>
      <c r="FW41" s="33"/>
      <c r="FX41" s="33"/>
      <c r="FY41" s="33"/>
      <c r="FZ41" s="33"/>
      <c r="GA41" s="1"/>
      <c r="GB41" s="1"/>
      <c r="GC41" s="33"/>
      <c r="GD41" s="33"/>
      <c r="GE41" s="33"/>
      <c r="GF41" s="33"/>
      <c r="GG41" s="33"/>
      <c r="GH41" s="33"/>
      <c r="GI41" s="33"/>
      <c r="GJ41" s="33"/>
      <c r="GK41" s="33"/>
      <c r="GL41" s="33"/>
      <c r="GM41" s="33"/>
      <c r="GN41" s="33"/>
      <c r="GO41" s="33"/>
      <c r="GP41" s="33"/>
      <c r="GQ41" s="33"/>
      <c r="GR41" s="33"/>
      <c r="GS41" s="33"/>
      <c r="GT41" s="33"/>
      <c r="GU41" s="33"/>
      <c r="GV41" s="109"/>
      <c r="GW41" s="109"/>
      <c r="GX41" s="33"/>
      <c r="GY41" s="33"/>
      <c r="GZ41" s="33"/>
      <c r="HA41" s="33"/>
      <c r="HB41" s="33"/>
      <c r="HC41" s="1"/>
      <c r="HD41" s="1"/>
      <c r="HE41" s="33"/>
      <c r="HF41" s="33"/>
      <c r="HG41" s="33"/>
      <c r="HH41" s="33"/>
      <c r="HI41" s="33"/>
      <c r="HJ41" s="33"/>
      <c r="HK41" s="33"/>
      <c r="HL41" s="109"/>
      <c r="HM41" s="109"/>
      <c r="HN41" s="109"/>
      <c r="HO41" s="109"/>
      <c r="HP41" s="109"/>
      <c r="HQ41" s="1"/>
      <c r="HR41" s="1"/>
      <c r="HS41" s="109"/>
      <c r="HT41" s="109"/>
      <c r="HU41" s="109"/>
      <c r="HV41" s="109"/>
      <c r="HW41" s="109"/>
      <c r="HX41" s="109"/>
      <c r="HY41" s="109"/>
      <c r="HZ41" s="33"/>
      <c r="IA41" s="33"/>
      <c r="IB41" s="33"/>
      <c r="IC41" s="33"/>
      <c r="ID41" s="33"/>
      <c r="IE41" s="1"/>
      <c r="IF41" s="1"/>
      <c r="IG41" s="33"/>
      <c r="IH41" s="33"/>
      <c r="II41" s="33"/>
      <c r="IJ41" s="33"/>
      <c r="IK41" s="33"/>
      <c r="IL41" s="33"/>
      <c r="IM41" s="33"/>
      <c r="IN41" s="33"/>
      <c r="IO41" s="33"/>
      <c r="IP41" s="33"/>
      <c r="IQ41" s="33"/>
      <c r="IR41" s="33"/>
      <c r="IS41" s="33"/>
      <c r="IT41" s="33"/>
      <c r="IU41" s="33"/>
      <c r="IV41" s="33"/>
      <c r="IW41" s="33"/>
      <c r="IX41" s="33"/>
      <c r="IY41" s="33"/>
      <c r="IZ41" s="109"/>
      <c r="JA41" s="109"/>
      <c r="JB41" s="33"/>
      <c r="JC41" s="33"/>
      <c r="JD41" s="33"/>
      <c r="JE41" s="33"/>
      <c r="JF41" s="33"/>
      <c r="JG41" s="1"/>
      <c r="JH41" s="1"/>
      <c r="JI41" s="33"/>
      <c r="JJ41" s="33"/>
      <c r="JK41" s="33"/>
      <c r="JL41" s="33"/>
      <c r="JM41" s="33"/>
      <c r="JN41" s="33"/>
      <c r="JO41" s="33"/>
      <c r="JP41" s="33"/>
      <c r="JQ41" s="33"/>
      <c r="JR41" s="33"/>
      <c r="JS41" s="33"/>
      <c r="JT41" s="33"/>
      <c r="JU41" s="33"/>
      <c r="JV41" s="33"/>
      <c r="JW41" s="33"/>
      <c r="JX41" s="33"/>
      <c r="JY41" s="33"/>
      <c r="JZ41" s="33"/>
      <c r="KA41" s="33"/>
      <c r="KB41" s="109"/>
      <c r="KC41" s="109"/>
      <c r="KD41" s="33"/>
      <c r="KE41" s="33"/>
      <c r="KF41" s="33"/>
      <c r="KG41" s="33"/>
      <c r="KH41" s="33"/>
      <c r="KI41" s="1"/>
      <c r="KJ41" s="1"/>
      <c r="KK41" s="33"/>
      <c r="KL41" s="33"/>
      <c r="KM41" s="33"/>
      <c r="KN41" s="33"/>
      <c r="KO41" s="33"/>
      <c r="KP41" s="33"/>
      <c r="KQ41" s="33"/>
      <c r="KR41" s="33"/>
      <c r="KS41" s="33"/>
      <c r="KT41" s="33"/>
      <c r="KU41" s="33"/>
      <c r="KV41" s="33"/>
      <c r="KW41" s="33"/>
      <c r="KX41" s="33"/>
      <c r="KY41" s="33"/>
      <c r="KZ41" s="33"/>
      <c r="LA41" s="33"/>
      <c r="LB41" s="33"/>
      <c r="LC41" s="33"/>
      <c r="LD41" s="109"/>
      <c r="LE41" s="109"/>
      <c r="LF41" s="33"/>
      <c r="LG41" s="33"/>
      <c r="LH41" s="33"/>
      <c r="LI41" s="33"/>
      <c r="LJ41" s="33"/>
      <c r="LK41" s="1"/>
      <c r="LL41" s="1"/>
      <c r="LM41" s="33"/>
      <c r="LN41" s="33"/>
      <c r="LO41" s="33"/>
      <c r="LP41" s="33"/>
      <c r="LQ41" s="33"/>
      <c r="LR41" s="33"/>
      <c r="LS41" s="33"/>
      <c r="LT41" s="33"/>
      <c r="LU41" s="33"/>
      <c r="LV41" s="33"/>
      <c r="LW41" s="33"/>
      <c r="LX41" s="33"/>
      <c r="LY41" s="1"/>
      <c r="LZ41" s="1"/>
      <c r="MA41" s="33"/>
      <c r="MB41" s="33"/>
      <c r="MC41" s="33"/>
      <c r="MD41" s="33"/>
      <c r="ME41" s="33"/>
      <c r="MF41" s="109"/>
      <c r="MG41" s="109"/>
      <c r="MH41" s="33"/>
      <c r="MI41" s="33"/>
      <c r="MJ41" s="33"/>
      <c r="MK41" s="33"/>
      <c r="ML41" s="33"/>
      <c r="MM41" s="1"/>
      <c r="MN41" s="1"/>
      <c r="MO41" s="33"/>
      <c r="MP41" s="33"/>
      <c r="MQ41" s="33"/>
      <c r="MR41" s="33"/>
      <c r="MS41" s="33"/>
      <c r="MT41" s="33"/>
      <c r="MU41" s="33"/>
      <c r="MV41" s="33"/>
      <c r="MW41" s="33"/>
      <c r="MX41" s="33"/>
      <c r="MY41" s="33"/>
      <c r="MZ41" s="33"/>
      <c r="NA41" s="33"/>
      <c r="NB41" s="33"/>
      <c r="NC41" s="33"/>
      <c r="ND41" s="33"/>
      <c r="NE41" s="33"/>
      <c r="NF41" s="33"/>
      <c r="NG41" s="33"/>
      <c r="NH41" s="109"/>
      <c r="NI41" s="109"/>
      <c r="NJ41" s="33"/>
      <c r="NK41" s="33"/>
      <c r="NL41" s="33"/>
      <c r="NM41" s="33"/>
      <c r="NN41" s="33"/>
      <c r="NO41" s="1"/>
      <c r="NP41" s="1"/>
      <c r="NQ41" s="33"/>
      <c r="NR41" s="33"/>
      <c r="NS41" s="33"/>
      <c r="NT41" s="33"/>
      <c r="NU41" s="33"/>
      <c r="NV41" s="33"/>
      <c r="NW41" s="33"/>
      <c r="NX41" s="33"/>
      <c r="NY41" s="33"/>
      <c r="NZ41" s="33"/>
      <c r="OA41" s="145"/>
      <c r="OB41" s="149"/>
    </row>
    <row r="42" spans="1:449">
      <c r="A42" s="63" t="s">
        <v>320</v>
      </c>
      <c r="B42" s="63" t="s">
        <v>321</v>
      </c>
      <c r="C42" s="33"/>
      <c r="D42" s="33"/>
      <c r="E42" s="33"/>
      <c r="F42" s="33"/>
      <c r="G42" s="33"/>
      <c r="H42" s="109"/>
      <c r="I42" s="109"/>
      <c r="J42" s="33"/>
      <c r="K42" s="33"/>
      <c r="L42" s="33"/>
      <c r="M42" s="33"/>
      <c r="N42" s="33"/>
      <c r="O42" s="1"/>
      <c r="P42" s="1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109"/>
      <c r="AK42" s="109"/>
      <c r="AL42" s="33"/>
      <c r="AM42" s="33"/>
      <c r="AN42" s="33"/>
      <c r="AO42" s="33"/>
      <c r="AP42" s="33"/>
      <c r="AQ42" s="1"/>
      <c r="AR42" s="1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109"/>
      <c r="BM42" s="109"/>
      <c r="BN42" s="110" t="s">
        <v>8</v>
      </c>
      <c r="BO42" s="33"/>
      <c r="BP42" s="110" t="s">
        <v>8</v>
      </c>
      <c r="BQ42" s="33" t="s">
        <v>322</v>
      </c>
      <c r="BR42" s="110" t="s">
        <v>8</v>
      </c>
      <c r="BS42" s="1"/>
      <c r="BT42" s="1"/>
      <c r="BU42" s="125" t="s">
        <v>8</v>
      </c>
      <c r="BV42" s="125" t="s">
        <v>8</v>
      </c>
      <c r="BW42" s="33" t="s">
        <v>322</v>
      </c>
      <c r="BX42" s="33" t="s">
        <v>322</v>
      </c>
      <c r="BY42" s="125" t="s">
        <v>8</v>
      </c>
      <c r="BZ42" s="33"/>
      <c r="CA42" s="33"/>
      <c r="CB42" s="110" t="s">
        <v>8</v>
      </c>
      <c r="CC42" s="33"/>
      <c r="CD42" s="110" t="s">
        <v>8</v>
      </c>
      <c r="CE42" s="33" t="s">
        <v>322</v>
      </c>
      <c r="CF42" s="110" t="s">
        <v>8</v>
      </c>
      <c r="CG42" s="33"/>
      <c r="CH42" s="33"/>
      <c r="CI42" s="110" t="s">
        <v>8</v>
      </c>
      <c r="CJ42" s="110" t="s">
        <v>8</v>
      </c>
      <c r="CK42" s="110" t="s">
        <v>8</v>
      </c>
      <c r="CL42" s="33" t="s">
        <v>322</v>
      </c>
      <c r="CM42" s="110" t="s">
        <v>8</v>
      </c>
      <c r="CN42" s="109"/>
      <c r="CO42" s="109"/>
      <c r="CP42" s="110" t="s">
        <v>8</v>
      </c>
      <c r="CQ42" s="33"/>
      <c r="CR42" s="110" t="s">
        <v>8</v>
      </c>
      <c r="CS42" s="33" t="s">
        <v>322</v>
      </c>
      <c r="CT42" s="110" t="s">
        <v>8</v>
      </c>
      <c r="CU42" s="1"/>
      <c r="CV42" s="1"/>
      <c r="CW42" s="33"/>
      <c r="CX42" s="110" t="s">
        <v>8</v>
      </c>
      <c r="CY42" s="110" t="s">
        <v>8</v>
      </c>
      <c r="CZ42" s="33" t="s">
        <v>322</v>
      </c>
      <c r="DA42" s="33"/>
      <c r="DB42" s="33"/>
      <c r="DC42" s="33"/>
      <c r="DD42" s="104" t="s">
        <v>140</v>
      </c>
      <c r="DE42" s="33"/>
      <c r="DF42" s="110" t="s">
        <v>8</v>
      </c>
      <c r="DG42" s="33" t="s">
        <v>322</v>
      </c>
      <c r="DH42" s="110" t="s">
        <v>8</v>
      </c>
      <c r="DI42" s="33"/>
      <c r="DJ42" s="33"/>
      <c r="DK42" s="33"/>
      <c r="DL42" s="33"/>
      <c r="DM42" s="110" t="s">
        <v>8</v>
      </c>
      <c r="DN42" s="33" t="s">
        <v>322</v>
      </c>
      <c r="DO42" s="110" t="s">
        <v>8</v>
      </c>
      <c r="DP42" s="109"/>
      <c r="DQ42" s="109"/>
      <c r="DR42" s="110" t="s">
        <v>8</v>
      </c>
      <c r="DS42" s="110" t="s">
        <v>8</v>
      </c>
      <c r="DT42" s="33" t="s">
        <v>322</v>
      </c>
      <c r="DU42" s="33"/>
      <c r="DV42" s="33"/>
      <c r="DW42" s="1"/>
      <c r="DX42" s="1"/>
      <c r="DY42" s="33"/>
      <c r="DZ42" s="110" t="s">
        <v>8</v>
      </c>
      <c r="EA42" s="110" t="s">
        <v>8</v>
      </c>
      <c r="EB42" s="33" t="s">
        <v>322</v>
      </c>
      <c r="EC42" s="33"/>
      <c r="ED42" s="33"/>
      <c r="EE42" s="33"/>
      <c r="EF42" s="33"/>
      <c r="EG42" s="33"/>
      <c r="EH42" s="33"/>
      <c r="EI42" s="33"/>
      <c r="EJ42" s="33"/>
      <c r="EK42" s="33"/>
      <c r="EL42" s="33"/>
      <c r="EM42" s="33"/>
      <c r="EN42" s="33"/>
      <c r="EO42" s="33"/>
      <c r="EP42" s="33"/>
      <c r="EQ42" s="33"/>
      <c r="ER42" s="109"/>
      <c r="ES42" s="109"/>
      <c r="ET42" s="33"/>
      <c r="EU42" s="33"/>
      <c r="EV42" s="33"/>
      <c r="EW42" s="33"/>
      <c r="EX42" s="33"/>
      <c r="EY42" s="1"/>
      <c r="EZ42" s="1"/>
      <c r="FA42" s="33"/>
      <c r="FB42" s="33"/>
      <c r="FC42" s="33"/>
      <c r="FD42" s="33"/>
      <c r="FE42" s="33"/>
      <c r="FF42" s="33"/>
      <c r="FG42" s="33"/>
      <c r="FH42" s="33"/>
      <c r="FI42" s="33"/>
      <c r="FJ42" s="33"/>
      <c r="FK42" s="33"/>
      <c r="FL42" s="33"/>
      <c r="FM42" s="33"/>
      <c r="FN42" s="33"/>
      <c r="FO42" s="33"/>
      <c r="FP42" s="33"/>
      <c r="FQ42" s="33"/>
      <c r="FR42" s="33"/>
      <c r="FS42" s="33"/>
      <c r="FT42" s="109"/>
      <c r="FU42" s="109"/>
      <c r="FV42" s="33"/>
      <c r="FW42" s="33"/>
      <c r="FX42" s="33"/>
      <c r="FY42" s="33"/>
      <c r="FZ42" s="33"/>
      <c r="GA42" s="1"/>
      <c r="GB42" s="1"/>
      <c r="GC42" s="33"/>
      <c r="GD42" s="33"/>
      <c r="GE42" s="33"/>
      <c r="GF42" s="33"/>
      <c r="GG42" s="33"/>
      <c r="GH42" s="33"/>
      <c r="GI42" s="33"/>
      <c r="GJ42" s="33"/>
      <c r="GK42" s="33"/>
      <c r="GL42" s="33"/>
      <c r="GM42" s="33"/>
      <c r="GN42" s="33"/>
      <c r="GO42" s="33"/>
      <c r="GP42" s="33"/>
      <c r="GQ42" s="33"/>
      <c r="GR42" s="33"/>
      <c r="GS42" s="33"/>
      <c r="GT42" s="33"/>
      <c r="GU42" s="33"/>
      <c r="GV42" s="109"/>
      <c r="GW42" s="109"/>
      <c r="GX42" s="33"/>
      <c r="GY42" s="33"/>
      <c r="GZ42" s="33"/>
      <c r="HA42" s="33"/>
      <c r="HB42" s="33"/>
      <c r="HC42" s="1"/>
      <c r="HD42" s="1"/>
      <c r="HE42" s="33"/>
      <c r="HF42" s="33"/>
      <c r="HG42" s="33"/>
      <c r="HH42" s="33"/>
      <c r="HI42" s="33"/>
      <c r="HJ42" s="33"/>
      <c r="HK42" s="33"/>
      <c r="HL42" s="109"/>
      <c r="HM42" s="109"/>
      <c r="HN42" s="109"/>
      <c r="HO42" s="109"/>
      <c r="HP42" s="109"/>
      <c r="HQ42" s="1"/>
      <c r="HR42" s="1"/>
      <c r="HS42" s="109"/>
      <c r="HT42" s="109"/>
      <c r="HU42" s="109"/>
      <c r="HV42" s="109"/>
      <c r="HW42" s="109"/>
      <c r="HX42" s="109"/>
      <c r="HY42" s="109"/>
      <c r="HZ42" s="33"/>
      <c r="IA42" s="33"/>
      <c r="IB42" s="33"/>
      <c r="IC42" s="33"/>
      <c r="ID42" s="33"/>
      <c r="IE42" s="1"/>
      <c r="IF42" s="1"/>
      <c r="IG42" s="33"/>
      <c r="IH42" s="33"/>
      <c r="II42" s="33"/>
      <c r="IJ42" s="33"/>
      <c r="IK42" s="33"/>
      <c r="IL42" s="33"/>
      <c r="IM42" s="33"/>
      <c r="IN42" s="33"/>
      <c r="IO42" s="33"/>
      <c r="IP42" s="33"/>
      <c r="IQ42" s="33"/>
      <c r="IR42" s="33"/>
      <c r="IS42" s="33"/>
      <c r="IT42" s="33"/>
      <c r="IU42" s="33"/>
      <c r="IV42" s="33"/>
      <c r="IW42" s="33"/>
      <c r="IX42" s="33"/>
      <c r="IY42" s="33"/>
      <c r="IZ42" s="109"/>
      <c r="JA42" s="109"/>
      <c r="JB42" s="33"/>
      <c r="JC42" s="33"/>
      <c r="JD42" s="33"/>
      <c r="JE42" s="33"/>
      <c r="JF42" s="33"/>
      <c r="JG42" s="1"/>
      <c r="JH42" s="1"/>
      <c r="JI42" s="33"/>
      <c r="JJ42" s="33"/>
      <c r="JK42" s="33"/>
      <c r="JL42" s="33"/>
      <c r="JM42" s="33"/>
      <c r="JN42" s="33"/>
      <c r="JO42" s="33"/>
      <c r="JP42" s="33"/>
      <c r="JQ42" s="33"/>
      <c r="JR42" s="33"/>
      <c r="JS42" s="33"/>
      <c r="JT42" s="33"/>
      <c r="JU42" s="33"/>
      <c r="JV42" s="33"/>
      <c r="JW42" s="33"/>
      <c r="JX42" s="33"/>
      <c r="JY42" s="33"/>
      <c r="JZ42" s="33"/>
      <c r="KA42" s="33"/>
      <c r="KB42" s="109"/>
      <c r="KC42" s="109"/>
      <c r="KD42" s="33"/>
      <c r="KE42" s="33"/>
      <c r="KF42" s="33"/>
      <c r="KG42" s="33"/>
      <c r="KH42" s="33"/>
      <c r="KI42" s="1"/>
      <c r="KJ42" s="1"/>
      <c r="KK42" s="33"/>
      <c r="KL42" s="33"/>
      <c r="KM42" s="33"/>
      <c r="KN42" s="33"/>
      <c r="KO42" s="33"/>
      <c r="KP42" s="33"/>
      <c r="KQ42" s="33"/>
      <c r="KR42" s="33"/>
      <c r="KS42" s="33"/>
      <c r="KT42" s="33"/>
      <c r="KU42" s="33"/>
      <c r="KV42" s="33"/>
      <c r="KW42" s="33"/>
      <c r="KX42" s="33"/>
      <c r="KY42" s="33"/>
      <c r="KZ42" s="33"/>
      <c r="LA42" s="33"/>
      <c r="LB42" s="33"/>
      <c r="LC42" s="33"/>
      <c r="LD42" s="109"/>
      <c r="LE42" s="109"/>
      <c r="LF42" s="33"/>
      <c r="LG42" s="33"/>
      <c r="LH42" s="33"/>
      <c r="LI42" s="33"/>
      <c r="LJ42" s="33"/>
      <c r="LK42" s="1"/>
      <c r="LL42" s="1"/>
      <c r="LM42" s="33"/>
      <c r="LN42" s="33"/>
      <c r="LO42" s="33"/>
      <c r="LP42" s="33"/>
      <c r="LQ42" s="33"/>
      <c r="LR42" s="33"/>
      <c r="LS42" s="33"/>
      <c r="LT42" s="33"/>
      <c r="LU42" s="33"/>
      <c r="LV42" s="33"/>
      <c r="LW42" s="33"/>
      <c r="LX42" s="33"/>
      <c r="LY42" s="1"/>
      <c r="LZ42" s="1"/>
      <c r="MA42" s="33"/>
      <c r="MB42" s="33"/>
      <c r="MC42" s="33"/>
      <c r="MD42" s="33"/>
      <c r="ME42" s="33"/>
      <c r="MF42" s="109"/>
      <c r="MG42" s="109"/>
      <c r="MH42" s="33"/>
      <c r="MI42" s="33"/>
      <c r="MJ42" s="33"/>
      <c r="MK42" s="33"/>
      <c r="ML42" s="33"/>
      <c r="MM42" s="1"/>
      <c r="MN42" s="1"/>
      <c r="MO42" s="33"/>
      <c r="MP42" s="33"/>
      <c r="MQ42" s="33"/>
      <c r="MR42" s="33"/>
      <c r="MS42" s="33"/>
      <c r="MT42" s="33"/>
      <c r="MU42" s="33"/>
      <c r="MV42" s="33"/>
      <c r="MW42" s="33"/>
      <c r="MX42" s="33"/>
      <c r="MY42" s="33"/>
      <c r="MZ42" s="33"/>
      <c r="NA42" s="33"/>
      <c r="NB42" s="33"/>
      <c r="NC42" s="33"/>
      <c r="ND42" s="33"/>
      <c r="NE42" s="33"/>
      <c r="NF42" s="33"/>
      <c r="NG42" s="33"/>
      <c r="NH42" s="109"/>
      <c r="NI42" s="109"/>
      <c r="NJ42" s="33"/>
      <c r="NK42" s="33"/>
      <c r="NL42" s="33"/>
      <c r="NM42" s="33"/>
      <c r="NN42" s="33"/>
      <c r="NO42" s="1"/>
      <c r="NP42" s="1"/>
      <c r="NQ42" s="33"/>
      <c r="NR42" s="33"/>
      <c r="NS42" s="33"/>
      <c r="NT42" s="33"/>
      <c r="NU42" s="33"/>
      <c r="NV42" s="33"/>
      <c r="NW42" s="33"/>
      <c r="NX42" s="33"/>
      <c r="NY42" s="33"/>
      <c r="NZ42" s="33"/>
      <c r="OA42" s="145"/>
      <c r="OB42" s="149"/>
    </row>
    <row r="43" spans="1:449" ht="12.75" customHeight="1">
      <c r="A43" s="184" t="s">
        <v>323</v>
      </c>
      <c r="B43" s="73"/>
      <c r="C43" s="73"/>
      <c r="D43" s="73"/>
      <c r="E43" s="73"/>
      <c r="F43" s="73"/>
      <c r="G43" s="73"/>
      <c r="H43" s="73"/>
      <c r="I43" s="73"/>
      <c r="J43" s="33"/>
      <c r="K43" s="1"/>
      <c r="L43" s="1"/>
      <c r="M43" s="1"/>
      <c r="N43" s="1"/>
      <c r="O43" s="1"/>
      <c r="P43" s="109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99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33"/>
      <c r="BB43" s="1"/>
      <c r="BC43" s="1"/>
      <c r="BD43" s="1"/>
      <c r="BE43" s="1"/>
      <c r="BF43" s="1"/>
      <c r="BG43" s="99"/>
      <c r="BH43" s="1"/>
      <c r="BI43" s="1"/>
      <c r="BJ43" s="1"/>
      <c r="BK43" s="33"/>
      <c r="BL43" s="99"/>
      <c r="BM43" s="1"/>
      <c r="BN43" s="1"/>
      <c r="BO43" s="1"/>
      <c r="BP43" s="1"/>
      <c r="BQ43" s="1"/>
      <c r="BS43" s="63"/>
      <c r="BT43" s="1"/>
      <c r="BU43" s="1"/>
      <c r="BV43" s="1"/>
      <c r="BW43" s="1"/>
      <c r="BX43" s="1"/>
      <c r="BY43" s="1"/>
      <c r="BZ43" s="1"/>
      <c r="CA43" s="1"/>
      <c r="CB43" s="63"/>
      <c r="CC43" s="1"/>
      <c r="CD43" s="1"/>
      <c r="CE43" s="1"/>
      <c r="CF43" s="1"/>
      <c r="CG43" s="1"/>
      <c r="CH43" s="1"/>
      <c r="CI43" s="1"/>
      <c r="CJ43" s="1"/>
      <c r="CK43" s="33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99"/>
      <c r="CZ43" s="1"/>
      <c r="DA43" s="1"/>
      <c r="DB43" s="73"/>
      <c r="DC43" s="1"/>
      <c r="DD43" s="1"/>
      <c r="DE43" s="1"/>
      <c r="DF43" s="1"/>
      <c r="DG43" s="1"/>
      <c r="DH43" s="1"/>
      <c r="DI43" s="1"/>
      <c r="DJ43" s="1"/>
      <c r="DK43" s="33"/>
      <c r="DL43" s="73"/>
      <c r="DM43" s="33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44">
        <f>IF(OR(DY20="o",DY20="mx",DY21="o",DY21="mx"),1,0)</f>
        <v>1</v>
      </c>
      <c r="DZ43" s="144">
        <f>IF(OR(DZ20="o",DZ20="mx",DZ21="o",DZ21="mx"),1,0)</f>
        <v>1</v>
      </c>
      <c r="EA43" s="144">
        <f>IF(OR(EA20="o",EA20="mx",EA21="o",EA21="mx"),1,0)</f>
        <v>1</v>
      </c>
      <c r="EB43" s="144">
        <f>IF(OR(EB20="o",EB20="mx",EB21="o",EB21="mx"),1,0)</f>
        <v>1</v>
      </c>
      <c r="EC43" s="144">
        <f>IF(OR(EC20="o",EC20="mx",EC21="o",EC21="mx"),1,0)</f>
        <v>0</v>
      </c>
      <c r="ED43" s="144"/>
      <c r="EE43" s="144"/>
      <c r="EF43" s="144">
        <f>IF(OR(EF20="o",EF20="mx",EF21="o",EF21="mx"),1,0)</f>
        <v>0</v>
      </c>
      <c r="EG43" s="144">
        <f>IF(OR(EG20="o",EG20="mx",EG21="o",EG21="mx"),1,0)</f>
        <v>0</v>
      </c>
      <c r="EH43" s="144">
        <f>IF(OR(EH20="o",EH20="mx",EH21="o",EH21="mx"),1,0)</f>
        <v>1</v>
      </c>
      <c r="EI43" s="144">
        <f>IF(OR(EI20="o",EI20="mx",EI21="o",EI21="mx"),1,0)</f>
        <v>1</v>
      </c>
      <c r="EJ43" s="144">
        <f>IF(OR(EJ20="o",EJ20="mx",EJ21="o",EJ21="mx"),1,0)</f>
        <v>1</v>
      </c>
      <c r="EK43" s="144"/>
      <c r="EL43" s="144"/>
      <c r="EM43" s="144">
        <f>IF(OR(EM20="o",EM20="mx",EM21="o",EM21="mx"),1,0)</f>
        <v>0</v>
      </c>
      <c r="EN43" s="144">
        <f>IF(OR(EN20="o",EN20="mx",EN21="o",EN21="mx"),1,0)</f>
        <v>0</v>
      </c>
      <c r="EO43" s="144">
        <f>IF(OR(EO20="o",EO20="mx",EO21="o",EO21="mx"),1,0)</f>
        <v>0</v>
      </c>
      <c r="EP43" s="144">
        <f>IF(OR(EP20="o",EP20="mx",EP21="o",EP21="mx"),1,0)</f>
        <v>0</v>
      </c>
      <c r="EQ43" s="144">
        <f>IF(OR(EQ20="o",EQ20="mx",EQ21="o",EQ21="mx"),1,0)</f>
        <v>1</v>
      </c>
      <c r="ER43" s="144"/>
      <c r="ES43" s="144"/>
      <c r="ET43" s="144">
        <f>IF(OR(ET20="o",ET20="mx",ET21="o",ET21="mx"),1,0)</f>
        <v>0</v>
      </c>
      <c r="EU43" s="144">
        <f>IF(OR(EU20="o",EU20="mx",EU21="o",EU21="mx"),1,0)</f>
        <v>0</v>
      </c>
      <c r="EV43" s="144">
        <f>IF(OR(EV20="o",EV20="mx",EV21="o",EV21="mx"),1,0)</f>
        <v>0</v>
      </c>
      <c r="EW43" s="144">
        <f>IF(OR(EW20="o",EW20="mx",EW21="o",EW21="mx"),1,0)</f>
        <v>0</v>
      </c>
      <c r="EX43" s="144">
        <f>IF(OR(EX20="o",EX20="mx",EX21="o",EX21="mx"),1,0)</f>
        <v>0</v>
      </c>
      <c r="EY43" s="144"/>
      <c r="EZ43" s="144"/>
      <c r="FA43" s="144">
        <f>IF(OR(FA20="o",FA20="mx",FA21="o",FA21="mx"),1,0)</f>
        <v>1</v>
      </c>
      <c r="FB43" s="144">
        <f>IF(OR(FB20="o",FB20="mx",FB21="o",FB21="mx"),1,0)</f>
        <v>0</v>
      </c>
      <c r="FC43" s="144">
        <f>IF(OR(FC20="o",FC20="mx",FC21="o",FC21="mx"),1,0)</f>
        <v>1</v>
      </c>
      <c r="FD43" s="144">
        <f>IF(OR(FD20="o",FD20="mx",FD21="o",FD21="mx"),1,0)</f>
        <v>0</v>
      </c>
      <c r="FE43" s="144">
        <f>IF(OR(FE20="o",FE20="mx",FE21="o",FE21="mx"),1,0)</f>
        <v>0</v>
      </c>
      <c r="FF43" s="144"/>
      <c r="FG43" s="144"/>
      <c r="FH43" s="144">
        <f>IF(OR(FH20="o",FH20="mx",FH21="o",FH21="mx"),1,0)</f>
        <v>1</v>
      </c>
      <c r="FI43" s="144">
        <f>IF(OR(FI20="o",FI20="mx",FI21="o",FI21="mx"),1,0)</f>
        <v>1</v>
      </c>
      <c r="FJ43" s="144">
        <f>IF(OR(FJ20="o",FJ20="mx",FJ21="o",FJ21="mx"),1,0)</f>
        <v>1</v>
      </c>
      <c r="FK43" s="144">
        <f>IF(OR(FK20="o",FK20="mx",FK21="o",FK21="mx"),1,0)</f>
        <v>0</v>
      </c>
      <c r="FL43" s="144">
        <f>IF(OR(FL20="o",FL20="mx",FL21="o",FL21="mx"),1,0)</f>
        <v>0</v>
      </c>
      <c r="FM43" s="144"/>
      <c r="FN43" s="144"/>
      <c r="FO43" s="144">
        <f>IF(OR(FO20="o",FO20="mx",FO21="o",FO21="mx"),1,0)</f>
        <v>0</v>
      </c>
      <c r="FP43" s="144">
        <f>IF(OR(FP20="o",FP20="mx",FP21="o",FP21="mx"),1,0)</f>
        <v>0</v>
      </c>
      <c r="FQ43" s="144">
        <f>IF(OR(FQ20="o",FQ20="mx",FQ21="o",FQ21="mx"),1,0)</f>
        <v>1</v>
      </c>
      <c r="FR43" s="144">
        <f>IF(OR(FR20="o",FR20="mx",FR21="o",FR21="mx"),1,0)</f>
        <v>1</v>
      </c>
      <c r="FS43" s="144">
        <f>IF(OR(FS20="o",FS20="mx",FS21="o",FS21="mx"),1,0)</f>
        <v>1</v>
      </c>
      <c r="FT43" s="144"/>
      <c r="FU43" s="144"/>
      <c r="FV43" s="144">
        <f>IF(OR(FV20="o",FV20="mx",FV21="o",FV21="mx"),1,0)</f>
        <v>0</v>
      </c>
      <c r="FW43" s="144">
        <f>IF(OR(FW20="o",FW20="mx",FW21="o",FW21="mx"),1,0)</f>
        <v>0</v>
      </c>
      <c r="FX43" s="144">
        <f>IF(OR(FX20="o",FX20="mx",FX21="o",FX21="mx"),1,0)</f>
        <v>0</v>
      </c>
      <c r="FY43" s="144">
        <f>IF(OR(FY20="o",FY20="mx",FY21="o",FY21="mx"),1,0)</f>
        <v>0</v>
      </c>
      <c r="FZ43" s="144">
        <f>IF(OR(FZ20="o",FZ20="mx",FZ21="o",FZ21="mx"),1,0)</f>
        <v>1</v>
      </c>
      <c r="GA43" s="144"/>
      <c r="GB43" s="144"/>
      <c r="GC43" s="144">
        <f>IF(OR(GC20="o",GC20="mx",GC21="o",GC21="mx"),1,0)</f>
        <v>1</v>
      </c>
      <c r="GD43" s="144">
        <f>IF(OR(GD20="o",GD20="mx",GD21="o",GD21="mx"),1,0)</f>
        <v>0</v>
      </c>
      <c r="GE43" s="144">
        <f>IF(OR(GE20="o",GE20="mx",GE21="o",GE21="mx"),1,0)</f>
        <v>0</v>
      </c>
      <c r="GF43" s="144">
        <f>IF(OR(GF20="o",GF20="mx",GF21="o",GF21="mx"),1,0)</f>
        <v>0</v>
      </c>
      <c r="GG43" s="144">
        <f>IF(OR(GG20="o",GG20="mx",GG21="o",GG21="mx"),1,0)</f>
        <v>0</v>
      </c>
      <c r="GH43" s="144"/>
      <c r="GI43" s="144"/>
      <c r="GJ43" s="144">
        <f>IF(OR(GJ20="o",GJ20="mx",GJ21="o",GJ21="mx"),1,0)</f>
        <v>1</v>
      </c>
      <c r="GK43" s="144">
        <f>IF(OR(GK20="o",GK20="mx",GK21="o",GK21="mx"),1,0)</f>
        <v>1</v>
      </c>
      <c r="GL43" s="144">
        <f>IF(OR(GL20="o",GL20="mx",GL21="o",GL21="mx"),1,0)</f>
        <v>1</v>
      </c>
      <c r="GM43" s="144">
        <f>IF(OR(GM20="o",GM20="mx",GM21="o",GM21="mx"),1,0)</f>
        <v>0</v>
      </c>
      <c r="GN43" s="144">
        <f>IF(OR(GN20="o",GN20="mx",GN21="o",GN21="mx"),1,0)</f>
        <v>0</v>
      </c>
      <c r="GO43" s="144"/>
      <c r="GP43" s="144"/>
      <c r="GQ43" s="144">
        <f>IF(OR(GQ20="o",GQ20="mx",GQ21="o",GQ21="mx"),1,0)</f>
        <v>1</v>
      </c>
      <c r="GR43" s="144">
        <f>IF(OR(GR20="o",GR20="mx",GR21="o",GR21="mx"),1,0)</f>
        <v>1</v>
      </c>
      <c r="GS43" s="144">
        <f>IF(OR(GS20="o",GS20="mx",GS21="o",GS21="mx"),1,0)</f>
        <v>1</v>
      </c>
      <c r="GT43" s="144">
        <f>IF(OR(GT20="o",GT20="mx",GT21="o",GT21="mx"),1,0)</f>
        <v>1</v>
      </c>
      <c r="GU43" s="144">
        <f>IF(OR(GU20="o",GU20="mx",GU21="o",GU21="mx"),1,0)</f>
        <v>0</v>
      </c>
      <c r="GV43" s="144"/>
      <c r="GW43" s="144"/>
      <c r="GX43" s="144">
        <f>IF(OR(GX20="o",GX20="mx",GX21="o",GX21="mx"),1,0)</f>
        <v>0</v>
      </c>
      <c r="GY43" s="144">
        <f>IF(OR(GY20="o",GY20="mx",GY21="o",GY21="mx"),1,0)</f>
        <v>0</v>
      </c>
      <c r="GZ43" s="144">
        <f>IF(OR(GZ20="o",GZ20="mx",GZ21="o",GZ21="mx"),1,0)</f>
        <v>0</v>
      </c>
      <c r="HA43" s="144">
        <f>IF(OR(HA20="o",HA20="mx",HA21="o",HA21="mx"),1,0)</f>
        <v>1</v>
      </c>
      <c r="HB43" s="144">
        <f>IF(OR(HB20="o",HB20="mx",HB21="o",HB21="mx"),1,0)</f>
        <v>0</v>
      </c>
      <c r="HC43" s="144"/>
      <c r="HD43" s="144"/>
      <c r="HE43" s="144">
        <f>IF(OR(HE20="o",HE20="mx",HE21="o",HE21="mx"),1,0)</f>
        <v>0</v>
      </c>
      <c r="HF43" s="144">
        <f>IF(OR(HF20="o",HF20="mx",HF21="o",HF21="mx"),1,0)</f>
        <v>0</v>
      </c>
      <c r="HG43" s="144">
        <f>IF(OR(HG20="o",HG20="mx",HG21="o",HG21="mx"),1,0)</f>
        <v>0</v>
      </c>
      <c r="HH43" s="144">
        <f>IF(OR(HH20="o",HH20="mx",HH21="o",HH21="mx"),1,0)</f>
        <v>0</v>
      </c>
      <c r="HI43" s="144">
        <f>IF(OR(HI20="o",HI20="mx",HI21="o",HI21="mx"),1,0)</f>
        <v>1</v>
      </c>
      <c r="HJ43" s="144"/>
      <c r="HK43" s="144"/>
      <c r="HL43" s="144">
        <f>IF(OR(HL20="o",HL20="mx",HL21="o",HL21="mx"),1,0)</f>
        <v>0</v>
      </c>
      <c r="HM43" s="144">
        <f>IF(OR(HM20="o",HM20="mx",HM21="o",HM21="mx"),1,0)</f>
        <v>0</v>
      </c>
      <c r="HN43" s="144">
        <f>IF(OR(HN20="o",HN20="mx",HN21="o",HN21="mx"),1,0)</f>
        <v>0</v>
      </c>
      <c r="HO43" s="144">
        <f>IF(OR(HO20="o",HO20="mx",HO21="o",HO21="mx"),1,0)</f>
        <v>0</v>
      </c>
      <c r="HP43" s="144">
        <f>IF(OR(HP20="o",HP20="mx",HP21="o",HP21="mx"),1,0)</f>
        <v>0</v>
      </c>
      <c r="HQ43" s="144"/>
      <c r="HR43" s="144"/>
      <c r="HS43" s="144">
        <f>IF(OR(HS20="o",HS20="mx",HS21="o",HS21="mx"),1,0)</f>
        <v>0</v>
      </c>
      <c r="HT43" s="144">
        <f>IF(OR(HT20="o",HT20="mx",HT21="o",HT21="mx"),1,0)</f>
        <v>0</v>
      </c>
      <c r="HU43" s="144">
        <f>IF(OR(HU20="o",HU20="mx",HU21="o",HU21="mx"),1,0)</f>
        <v>0</v>
      </c>
      <c r="HV43" s="144">
        <f>IF(OR(HV20="o",HV20="mx",HV21="o",HV21="mx"),1,0)</f>
        <v>0</v>
      </c>
      <c r="HW43" s="144">
        <f>IF(OR(HW20="o",HW20="mx",HW21="o",HW21="mx"),1,0)</f>
        <v>0</v>
      </c>
      <c r="HX43" s="144"/>
      <c r="HY43" s="144"/>
      <c r="HZ43" s="144">
        <f>IF(OR(HZ20="o",HZ20="mx",HZ21="o",HZ21="mx"),1,0)</f>
        <v>0</v>
      </c>
      <c r="IA43" s="144">
        <f>IF(OR(IA20="o",IA20="mx",IA21="o",IA21="mx"),1,0)</f>
        <v>0</v>
      </c>
      <c r="IB43" s="144">
        <f>IF(OR(IB20="o",IB20="mx",IB21="o",IB21="mx"),1,0)</f>
        <v>0</v>
      </c>
      <c r="IC43" s="144">
        <f>IF(OR(IC20="o",IC20="mx",IC21="o",IC21="mx"),1,0)</f>
        <v>0</v>
      </c>
      <c r="ID43" s="144">
        <f>IF(OR(ID20="o",ID20="mx",ID21="o",ID21="mx"),1,0)</f>
        <v>0</v>
      </c>
      <c r="IE43" s="144"/>
      <c r="IF43" s="144"/>
      <c r="IG43" s="144">
        <f>IF(OR(IG20="o",IG20="mx",IG21="o",IG21="mx"),1,0)</f>
        <v>0</v>
      </c>
      <c r="IH43" s="144">
        <f>IF(OR(IH20="o",IH20="mx",IH21="o",IH21="mx"),1,0)</f>
        <v>0</v>
      </c>
      <c r="II43" s="144">
        <f>IF(OR(II20="o",II20="mx",II21="o",II21="mx"),1,0)</f>
        <v>0</v>
      </c>
      <c r="IJ43" s="144">
        <f>IF(OR(IJ20="o",IJ20="mx",IJ21="o",IJ21="mx"),1,0)</f>
        <v>0</v>
      </c>
      <c r="IK43" s="144">
        <f>IF(OR(IK20="o",IK20="mx",IK21="o",IK21="mx"),1,0)</f>
        <v>0</v>
      </c>
      <c r="IL43" s="144"/>
      <c r="IM43" s="144"/>
      <c r="IN43" s="144">
        <f>IF(OR(IN20="o",IN20="mx",IN21="o",IN21="mx"),1,0)</f>
        <v>0</v>
      </c>
      <c r="IO43" s="144">
        <f>IF(OR(IO20="o",IO20="mx",IO21="o",IO21="mx"),1,0)</f>
        <v>0</v>
      </c>
      <c r="IP43" s="144">
        <f>IF(OR(IP20="o",IP20="mx",IP21="o",IP21="mx"),1,0)</f>
        <v>0</v>
      </c>
      <c r="IQ43" s="144">
        <f>IF(OR(IQ20="o",IQ20="mx",IQ21="o",IQ21="mx"),1,0)</f>
        <v>0</v>
      </c>
      <c r="IR43" s="144">
        <f>IF(OR(IR20="o",IR20="mx",IR21="o",IR21="mx"),1,0)</f>
        <v>1</v>
      </c>
      <c r="IS43" s="144"/>
      <c r="IT43" s="144"/>
      <c r="IU43" s="144">
        <f>IF(OR(IU20="o",IU20="mx",IU21="o",IU21="mx"),1,0)</f>
        <v>0</v>
      </c>
      <c r="IV43" s="144">
        <f>IF(OR(IV20="o",IV20="mx",IV21="o",IV21="mx"),1,0)</f>
        <v>0</v>
      </c>
      <c r="IW43" s="144">
        <f>IF(OR(IW20="o",IW20="mx",IW21="o",IW21="mx"),1,0)</f>
        <v>0</v>
      </c>
      <c r="IX43" s="144">
        <f>IF(OR(IX20="o",IX20="mx",IX21="o",IX21="mx"),1,0)</f>
        <v>0</v>
      </c>
      <c r="IY43" s="144">
        <f>IF(OR(IY20="o",IY20="mx",IY21="o",IY21="mx"),1,0)</f>
        <v>0</v>
      </c>
      <c r="IZ43" s="144"/>
      <c r="JA43" s="144"/>
      <c r="JB43" s="144">
        <f>IF(OR(JB20="o",JB20="mx",JB21="o",JB21="mx"),1,0)</f>
        <v>1</v>
      </c>
      <c r="JC43" s="144">
        <f>IF(OR(JC20="o",JC20="mx",JC21="o",JC21="mx"),1,0)</f>
        <v>1</v>
      </c>
      <c r="JD43" s="144">
        <f>IF(OR(JD20="o",JD20="mx",JD21="o",JD21="mx"),1,0)</f>
        <v>1</v>
      </c>
      <c r="JE43" s="144">
        <f>IF(OR(JE20="o",JE20="mx",JE21="o",JE21="mx"),1,0)</f>
        <v>0</v>
      </c>
      <c r="JF43" s="144">
        <f>IF(OR(JF20="o",JF20="mx",JF21="o",JF21="mx"),1,0)</f>
        <v>0</v>
      </c>
      <c r="JG43" s="144"/>
      <c r="JH43" s="144"/>
      <c r="JI43" s="144">
        <f>IF(OR(JI20="o",JI20="mx",JI21="o",JI21="mx"),1,0)</f>
        <v>1</v>
      </c>
      <c r="JJ43" s="144">
        <f>IF(OR(JJ20="o",JJ20="mx",JJ21="o",JJ21="mx"),1,0)</f>
        <v>1</v>
      </c>
      <c r="JK43" s="144">
        <f>IF(OR(JK20="o",JK20="mx",JK21="o",JK21="mx"),1,0)</f>
        <v>1</v>
      </c>
      <c r="JL43" s="144">
        <f>IF(OR(JL20="o",JL20="mx",JL21="o",JL21="mx"),1,0)</f>
        <v>1</v>
      </c>
      <c r="JM43" s="144">
        <f>IF(OR(JM20="o",JM20="mx",JM21="o",JM21="mx"),1,0)</f>
        <v>1</v>
      </c>
      <c r="JN43" s="144"/>
      <c r="JO43" s="144"/>
      <c r="JP43" s="144">
        <f>IF(OR(JP20="o",JP20="mx",JP21="o",JP21="mx"),1,0)</f>
        <v>0</v>
      </c>
      <c r="JQ43" s="144">
        <f>IF(OR(JQ20="o",JQ20="mx",JQ21="o",JQ21="mx"),1,0)</f>
        <v>0</v>
      </c>
      <c r="JR43" s="144">
        <f>IF(OR(JR20="o",JR20="mx",JR21="o",JR21="mx"),1,0)</f>
        <v>1</v>
      </c>
      <c r="JS43" s="144">
        <f>IF(OR(JS20="o",JS20="mx",JS21="o",JS21="mx"),1,0)</f>
        <v>1</v>
      </c>
      <c r="JT43" s="144">
        <f>IF(OR(JT20="o",JT20="mx",JT21="o",JT21="mx"),1,0)</f>
        <v>1</v>
      </c>
      <c r="JU43" s="144"/>
      <c r="JV43" s="144"/>
      <c r="JW43" s="144">
        <f>IF(OR(JW20="o",JW20="mx",JW21="o",JW21="mx"),1,0)</f>
        <v>0</v>
      </c>
      <c r="JX43" s="144">
        <f>IF(OR(JX20="o",JX20="mx",JX21="o",JX21="mx"),1,0)</f>
        <v>0</v>
      </c>
      <c r="JY43" s="144">
        <f>IF(OR(JY20="o",JY20="mx",JY21="o",JY21="mx"),1,0)</f>
        <v>0</v>
      </c>
      <c r="JZ43" s="144">
        <f>IF(OR(JZ20="o",JZ20="mx",JZ21="o",JZ21="mx"),1,0)</f>
        <v>0</v>
      </c>
      <c r="KA43" s="144">
        <f>IF(OR(KA20="o",KA20="mx",KA21="o",KA21="mx"),1,0)</f>
        <v>1</v>
      </c>
      <c r="KB43" s="144"/>
      <c r="KC43" s="144"/>
      <c r="KD43" s="144">
        <f>IF(OR(KD20="o",KD20="mx",KD21="o",KD21="mx"),1,0)</f>
        <v>1</v>
      </c>
      <c r="KE43" s="144">
        <f>IF(OR(KE20="o",KE20="mx",KE21="o",KE21="mx"),1,0)</f>
        <v>0</v>
      </c>
      <c r="KF43" s="144">
        <f>IF(OR(KF20="o",KF20="mx",KF21="o",KF21="mx"),1,0)</f>
        <v>0</v>
      </c>
      <c r="KG43" s="144">
        <f>IF(OR(KG20="o",KG20="mx",KG21="o",KG21="mx"),1,0)</f>
        <v>0</v>
      </c>
      <c r="KH43" s="144">
        <f>IF(OR(KH20="o",KH20="mx",KH21="o",KH21="mx"),1,0)</f>
        <v>0</v>
      </c>
      <c r="KI43" s="144"/>
      <c r="KJ43" s="144"/>
      <c r="KK43" s="144">
        <f>IF(OR(KK20="o",KK20="mx",KK21="o",KK21="mx"),1,0)</f>
        <v>1</v>
      </c>
      <c r="KL43" s="144">
        <f>IF(OR(KL20="o",KL20="mx",KL21="o",KL21="mx"),1,0)</f>
        <v>1</v>
      </c>
      <c r="KM43" s="144">
        <f>IF(OR(KM20="o",KM20="mx",KM21="o",KM21="mx"),1,0)</f>
        <v>1</v>
      </c>
      <c r="KN43" s="144">
        <f>IF(OR(KN20="o",KN20="mx",KN21="o",KN21="mx"),1,0)</f>
        <v>0</v>
      </c>
      <c r="KO43" s="144">
        <f>IF(OR(KO20="o",KO20="mx",KO21="o",KO21="mx"),1,0)</f>
        <v>0</v>
      </c>
      <c r="KP43" s="144"/>
      <c r="KQ43" s="144"/>
      <c r="KR43" s="144">
        <f>IF(OR(KR20="o",KR20="mx",KR21="o",KR21="mx"),1,0)</f>
        <v>1</v>
      </c>
      <c r="KS43" s="144">
        <f>IF(OR(KS20="o",KS20="mx",KS21="o",KS21="mx"),1,0)</f>
        <v>1</v>
      </c>
      <c r="KT43" s="144">
        <f>IF(OR(KT20="o",KT20="mx",KT21="o",KT21="mx"),1,0)</f>
        <v>1</v>
      </c>
      <c r="KU43" s="144">
        <f>IF(OR(KU20="o",KU20="mx",KU21="o",KU21="mx"),1,0)</f>
        <v>1</v>
      </c>
      <c r="KV43" s="144">
        <f>IF(OR(KV20="o",KV20="mx",KV21="o",KV21="mx"),1,0)</f>
        <v>1</v>
      </c>
      <c r="KW43" s="144"/>
      <c r="KX43" s="144"/>
      <c r="KY43" s="144">
        <f>IF(OR(KY20="o",KY20="mx",KY21="o",KY21="mx"),1,0)</f>
        <v>0</v>
      </c>
      <c r="KZ43" s="144">
        <f>IF(OR(KZ20="o",KZ20="mx",KZ21="o",KZ21="mx"),1,0)</f>
        <v>0</v>
      </c>
      <c r="LA43" s="144">
        <f>IF(OR(LA20="o",LA20="mx",LA21="o",LA21="mx"),1,0)</f>
        <v>1</v>
      </c>
      <c r="LB43" s="144">
        <f>IF(OR(LB20="o",LB20="mx",LB21="o",LB21="mx"),1,0)</f>
        <v>1</v>
      </c>
      <c r="LC43" s="144">
        <f>IF(OR(LC20="o",LC20="mx",LC21="o",LC21="mx"),1,0)</f>
        <v>1</v>
      </c>
      <c r="LD43" s="144"/>
      <c r="LE43" s="144"/>
      <c r="LF43" s="144">
        <f>IF(OR(LF20="o",LF20="mx",LF21="o",LF21="mx"),1,0)</f>
        <v>0</v>
      </c>
      <c r="LG43" s="144">
        <f>IF(OR(LG20="o",LG20="mx",LG21="o",LG21="mx"),1,0)</f>
        <v>0</v>
      </c>
      <c r="LH43" s="144">
        <f>IF(OR(LH20="o",LH20="mx",LH21="o",LH21="mx"),1,0)</f>
        <v>0</v>
      </c>
      <c r="LI43" s="144">
        <f>IF(OR(LI20="o",LI20="mx",LI21="o",LI21="mx"),1,0)</f>
        <v>0</v>
      </c>
      <c r="LJ43" s="144">
        <f>IF(OR(LJ20="o",LJ20="mx",LJ21="o",LJ21="mx"),1,0)</f>
        <v>1</v>
      </c>
      <c r="LK43" s="144"/>
      <c r="LL43" s="144"/>
      <c r="LM43" s="144">
        <f>IF(OR(LM20="o",LM20="mx",LM21="o",LM21="mx"),1,0)</f>
        <v>1</v>
      </c>
      <c r="LN43" s="144">
        <f>IF(OR(LN20="o",LN20="mx",LN21="o",LN21="mx"),1,0)</f>
        <v>0</v>
      </c>
      <c r="LO43" s="144">
        <f>IF(OR(LO20="o",LO20="mx",LO21="o",LO21="mx"),1,0)</f>
        <v>0</v>
      </c>
      <c r="LP43" s="144">
        <f>IF(OR(LP20="o",LP20="mx",LP21="o",LP21="mx"),1,0)</f>
        <v>0</v>
      </c>
      <c r="LQ43" s="144">
        <f>IF(OR(LQ20="o",LQ20="mx",LQ21="o",LQ21="mx"),1,0)</f>
        <v>0</v>
      </c>
      <c r="LR43" s="144"/>
      <c r="LS43" s="144"/>
      <c r="LT43" s="144">
        <f>IF(OR(LT20="o",LT20="mx",LT21="o",LT21="mx"),1,0)</f>
        <v>1</v>
      </c>
      <c r="LU43" s="144">
        <f>IF(OR(LU20="o",LU20="mx",LU21="o",LU21="mx"),1,0)</f>
        <v>1</v>
      </c>
      <c r="LV43" s="144">
        <f>IF(OR(LV20="o",LV20="mx",LV21="o",LV21="mx"),1,0)</f>
        <v>1</v>
      </c>
      <c r="LW43" s="144">
        <f>IF(OR(LW20="o",LW20="mx",LW21="o",LW21="mx"),1,0)</f>
        <v>0</v>
      </c>
      <c r="LX43" s="144">
        <f>IF(OR(LX20="o",LX20="mx",LX21="o",LX21="mx"),1,0)</f>
        <v>0</v>
      </c>
      <c r="LY43" s="144"/>
      <c r="LZ43" s="144"/>
      <c r="MA43" s="144">
        <f>IF(OR(MA20="o",MA20="mx",MA21="o",MA21="mx"),1,0)</f>
        <v>1</v>
      </c>
      <c r="MB43" s="144">
        <f>IF(OR(MB20="o",MB20="mx",MB21="o",MB21="mx"),1,0)</f>
        <v>1</v>
      </c>
      <c r="MC43" s="144">
        <f>IF(OR(MC20="o",MC20="mx",MC21="o",MC21="mx"),1,0)</f>
        <v>1</v>
      </c>
      <c r="MD43" s="144">
        <f>IF(OR(MD20="o",MD20="mx",MD21="o",MD21="mx"),1,0)</f>
        <v>1</v>
      </c>
      <c r="ME43" s="144">
        <f>IF(OR(ME20="o",ME20="mx",ME21="o",ME21="mx"),1,0)</f>
        <v>1</v>
      </c>
      <c r="MF43" s="144"/>
      <c r="MG43" s="144"/>
      <c r="MH43" s="144">
        <f>IF(OR(MH20="o",MH20="mx",MH21="o",MH21="mx"),1,0)</f>
        <v>0</v>
      </c>
      <c r="MI43" s="144">
        <f>IF(OR(MI20="o",MI20="mx",MI21="o",MI21="mx"),1,0)</f>
        <v>0</v>
      </c>
      <c r="MJ43" s="144">
        <f>IF(OR(MJ20="o",MJ20="mx",MJ21="o",MJ21="mx"),1,0)</f>
        <v>1</v>
      </c>
      <c r="MK43" s="144">
        <f>IF(OR(MK20="o",MK20="mx",MK21="o",MK21="mx"),1,0)</f>
        <v>1</v>
      </c>
      <c r="ML43" s="144">
        <f>IF(OR(ML20="o",ML20="mx",ML21="o",ML21="mx"),1,0)</f>
        <v>1</v>
      </c>
      <c r="MM43" s="144"/>
      <c r="MN43" s="144"/>
      <c r="MO43" s="144">
        <f>IF(OR(MO20="o",MO20="mx",MO21="o",MO21="mx"),1,0)</f>
        <v>0</v>
      </c>
      <c r="MP43" s="144">
        <f>IF(OR(MP20="o",MP20="mx",MP21="o",MP21="mx"),1,0)</f>
        <v>0</v>
      </c>
      <c r="MQ43" s="144">
        <f>IF(OR(MQ20="o",MQ20="mx",MQ21="o",MQ21="mx"),1,0)</f>
        <v>0</v>
      </c>
      <c r="MR43" s="144">
        <f>IF(OR(MR20="o",MR20="mx",MR21="o",MR21="mx"),1,0)</f>
        <v>0</v>
      </c>
      <c r="MS43" s="144">
        <f>IF(OR(MS20="o",MS20="mx",MS21="o",MS21="mx"),1,0)</f>
        <v>1</v>
      </c>
      <c r="MT43" s="144"/>
      <c r="MU43" s="144"/>
      <c r="MV43" s="144">
        <f>IF(OR(MV20="o",MV20="mx",MV21="o",MV21="mx"),1,0)</f>
        <v>1</v>
      </c>
      <c r="MW43" s="144">
        <f>IF(OR(MW20="o",MW20="mx",MW21="o",MW21="mx"),1,0)</f>
        <v>0</v>
      </c>
      <c r="MX43" s="144">
        <f>IF(OR(MX20="o",MX20="mx",MX21="o",MX21="mx"),1,0)</f>
        <v>0</v>
      </c>
      <c r="MY43" s="144">
        <f>IF(OR(MY20="o",MY20="mx",MY21="o",MY21="mx"),1,0)</f>
        <v>0</v>
      </c>
      <c r="MZ43" s="144">
        <f>IF(OR(MZ20="o",MZ20="mx",MZ21="o",MZ21="mx"),1,0)</f>
        <v>0</v>
      </c>
      <c r="NA43" s="144"/>
      <c r="NB43" s="144"/>
      <c r="NC43" s="144">
        <f>IF(OR(NC20="o",NC20="mx",NC21="o",NC21="mx"),1,0)</f>
        <v>1</v>
      </c>
      <c r="ND43" s="144">
        <f>IF(OR(ND20="o",ND20="mx",ND21="o",ND21="mx"),1,0)</f>
        <v>1</v>
      </c>
      <c r="NE43" s="144">
        <f>IF(OR(NE20="o",NE20="mx",NE21="o",NE21="mx"),1,0)</f>
        <v>1</v>
      </c>
      <c r="NF43" s="144">
        <f>IF(OR(NF20="o",NF20="mx",NF21="o",NF21="mx"),1,0)</f>
        <v>0</v>
      </c>
      <c r="NG43" s="144">
        <f>IF(OR(NG20="o",NG20="mx",NG21="o",NG21="mx"),1,0)</f>
        <v>0</v>
      </c>
      <c r="NH43" s="144"/>
      <c r="NI43" s="144"/>
      <c r="NJ43" s="144">
        <f>IF(OR(NJ20="o",NJ20="mx",NJ21="o",NJ21="mx"),1,0)</f>
        <v>1</v>
      </c>
      <c r="NK43" s="144">
        <f>IF(OR(NK20="o",NK20="mx",NK21="o",NK21="mx"),1,0)</f>
        <v>1</v>
      </c>
      <c r="NL43" s="144">
        <f>IF(OR(NL20="o",NL20="mx",NL21="o",NL21="mx"),1,0)</f>
        <v>1</v>
      </c>
      <c r="NM43" s="144">
        <f>IF(OR(NM20="o",NM20="mx",NM21="o",NM21="mx"),1,0)</f>
        <v>1</v>
      </c>
      <c r="NN43" s="144">
        <f>IF(OR(NN20="o",NN20="mx",NN21="o",NN21="mx"),1,0)</f>
        <v>0</v>
      </c>
      <c r="NO43" s="144"/>
      <c r="NP43" s="144"/>
      <c r="NQ43" s="73"/>
      <c r="NR43" s="73"/>
      <c r="NS43" s="73"/>
      <c r="NT43" s="73"/>
      <c r="NU43" s="73"/>
      <c r="NV43" s="73"/>
      <c r="NW43" s="73"/>
      <c r="NX43" s="73"/>
      <c r="NY43" s="73"/>
      <c r="NZ43" s="74"/>
      <c r="OA43" s="146"/>
      <c r="OB43" s="148"/>
      <c r="OK43" s="155"/>
    </row>
    <row r="44" spans="1:449">
      <c r="A44" s="63"/>
      <c r="B44" s="63"/>
      <c r="C44" s="33"/>
      <c r="D44" s="33"/>
      <c r="E44" s="33"/>
      <c r="F44" s="33"/>
      <c r="G44" s="33"/>
      <c r="H44" s="109"/>
      <c r="I44" s="109"/>
      <c r="J44" s="33"/>
      <c r="K44" s="33"/>
      <c r="L44" s="33"/>
      <c r="M44" s="33"/>
      <c r="N44" s="33"/>
      <c r="O44" s="1"/>
      <c r="P44" s="1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109"/>
      <c r="AK44" s="109"/>
      <c r="AL44" s="33"/>
      <c r="AM44" s="33"/>
      <c r="AN44" s="33"/>
      <c r="AO44" s="33"/>
      <c r="AP44" s="33"/>
      <c r="AQ44" s="1"/>
      <c r="AR44" s="1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109"/>
      <c r="BM44" s="109"/>
      <c r="BN44" s="33"/>
      <c r="BO44" s="33"/>
      <c r="BP44" s="33"/>
      <c r="BQ44" s="33"/>
      <c r="BR44" s="33"/>
      <c r="BS44" s="1"/>
      <c r="BT44" s="1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109"/>
      <c r="CO44" s="109"/>
      <c r="CP44" s="33"/>
      <c r="CQ44" s="33"/>
      <c r="CR44" s="33"/>
      <c r="CS44" s="33"/>
      <c r="CT44" s="33"/>
      <c r="CU44" s="1"/>
      <c r="CV44" s="1"/>
      <c r="CW44" s="33"/>
      <c r="CX44" s="33"/>
      <c r="CY44" s="33"/>
      <c r="CZ44" s="33"/>
      <c r="DA44" s="33"/>
      <c r="DB44" s="33"/>
      <c r="DC44" s="33"/>
      <c r="DD44" s="99"/>
      <c r="DE44" s="33"/>
      <c r="DF44" s="33"/>
      <c r="DG44" s="33"/>
      <c r="DH44" s="33"/>
      <c r="DI44" s="33"/>
      <c r="DJ44" s="33"/>
      <c r="DK44" s="33"/>
      <c r="DL44" s="33"/>
      <c r="DM44" s="33"/>
      <c r="DN44" s="33"/>
      <c r="DO44" s="33"/>
      <c r="DP44" s="109"/>
      <c r="DQ44" s="109"/>
      <c r="DR44" s="33"/>
      <c r="DS44" s="33"/>
      <c r="DT44" s="33"/>
      <c r="DU44" s="33"/>
      <c r="DV44" s="33"/>
      <c r="DW44" s="1"/>
      <c r="DX44" s="1"/>
      <c r="DY44" s="33"/>
      <c r="DZ44" s="33"/>
      <c r="EA44" s="33"/>
      <c r="EB44" s="33"/>
      <c r="EC44" s="33"/>
      <c r="ED44" s="33"/>
      <c r="EE44" s="33"/>
      <c r="EF44" s="33"/>
      <c r="EG44" s="33"/>
      <c r="EH44" s="33"/>
      <c r="EI44" s="33"/>
      <c r="EJ44" s="33"/>
      <c r="EK44" s="33"/>
      <c r="EL44" s="33"/>
      <c r="EM44" s="33"/>
      <c r="EN44" s="33"/>
      <c r="EO44" s="33"/>
      <c r="EP44" s="33"/>
      <c r="EQ44" s="33"/>
      <c r="ER44" s="109"/>
      <c r="ES44" s="109"/>
      <c r="ET44" s="33"/>
      <c r="EU44" s="33"/>
      <c r="EV44" s="33"/>
      <c r="EW44" s="33"/>
      <c r="EX44" s="33"/>
      <c r="EY44" s="1"/>
      <c r="EZ44" s="1"/>
      <c r="FA44" s="33"/>
      <c r="FB44" s="33"/>
      <c r="FC44" s="33"/>
      <c r="FD44" s="33"/>
      <c r="FE44" s="33"/>
      <c r="FF44" s="33"/>
      <c r="FG44" s="33"/>
      <c r="FH44" s="33"/>
      <c r="FI44" s="33"/>
      <c r="FJ44" s="33"/>
      <c r="FK44" s="33"/>
      <c r="FL44" s="33"/>
      <c r="FM44" s="33"/>
      <c r="FN44" s="33"/>
      <c r="FO44" s="33"/>
      <c r="FP44" s="33"/>
      <c r="FQ44" s="33"/>
      <c r="FR44" s="33"/>
      <c r="FS44" s="33"/>
      <c r="FT44" s="109"/>
      <c r="FU44" s="109"/>
      <c r="FV44" s="33"/>
      <c r="FW44" s="33"/>
      <c r="FX44" s="33"/>
      <c r="FY44" s="33"/>
      <c r="FZ44" s="33"/>
      <c r="GA44" s="1"/>
      <c r="GB44" s="1"/>
      <c r="GC44" s="33"/>
      <c r="GD44" s="33"/>
      <c r="GE44" s="33"/>
      <c r="GF44" s="33"/>
      <c r="GG44" s="33"/>
      <c r="GH44" s="33"/>
      <c r="GI44" s="33"/>
      <c r="GJ44" s="33"/>
      <c r="GK44" s="33"/>
      <c r="GL44" s="33"/>
      <c r="GM44" s="33"/>
      <c r="GN44" s="33"/>
      <c r="GO44" s="33"/>
      <c r="GP44" s="33"/>
      <c r="GQ44" s="33"/>
      <c r="GR44" s="33"/>
      <c r="GS44" s="33"/>
      <c r="GT44" s="33"/>
      <c r="GU44" s="33"/>
      <c r="GV44" s="109"/>
      <c r="GW44" s="109"/>
      <c r="GX44" s="33"/>
      <c r="GY44" s="33"/>
      <c r="GZ44" s="33"/>
      <c r="HA44" s="33"/>
      <c r="HB44" s="33"/>
      <c r="HC44" s="1"/>
      <c r="HD44" s="1"/>
      <c r="HE44" s="33"/>
      <c r="HF44" s="33"/>
      <c r="HG44" s="33"/>
      <c r="HH44" s="33"/>
      <c r="HI44" s="33"/>
      <c r="HJ44" s="33"/>
      <c r="HK44" s="33"/>
      <c r="HL44" s="109"/>
      <c r="HM44" s="109"/>
      <c r="HN44" s="109"/>
      <c r="HO44" s="109"/>
      <c r="HP44" s="109"/>
      <c r="HQ44" s="1"/>
      <c r="HR44" s="1"/>
      <c r="HS44" s="109"/>
      <c r="HT44" s="109"/>
      <c r="HU44" s="109"/>
      <c r="HV44" s="109"/>
      <c r="HW44" s="109"/>
      <c r="HX44" s="109"/>
      <c r="HY44" s="109"/>
      <c r="HZ44" s="33"/>
      <c r="IA44" s="33"/>
      <c r="IB44" s="33"/>
      <c r="IC44" s="33"/>
      <c r="ID44" s="33"/>
      <c r="IE44" s="1"/>
      <c r="IF44" s="1"/>
      <c r="IG44" s="33"/>
      <c r="IH44" s="33"/>
      <c r="II44" s="33"/>
      <c r="IJ44" s="33"/>
      <c r="IK44" s="33"/>
      <c r="IL44" s="33"/>
      <c r="IM44" s="33"/>
      <c r="IN44" s="33"/>
      <c r="IO44" s="33"/>
      <c r="IP44" s="33"/>
      <c r="IQ44" s="33"/>
      <c r="IR44" s="33"/>
      <c r="IS44" s="33"/>
      <c r="IT44" s="33"/>
      <c r="IU44" s="33"/>
      <c r="IV44" s="33"/>
      <c r="IW44" s="33"/>
      <c r="IX44" s="33"/>
      <c r="IY44" s="33"/>
      <c r="IZ44" s="109"/>
      <c r="JA44" s="109"/>
      <c r="JB44" s="33"/>
      <c r="JC44" s="33"/>
      <c r="JD44" s="33"/>
      <c r="JE44" s="33"/>
      <c r="JF44" s="33"/>
      <c r="JG44" s="1"/>
      <c r="JH44" s="1"/>
      <c r="JI44" s="33"/>
      <c r="JJ44" s="33"/>
      <c r="JK44" s="33"/>
      <c r="JL44" s="33"/>
      <c r="JM44" s="33"/>
      <c r="JN44" s="33"/>
      <c r="JO44" s="33"/>
      <c r="JP44" s="33"/>
      <c r="JQ44" s="33"/>
      <c r="JR44" s="33"/>
      <c r="JS44" s="33"/>
      <c r="JT44" s="33"/>
      <c r="JU44" s="33"/>
      <c r="JV44" s="33"/>
      <c r="JW44" s="33"/>
      <c r="JX44" s="33"/>
      <c r="JY44" s="33"/>
      <c r="JZ44" s="33"/>
      <c r="KA44" s="33"/>
      <c r="KB44" s="109"/>
      <c r="KC44" s="109"/>
      <c r="KD44" s="33"/>
      <c r="KE44" s="33"/>
      <c r="KF44" s="33"/>
      <c r="KG44" s="33"/>
      <c r="KH44" s="33"/>
      <c r="KI44" s="1"/>
      <c r="KJ44" s="1"/>
      <c r="KK44" s="33"/>
      <c r="KL44" s="33"/>
      <c r="KM44" s="33"/>
      <c r="KN44" s="33"/>
      <c r="KO44" s="33"/>
      <c r="KP44" s="33"/>
      <c r="KQ44" s="33"/>
      <c r="KR44" s="33"/>
      <c r="KS44" s="33"/>
      <c r="KT44" s="33"/>
      <c r="KU44" s="33"/>
      <c r="KV44" s="33"/>
      <c r="KW44" s="33"/>
      <c r="KX44" s="33"/>
      <c r="KY44" s="33"/>
      <c r="KZ44" s="33"/>
      <c r="LA44" s="33"/>
      <c r="LB44" s="33"/>
      <c r="LC44" s="33"/>
      <c r="LD44" s="109"/>
      <c r="LE44" s="109"/>
      <c r="LF44" s="33"/>
      <c r="LG44" s="33"/>
      <c r="LH44" s="33"/>
      <c r="LI44" s="33"/>
      <c r="LJ44" s="33"/>
      <c r="LK44" s="1"/>
      <c r="LL44" s="1"/>
      <c r="LM44" s="33"/>
      <c r="LN44" s="33"/>
      <c r="LO44" s="33"/>
      <c r="LP44" s="33"/>
      <c r="LQ44" s="33"/>
      <c r="LR44" s="33"/>
      <c r="LS44" s="33"/>
      <c r="LT44" s="33"/>
      <c r="LU44" s="33"/>
      <c r="LV44" s="33"/>
      <c r="LW44" s="33"/>
      <c r="LX44" s="33"/>
      <c r="LY44" s="1"/>
      <c r="LZ44" s="1"/>
      <c r="MA44" s="33"/>
      <c r="MB44" s="33"/>
      <c r="MC44" s="33"/>
      <c r="MD44" s="33"/>
      <c r="ME44" s="33"/>
      <c r="MF44" s="109"/>
      <c r="MG44" s="109"/>
      <c r="MH44" s="33"/>
      <c r="MI44" s="33"/>
      <c r="MJ44" s="33"/>
      <c r="MK44" s="33"/>
      <c r="ML44" s="33"/>
      <c r="MM44" s="1"/>
      <c r="MN44" s="1"/>
      <c r="MO44" s="33"/>
      <c r="MP44" s="33"/>
      <c r="MQ44" s="33"/>
      <c r="MR44" s="33"/>
      <c r="MS44" s="33"/>
      <c r="MT44" s="33"/>
      <c r="MU44" s="33"/>
      <c r="MV44" s="33"/>
      <c r="MW44" s="33"/>
      <c r="MX44" s="33"/>
      <c r="MY44" s="33"/>
      <c r="MZ44" s="33"/>
      <c r="NA44" s="33"/>
      <c r="NB44" s="33"/>
      <c r="NC44" s="33"/>
      <c r="ND44" s="33"/>
      <c r="NE44" s="33"/>
      <c r="NF44" s="33"/>
      <c r="NG44" s="33"/>
      <c r="NH44" s="109"/>
      <c r="NI44" s="109"/>
      <c r="NJ44" s="33"/>
      <c r="NK44" s="33"/>
      <c r="NL44" s="33"/>
      <c r="NM44" s="33"/>
      <c r="NN44" s="33"/>
      <c r="NO44" s="1"/>
      <c r="NP44" s="1"/>
      <c r="NQ44" s="33"/>
      <c r="NR44" s="33"/>
      <c r="NS44" s="33"/>
      <c r="NT44" s="33"/>
      <c r="NU44" s="33"/>
      <c r="NV44" s="33"/>
      <c r="NW44" s="33"/>
      <c r="NX44" s="33"/>
      <c r="NY44" s="33"/>
      <c r="NZ44" s="33"/>
      <c r="OA44" s="145"/>
      <c r="OB44" s="149"/>
    </row>
    <row r="45" spans="1:449" s="1" customFormat="1">
      <c r="A45" s="98" t="s">
        <v>0</v>
      </c>
      <c r="B45" s="99" t="s">
        <v>1</v>
      </c>
      <c r="C45" s="1">
        <f>COUNTIF(C$8:C$39,"o")</f>
        <v>1</v>
      </c>
      <c r="D45" s="1">
        <f t="shared" ref="D45:BO45" si="8">COUNTIF(D$8:D$39,"o")</f>
        <v>1</v>
      </c>
      <c r="E45" s="1">
        <f t="shared" si="8"/>
        <v>1</v>
      </c>
      <c r="F45" s="1">
        <f t="shared" si="8"/>
        <v>2</v>
      </c>
      <c r="G45" s="1">
        <f t="shared" si="8"/>
        <v>2</v>
      </c>
      <c r="H45" s="1">
        <f t="shared" si="8"/>
        <v>2</v>
      </c>
      <c r="I45" s="1">
        <f t="shared" si="8"/>
        <v>1</v>
      </c>
      <c r="J45" s="1">
        <f t="shared" si="8"/>
        <v>2</v>
      </c>
      <c r="K45" s="1">
        <f t="shared" si="8"/>
        <v>1</v>
      </c>
      <c r="L45" s="1">
        <f t="shared" si="8"/>
        <v>1</v>
      </c>
      <c r="M45" s="1">
        <f t="shared" si="8"/>
        <v>1</v>
      </c>
      <c r="N45" s="1">
        <f t="shared" si="8"/>
        <v>1</v>
      </c>
      <c r="O45" s="1">
        <f t="shared" si="8"/>
        <v>1</v>
      </c>
      <c r="P45" s="1">
        <f t="shared" si="8"/>
        <v>1</v>
      </c>
      <c r="Q45" s="1">
        <f t="shared" si="8"/>
        <v>1</v>
      </c>
      <c r="R45" s="1">
        <f t="shared" si="8"/>
        <v>1</v>
      </c>
      <c r="S45" s="1">
        <f t="shared" si="8"/>
        <v>1</v>
      </c>
      <c r="T45" s="1">
        <f t="shared" si="8"/>
        <v>1</v>
      </c>
      <c r="U45" s="1">
        <f t="shared" si="8"/>
        <v>1</v>
      </c>
      <c r="V45" s="1">
        <f t="shared" si="8"/>
        <v>2</v>
      </c>
      <c r="W45" s="1">
        <f t="shared" si="8"/>
        <v>2</v>
      </c>
      <c r="X45" s="1">
        <f t="shared" si="8"/>
        <v>2</v>
      </c>
      <c r="Y45" s="1">
        <f t="shared" si="8"/>
        <v>2</v>
      </c>
      <c r="Z45" s="1">
        <f t="shared" si="8"/>
        <v>1</v>
      </c>
      <c r="AA45" s="1">
        <f t="shared" si="8"/>
        <v>2</v>
      </c>
      <c r="AB45" s="1">
        <f t="shared" si="8"/>
        <v>1</v>
      </c>
      <c r="AC45" s="1">
        <f t="shared" si="8"/>
        <v>1</v>
      </c>
      <c r="AD45" s="1">
        <f t="shared" si="8"/>
        <v>1</v>
      </c>
      <c r="AE45" s="1">
        <f t="shared" si="8"/>
        <v>2</v>
      </c>
      <c r="AF45" s="1">
        <f t="shared" si="8"/>
        <v>2</v>
      </c>
      <c r="AG45" s="1">
        <f t="shared" si="8"/>
        <v>2</v>
      </c>
      <c r="AH45" s="1">
        <f t="shared" si="8"/>
        <v>2</v>
      </c>
      <c r="AI45" s="1">
        <f t="shared" si="8"/>
        <v>1</v>
      </c>
      <c r="AJ45" s="1">
        <f t="shared" si="8"/>
        <v>1</v>
      </c>
      <c r="AK45" s="1">
        <f t="shared" si="8"/>
        <v>1</v>
      </c>
      <c r="AL45" s="1">
        <f t="shared" si="8"/>
        <v>1</v>
      </c>
      <c r="AM45" s="1">
        <f t="shared" si="8"/>
        <v>1</v>
      </c>
      <c r="AN45" s="1">
        <f t="shared" si="8"/>
        <v>1</v>
      </c>
      <c r="AO45" s="1">
        <f t="shared" si="8"/>
        <v>2</v>
      </c>
      <c r="AP45" s="1">
        <f t="shared" si="8"/>
        <v>1</v>
      </c>
      <c r="AQ45" s="1">
        <f t="shared" si="8"/>
        <v>1</v>
      </c>
      <c r="AR45" s="1">
        <f t="shared" si="8"/>
        <v>1</v>
      </c>
      <c r="AS45" s="1">
        <f t="shared" si="8"/>
        <v>1</v>
      </c>
      <c r="AT45" s="1">
        <f t="shared" si="8"/>
        <v>1</v>
      </c>
      <c r="AU45" s="1">
        <f t="shared" si="8"/>
        <v>1</v>
      </c>
      <c r="AV45" s="1">
        <f t="shared" si="8"/>
        <v>1</v>
      </c>
      <c r="AW45" s="1">
        <f t="shared" si="8"/>
        <v>1</v>
      </c>
      <c r="AX45" s="1">
        <f t="shared" si="8"/>
        <v>1</v>
      </c>
      <c r="AY45" s="1">
        <f t="shared" si="8"/>
        <v>1</v>
      </c>
      <c r="AZ45" s="1">
        <f t="shared" si="8"/>
        <v>1</v>
      </c>
      <c r="BA45" s="1">
        <f t="shared" si="8"/>
        <v>1</v>
      </c>
      <c r="BB45" s="1">
        <f t="shared" si="8"/>
        <v>1</v>
      </c>
      <c r="BC45" s="1">
        <f t="shared" si="8"/>
        <v>1</v>
      </c>
      <c r="BD45" s="1">
        <f t="shared" si="8"/>
        <v>1</v>
      </c>
      <c r="BE45" s="1">
        <f t="shared" si="8"/>
        <v>2</v>
      </c>
      <c r="BF45" s="1">
        <f t="shared" si="8"/>
        <v>1</v>
      </c>
      <c r="BG45" s="1">
        <f t="shared" si="8"/>
        <v>1</v>
      </c>
      <c r="BH45" s="1">
        <f>COUNTIF(BH$9:BH$39,"o")</f>
        <v>1</v>
      </c>
      <c r="BI45" s="1">
        <f>COUNTIF(BI$9:BI$39,"o")</f>
        <v>1</v>
      </c>
      <c r="BJ45" s="1">
        <f t="shared" si="8"/>
        <v>1</v>
      </c>
      <c r="BK45" s="1">
        <f t="shared" si="8"/>
        <v>1</v>
      </c>
      <c r="BL45" s="1">
        <f t="shared" si="8"/>
        <v>1</v>
      </c>
      <c r="BM45" s="1">
        <f t="shared" si="8"/>
        <v>1</v>
      </c>
      <c r="BN45" s="1">
        <f t="shared" si="8"/>
        <v>1</v>
      </c>
      <c r="BO45" s="1">
        <f t="shared" si="8"/>
        <v>2</v>
      </c>
      <c r="BP45" s="1">
        <f t="shared" ref="BP45:EA45" si="9">COUNTIF(BP$8:BP$39,"o")</f>
        <v>2</v>
      </c>
      <c r="BQ45" s="1">
        <f t="shared" si="9"/>
        <v>2</v>
      </c>
      <c r="BR45" s="1">
        <f t="shared" si="9"/>
        <v>1</v>
      </c>
      <c r="BS45" s="1">
        <f t="shared" si="9"/>
        <v>1</v>
      </c>
      <c r="BT45" s="1">
        <f t="shared" si="9"/>
        <v>1</v>
      </c>
      <c r="BU45" s="1">
        <f t="shared" si="9"/>
        <v>1</v>
      </c>
      <c r="BV45" s="1">
        <f t="shared" si="9"/>
        <v>1</v>
      </c>
      <c r="BW45" s="1">
        <f t="shared" si="9"/>
        <v>2</v>
      </c>
      <c r="BX45" s="1">
        <f t="shared" si="9"/>
        <v>1</v>
      </c>
      <c r="BY45" s="1">
        <f t="shared" si="9"/>
        <v>1</v>
      </c>
      <c r="BZ45" s="1">
        <f t="shared" si="9"/>
        <v>1</v>
      </c>
      <c r="CA45" s="1">
        <f t="shared" si="9"/>
        <v>1</v>
      </c>
      <c r="CB45" s="1">
        <f t="shared" si="9"/>
        <v>1</v>
      </c>
      <c r="CC45" s="1">
        <f t="shared" si="9"/>
        <v>1</v>
      </c>
      <c r="CD45" s="1">
        <f t="shared" si="9"/>
        <v>1</v>
      </c>
      <c r="CE45" s="1">
        <f t="shared" si="9"/>
        <v>1</v>
      </c>
      <c r="CF45" s="1">
        <f t="shared" si="9"/>
        <v>2</v>
      </c>
      <c r="CG45" s="1">
        <f t="shared" si="9"/>
        <v>1</v>
      </c>
      <c r="CH45" s="1">
        <f t="shared" si="9"/>
        <v>1</v>
      </c>
      <c r="CI45" s="1">
        <f t="shared" si="9"/>
        <v>1</v>
      </c>
      <c r="CJ45" s="1">
        <f t="shared" si="9"/>
        <v>1</v>
      </c>
      <c r="CK45" s="1">
        <f t="shared" si="9"/>
        <v>1</v>
      </c>
      <c r="CL45" s="1">
        <f t="shared" si="9"/>
        <v>1</v>
      </c>
      <c r="CM45" s="1">
        <f t="shared" si="9"/>
        <v>1</v>
      </c>
      <c r="CN45" s="1">
        <f t="shared" si="9"/>
        <v>1</v>
      </c>
      <c r="CO45" s="1">
        <f t="shared" si="9"/>
        <v>1</v>
      </c>
      <c r="CP45" s="1">
        <f t="shared" si="9"/>
        <v>2</v>
      </c>
      <c r="CQ45" s="1">
        <f t="shared" si="9"/>
        <v>2</v>
      </c>
      <c r="CR45" s="1">
        <f t="shared" si="9"/>
        <v>1</v>
      </c>
      <c r="CS45" s="1">
        <f t="shared" si="9"/>
        <v>1</v>
      </c>
      <c r="CT45" s="1">
        <f>COUNTIF(CT$8:CT$39,"o")</f>
        <v>1</v>
      </c>
      <c r="CU45" s="1">
        <f t="shared" si="9"/>
        <v>2</v>
      </c>
      <c r="CV45" s="1">
        <f t="shared" si="9"/>
        <v>1</v>
      </c>
      <c r="CW45" s="1">
        <f t="shared" si="9"/>
        <v>1</v>
      </c>
      <c r="CX45" s="1">
        <f t="shared" si="9"/>
        <v>2</v>
      </c>
      <c r="CY45" s="1">
        <f t="shared" si="9"/>
        <v>1</v>
      </c>
      <c r="CZ45" s="1">
        <f t="shared" si="9"/>
        <v>1</v>
      </c>
      <c r="DA45" s="1">
        <f t="shared" si="9"/>
        <v>1</v>
      </c>
      <c r="DB45" s="1">
        <f t="shared" si="9"/>
        <v>1</v>
      </c>
      <c r="DC45" s="1">
        <f t="shared" si="9"/>
        <v>1</v>
      </c>
      <c r="DD45" s="1">
        <f t="shared" si="9"/>
        <v>1</v>
      </c>
      <c r="DE45" s="1">
        <f t="shared" si="9"/>
        <v>1</v>
      </c>
      <c r="DF45" s="1">
        <f t="shared" si="9"/>
        <v>1</v>
      </c>
      <c r="DG45" s="1">
        <f t="shared" si="9"/>
        <v>1</v>
      </c>
      <c r="DH45" s="1">
        <f t="shared" si="9"/>
        <v>1</v>
      </c>
      <c r="DI45" s="1">
        <f t="shared" si="9"/>
        <v>1</v>
      </c>
      <c r="DJ45" s="1">
        <f t="shared" si="9"/>
        <v>1</v>
      </c>
      <c r="DK45" s="1">
        <f t="shared" si="9"/>
        <v>1</v>
      </c>
      <c r="DL45" s="1">
        <f t="shared" si="9"/>
        <v>1</v>
      </c>
      <c r="DM45" s="1">
        <f t="shared" si="9"/>
        <v>1</v>
      </c>
      <c r="DN45" s="1">
        <f t="shared" si="9"/>
        <v>1</v>
      </c>
      <c r="DO45" s="1">
        <f t="shared" si="9"/>
        <v>2</v>
      </c>
      <c r="DP45" s="1">
        <f t="shared" si="9"/>
        <v>1</v>
      </c>
      <c r="DQ45" s="1">
        <f t="shared" si="9"/>
        <v>1</v>
      </c>
      <c r="DR45" s="1">
        <f t="shared" si="9"/>
        <v>1</v>
      </c>
      <c r="DS45" s="1">
        <f t="shared" si="9"/>
        <v>1</v>
      </c>
      <c r="DT45" s="1">
        <f t="shared" si="9"/>
        <v>1</v>
      </c>
      <c r="DU45" s="1">
        <f t="shared" si="9"/>
        <v>1</v>
      </c>
      <c r="DV45" s="1">
        <f t="shared" si="9"/>
        <v>2</v>
      </c>
      <c r="DW45" s="1">
        <f t="shared" si="9"/>
        <v>1</v>
      </c>
      <c r="DX45" s="1">
        <f t="shared" si="9"/>
        <v>1</v>
      </c>
      <c r="DY45" s="1">
        <f t="shared" si="9"/>
        <v>1</v>
      </c>
      <c r="DZ45" s="1">
        <f t="shared" si="9"/>
        <v>2</v>
      </c>
      <c r="EA45" s="1">
        <f t="shared" si="9"/>
        <v>1</v>
      </c>
      <c r="EB45" s="1">
        <f t="shared" ref="EB45:GM45" si="10">COUNTIF(EB$8:EB$39,"o")</f>
        <v>1</v>
      </c>
      <c r="EC45" s="1">
        <f t="shared" si="10"/>
        <v>1</v>
      </c>
      <c r="ED45" s="1">
        <f t="shared" si="10"/>
        <v>2</v>
      </c>
      <c r="EE45" s="1">
        <f t="shared" si="10"/>
        <v>2</v>
      </c>
      <c r="EF45" s="1">
        <f t="shared" si="10"/>
        <v>2</v>
      </c>
      <c r="EG45" s="1">
        <f t="shared" si="10"/>
        <v>1</v>
      </c>
      <c r="EH45" s="1">
        <f>COUNTIF(EH$9:EH$39,"o")</f>
        <v>1</v>
      </c>
      <c r="EI45" s="1">
        <f t="shared" si="10"/>
        <v>1</v>
      </c>
      <c r="EJ45" s="1">
        <f>COUNTIF(EJ$7:EJ$39,"o")</f>
        <v>1</v>
      </c>
      <c r="EK45" s="1">
        <f t="shared" si="10"/>
        <v>1</v>
      </c>
      <c r="EL45" s="1">
        <f t="shared" si="10"/>
        <v>1</v>
      </c>
      <c r="EM45" s="1">
        <f t="shared" si="10"/>
        <v>2</v>
      </c>
      <c r="EN45" s="1">
        <f t="shared" si="10"/>
        <v>1</v>
      </c>
      <c r="EO45" s="1">
        <f t="shared" si="10"/>
        <v>1</v>
      </c>
      <c r="EP45" s="1">
        <f t="shared" si="10"/>
        <v>1</v>
      </c>
      <c r="EQ45" s="1">
        <f t="shared" si="10"/>
        <v>1</v>
      </c>
      <c r="ER45" s="1">
        <f t="shared" si="10"/>
        <v>1</v>
      </c>
      <c r="ES45" s="1">
        <f t="shared" si="10"/>
        <v>1</v>
      </c>
      <c r="ET45" s="1">
        <f t="shared" si="10"/>
        <v>1</v>
      </c>
      <c r="EU45" s="1">
        <f t="shared" si="10"/>
        <v>1</v>
      </c>
      <c r="EV45" s="1">
        <f t="shared" si="10"/>
        <v>1</v>
      </c>
      <c r="EW45" s="1">
        <f t="shared" si="10"/>
        <v>1</v>
      </c>
      <c r="EX45" s="1">
        <f t="shared" si="10"/>
        <v>2</v>
      </c>
      <c r="EY45" s="1">
        <f t="shared" si="10"/>
        <v>1</v>
      </c>
      <c r="EZ45" s="1">
        <f t="shared" si="10"/>
        <v>1</v>
      </c>
      <c r="FA45" s="1">
        <f t="shared" si="10"/>
        <v>1</v>
      </c>
      <c r="FB45" s="1">
        <f t="shared" si="10"/>
        <v>1</v>
      </c>
      <c r="FC45" s="1">
        <f t="shared" si="10"/>
        <v>2</v>
      </c>
      <c r="FD45" s="1">
        <f t="shared" si="10"/>
        <v>2</v>
      </c>
      <c r="FE45" s="1">
        <f t="shared" si="10"/>
        <v>1</v>
      </c>
      <c r="FF45" s="1">
        <f t="shared" si="10"/>
        <v>2</v>
      </c>
      <c r="FG45" s="1">
        <f t="shared" si="10"/>
        <v>1</v>
      </c>
      <c r="FH45" s="1">
        <f t="shared" si="10"/>
        <v>2</v>
      </c>
      <c r="FI45" s="1">
        <f t="shared" si="10"/>
        <v>2</v>
      </c>
      <c r="FJ45" s="1">
        <f t="shared" si="10"/>
        <v>1</v>
      </c>
      <c r="FK45" s="1">
        <f t="shared" si="10"/>
        <v>1</v>
      </c>
      <c r="FL45" s="1">
        <f t="shared" si="10"/>
        <v>2</v>
      </c>
      <c r="FM45" s="1">
        <f t="shared" si="10"/>
        <v>2</v>
      </c>
      <c r="FN45" s="1">
        <f t="shared" si="10"/>
        <v>2</v>
      </c>
      <c r="FO45" s="1">
        <f t="shared" si="10"/>
        <v>3</v>
      </c>
      <c r="FP45" s="1">
        <f t="shared" si="10"/>
        <v>2</v>
      </c>
      <c r="FQ45" s="1">
        <f t="shared" si="10"/>
        <v>2</v>
      </c>
      <c r="FR45" s="1">
        <f t="shared" si="10"/>
        <v>2</v>
      </c>
      <c r="FS45" s="1">
        <f t="shared" si="10"/>
        <v>1</v>
      </c>
      <c r="FT45" s="1">
        <f t="shared" si="10"/>
        <v>1</v>
      </c>
      <c r="FU45" s="1">
        <f t="shared" si="10"/>
        <v>1</v>
      </c>
      <c r="FV45" s="1">
        <f t="shared" si="10"/>
        <v>1</v>
      </c>
      <c r="FW45" s="1">
        <f t="shared" si="10"/>
        <v>1</v>
      </c>
      <c r="FX45" s="1">
        <f t="shared" si="10"/>
        <v>2</v>
      </c>
      <c r="FY45" s="1">
        <f t="shared" si="10"/>
        <v>2</v>
      </c>
      <c r="FZ45" s="1">
        <f t="shared" si="10"/>
        <v>1</v>
      </c>
      <c r="GA45" s="1">
        <f t="shared" si="10"/>
        <v>2</v>
      </c>
      <c r="GB45" s="1">
        <f t="shared" si="10"/>
        <v>1</v>
      </c>
      <c r="GC45" s="1">
        <f t="shared" si="10"/>
        <v>1</v>
      </c>
      <c r="GD45" s="1">
        <f t="shared" si="10"/>
        <v>1</v>
      </c>
      <c r="GE45" s="1">
        <f t="shared" si="10"/>
        <v>1</v>
      </c>
      <c r="GF45" s="1">
        <f t="shared" si="10"/>
        <v>1</v>
      </c>
      <c r="GG45" s="1">
        <f t="shared" si="10"/>
        <v>2</v>
      </c>
      <c r="GH45" s="1">
        <f t="shared" si="10"/>
        <v>1</v>
      </c>
      <c r="GI45" s="1">
        <f t="shared" si="10"/>
        <v>1</v>
      </c>
      <c r="GJ45" s="1">
        <f t="shared" si="10"/>
        <v>1</v>
      </c>
      <c r="GK45" s="1">
        <f t="shared" si="10"/>
        <v>1</v>
      </c>
      <c r="GL45" s="1">
        <f t="shared" si="10"/>
        <v>2</v>
      </c>
      <c r="GM45" s="1">
        <f t="shared" si="10"/>
        <v>2</v>
      </c>
      <c r="GN45" s="1">
        <f t="shared" ref="GN45:IY45" si="11">COUNTIF(GN$8:GN$39,"o")</f>
        <v>2</v>
      </c>
      <c r="GO45" s="1">
        <f t="shared" si="11"/>
        <v>2</v>
      </c>
      <c r="GP45" s="1">
        <f t="shared" si="11"/>
        <v>1</v>
      </c>
      <c r="GQ45" s="1">
        <f t="shared" si="11"/>
        <v>2</v>
      </c>
      <c r="GR45" s="1">
        <f t="shared" si="11"/>
        <v>2</v>
      </c>
      <c r="GS45" s="1">
        <f t="shared" si="11"/>
        <v>1</v>
      </c>
      <c r="GT45" s="1">
        <f t="shared" si="11"/>
        <v>1</v>
      </c>
      <c r="GU45" s="1">
        <f t="shared" si="11"/>
        <v>2</v>
      </c>
      <c r="GV45" s="1">
        <f t="shared" si="11"/>
        <v>1</v>
      </c>
      <c r="GW45" s="1">
        <f t="shared" si="11"/>
        <v>1</v>
      </c>
      <c r="GX45" s="1">
        <f t="shared" si="11"/>
        <v>1</v>
      </c>
      <c r="GY45" s="1">
        <f t="shared" si="11"/>
        <v>1</v>
      </c>
      <c r="GZ45" s="1">
        <f t="shared" si="11"/>
        <v>1</v>
      </c>
      <c r="HA45" s="1">
        <f t="shared" si="11"/>
        <v>1</v>
      </c>
      <c r="HB45" s="1">
        <f t="shared" si="11"/>
        <v>1</v>
      </c>
      <c r="HC45" s="1">
        <f t="shared" si="11"/>
        <v>1</v>
      </c>
      <c r="HD45" s="1">
        <f t="shared" si="11"/>
        <v>1</v>
      </c>
      <c r="HE45" s="1">
        <f t="shared" si="11"/>
        <v>2</v>
      </c>
      <c r="HF45" s="1">
        <f t="shared" si="11"/>
        <v>2</v>
      </c>
      <c r="HG45" s="1">
        <f t="shared" si="11"/>
        <v>2</v>
      </c>
      <c r="HH45" s="1">
        <f t="shared" si="11"/>
        <v>1</v>
      </c>
      <c r="HI45" s="1">
        <f t="shared" si="11"/>
        <v>1</v>
      </c>
      <c r="HJ45" s="1">
        <f t="shared" si="11"/>
        <v>1</v>
      </c>
      <c r="HK45" s="1">
        <f t="shared" si="11"/>
        <v>1</v>
      </c>
      <c r="HL45" s="1">
        <f t="shared" si="11"/>
        <v>1</v>
      </c>
      <c r="HM45" s="1">
        <f t="shared" si="11"/>
        <v>1</v>
      </c>
      <c r="HN45" s="1">
        <f t="shared" si="11"/>
        <v>1</v>
      </c>
      <c r="HO45" s="1">
        <f t="shared" si="11"/>
        <v>1</v>
      </c>
      <c r="HP45" s="1">
        <f t="shared" si="11"/>
        <v>1</v>
      </c>
      <c r="HQ45" s="1">
        <f t="shared" si="11"/>
        <v>1</v>
      </c>
      <c r="HR45" s="1">
        <f t="shared" si="11"/>
        <v>1</v>
      </c>
      <c r="HS45" s="1">
        <f t="shared" si="11"/>
        <v>1</v>
      </c>
      <c r="HT45" s="1">
        <f t="shared" si="11"/>
        <v>1</v>
      </c>
      <c r="HU45" s="1">
        <f t="shared" si="11"/>
        <v>1</v>
      </c>
      <c r="HV45" s="1">
        <f t="shared" si="11"/>
        <v>2</v>
      </c>
      <c r="HW45" s="1">
        <f t="shared" si="11"/>
        <v>1</v>
      </c>
      <c r="HX45" s="1">
        <f t="shared" si="11"/>
        <v>1</v>
      </c>
      <c r="HY45" s="1">
        <f t="shared" si="11"/>
        <v>1</v>
      </c>
      <c r="HZ45" s="109"/>
      <c r="IA45" s="109"/>
      <c r="IB45" s="109"/>
      <c r="IC45" s="109"/>
      <c r="ID45" s="109"/>
      <c r="IE45" s="1">
        <f t="shared" si="11"/>
        <v>1</v>
      </c>
      <c r="IF45" s="1">
        <f t="shared" si="11"/>
        <v>1</v>
      </c>
      <c r="IG45" s="1">
        <f t="shared" si="11"/>
        <v>1</v>
      </c>
      <c r="IH45" s="1">
        <f t="shared" si="11"/>
        <v>2</v>
      </c>
      <c r="II45" s="1">
        <f t="shared" si="11"/>
        <v>1</v>
      </c>
      <c r="IJ45" s="1">
        <f t="shared" si="11"/>
        <v>1</v>
      </c>
      <c r="IK45" s="1">
        <f t="shared" si="11"/>
        <v>1</v>
      </c>
      <c r="IL45" s="1">
        <f t="shared" si="11"/>
        <v>1</v>
      </c>
      <c r="IM45" s="1">
        <f t="shared" si="11"/>
        <v>1</v>
      </c>
      <c r="IN45" s="1">
        <f t="shared" si="11"/>
        <v>1</v>
      </c>
      <c r="IO45" s="1">
        <f t="shared" si="11"/>
        <v>1</v>
      </c>
      <c r="IP45" s="1">
        <f t="shared" si="11"/>
        <v>2</v>
      </c>
      <c r="IQ45" s="1">
        <f t="shared" si="11"/>
        <v>2</v>
      </c>
      <c r="IR45" s="1">
        <f t="shared" si="11"/>
        <v>2</v>
      </c>
      <c r="IS45" s="1">
        <f t="shared" si="11"/>
        <v>1</v>
      </c>
      <c r="IT45" s="1">
        <f t="shared" si="11"/>
        <v>1</v>
      </c>
      <c r="IU45" s="1">
        <f t="shared" si="11"/>
        <v>1</v>
      </c>
      <c r="IV45" s="1">
        <f t="shared" si="11"/>
        <v>1</v>
      </c>
      <c r="IW45" s="1">
        <f t="shared" si="11"/>
        <v>1</v>
      </c>
      <c r="IX45" s="1">
        <f t="shared" si="11"/>
        <v>1</v>
      </c>
      <c r="IY45" s="1">
        <f t="shared" si="11"/>
        <v>1</v>
      </c>
      <c r="IZ45" s="1">
        <f t="shared" ref="IZ45:LK45" si="12">COUNTIF(IZ$8:IZ$39,"o")</f>
        <v>1</v>
      </c>
      <c r="JA45" s="1">
        <f t="shared" si="12"/>
        <v>1</v>
      </c>
      <c r="JB45" s="1">
        <f t="shared" si="12"/>
        <v>1</v>
      </c>
      <c r="JC45" s="1">
        <f t="shared" si="12"/>
        <v>1</v>
      </c>
      <c r="JD45" s="1">
        <f t="shared" si="12"/>
        <v>2</v>
      </c>
      <c r="JE45" s="1">
        <f t="shared" si="12"/>
        <v>1</v>
      </c>
      <c r="JF45" s="1">
        <f t="shared" si="12"/>
        <v>1</v>
      </c>
      <c r="JG45" s="1">
        <f t="shared" si="12"/>
        <v>1</v>
      </c>
      <c r="JH45" s="1">
        <f t="shared" si="12"/>
        <v>1</v>
      </c>
      <c r="JI45" s="1">
        <f t="shared" si="12"/>
        <v>2</v>
      </c>
      <c r="JJ45" s="1">
        <f t="shared" si="12"/>
        <v>2</v>
      </c>
      <c r="JK45" s="1">
        <f t="shared" si="12"/>
        <v>1</v>
      </c>
      <c r="JL45" s="1">
        <f t="shared" si="12"/>
        <v>1</v>
      </c>
      <c r="JM45" s="1">
        <f t="shared" si="12"/>
        <v>2</v>
      </c>
      <c r="JN45" s="1">
        <f t="shared" si="12"/>
        <v>1</v>
      </c>
      <c r="JO45" s="1">
        <f t="shared" si="12"/>
        <v>1</v>
      </c>
      <c r="JP45" s="1">
        <f t="shared" si="12"/>
        <v>1</v>
      </c>
      <c r="JQ45" s="1">
        <f t="shared" si="12"/>
        <v>1</v>
      </c>
      <c r="JR45" s="1">
        <f t="shared" si="12"/>
        <v>1</v>
      </c>
      <c r="JS45" s="1">
        <f t="shared" si="12"/>
        <v>2</v>
      </c>
      <c r="JT45" s="1">
        <f t="shared" si="12"/>
        <v>1</v>
      </c>
      <c r="JU45" s="1">
        <f t="shared" si="12"/>
        <v>1</v>
      </c>
      <c r="JV45" s="1">
        <f t="shared" si="12"/>
        <v>1</v>
      </c>
      <c r="JW45" s="1">
        <f t="shared" si="12"/>
        <v>1</v>
      </c>
      <c r="JX45" s="1">
        <f t="shared" si="12"/>
        <v>1</v>
      </c>
      <c r="JY45" s="1">
        <f t="shared" si="12"/>
        <v>2</v>
      </c>
      <c r="JZ45" s="1">
        <f t="shared" si="12"/>
        <v>2</v>
      </c>
      <c r="KA45" s="1">
        <f t="shared" si="12"/>
        <v>2</v>
      </c>
      <c r="KB45" s="1">
        <f t="shared" si="12"/>
        <v>2</v>
      </c>
      <c r="KC45" s="1">
        <f t="shared" si="12"/>
        <v>1</v>
      </c>
      <c r="KD45" s="1">
        <f t="shared" si="12"/>
        <v>1</v>
      </c>
      <c r="KE45" s="1">
        <f t="shared" si="12"/>
        <v>1</v>
      </c>
      <c r="KF45" s="1">
        <f t="shared" si="12"/>
        <v>1</v>
      </c>
      <c r="KG45" s="1">
        <f t="shared" si="12"/>
        <v>1</v>
      </c>
      <c r="KH45" s="1">
        <f t="shared" si="12"/>
        <v>2</v>
      </c>
      <c r="KI45" s="1">
        <f t="shared" si="12"/>
        <v>1</v>
      </c>
      <c r="KJ45" s="1">
        <f t="shared" si="12"/>
        <v>1</v>
      </c>
      <c r="KK45" s="1">
        <f t="shared" si="12"/>
        <v>1</v>
      </c>
      <c r="KL45" s="1">
        <f t="shared" si="12"/>
        <v>1</v>
      </c>
      <c r="KM45" s="1">
        <f t="shared" si="12"/>
        <v>2</v>
      </c>
      <c r="KN45" s="1">
        <f t="shared" si="12"/>
        <v>2</v>
      </c>
      <c r="KO45" s="1">
        <f t="shared" si="12"/>
        <v>2</v>
      </c>
      <c r="KP45" s="1">
        <f t="shared" si="12"/>
        <v>2</v>
      </c>
      <c r="KQ45" s="1">
        <f t="shared" si="12"/>
        <v>1</v>
      </c>
      <c r="KR45" s="1">
        <f t="shared" si="12"/>
        <v>2</v>
      </c>
      <c r="KS45" s="1">
        <f t="shared" si="12"/>
        <v>2</v>
      </c>
      <c r="KT45" s="1">
        <f t="shared" si="12"/>
        <v>1</v>
      </c>
      <c r="KU45" s="1">
        <f t="shared" si="12"/>
        <v>1</v>
      </c>
      <c r="KV45" s="1">
        <f t="shared" si="12"/>
        <v>2</v>
      </c>
      <c r="KW45" s="1">
        <f t="shared" si="12"/>
        <v>2</v>
      </c>
      <c r="KX45" s="1">
        <f t="shared" si="12"/>
        <v>2</v>
      </c>
      <c r="KY45" s="1">
        <f t="shared" si="12"/>
        <v>2</v>
      </c>
      <c r="KZ45" s="1">
        <f t="shared" si="12"/>
        <v>2</v>
      </c>
      <c r="LA45" s="1">
        <f t="shared" si="12"/>
        <v>2</v>
      </c>
      <c r="LB45" s="1">
        <f t="shared" si="12"/>
        <v>2</v>
      </c>
      <c r="LC45" s="1">
        <f t="shared" si="12"/>
        <v>1</v>
      </c>
      <c r="LD45" s="1">
        <f t="shared" si="12"/>
        <v>1</v>
      </c>
      <c r="LE45" s="1">
        <f t="shared" si="12"/>
        <v>2</v>
      </c>
      <c r="LF45" s="1">
        <f t="shared" si="12"/>
        <v>2</v>
      </c>
      <c r="LG45" s="1">
        <f t="shared" si="12"/>
        <v>2</v>
      </c>
      <c r="LH45" s="1">
        <f t="shared" si="12"/>
        <v>2</v>
      </c>
      <c r="LI45" s="1">
        <f t="shared" si="12"/>
        <v>2</v>
      </c>
      <c r="LJ45" s="1">
        <f t="shared" si="12"/>
        <v>2</v>
      </c>
      <c r="LK45" s="1">
        <f t="shared" si="12"/>
        <v>2</v>
      </c>
      <c r="LL45" s="1">
        <f t="shared" ref="LL45:NP45" si="13">COUNTIF(LL$8:LL$39,"o")</f>
        <v>1</v>
      </c>
      <c r="LM45" s="1">
        <f t="shared" si="13"/>
        <v>1</v>
      </c>
      <c r="LN45" s="1">
        <f t="shared" si="13"/>
        <v>1</v>
      </c>
      <c r="LO45" s="1">
        <f t="shared" si="13"/>
        <v>1</v>
      </c>
      <c r="LP45" s="1">
        <f t="shared" si="13"/>
        <v>1</v>
      </c>
      <c r="LQ45" s="1">
        <f t="shared" si="13"/>
        <v>2</v>
      </c>
      <c r="LR45" s="1">
        <f t="shared" si="13"/>
        <v>1</v>
      </c>
      <c r="LS45" s="1">
        <f t="shared" si="13"/>
        <v>1</v>
      </c>
      <c r="LT45" s="1">
        <f t="shared" si="13"/>
        <v>1</v>
      </c>
      <c r="LU45" s="1">
        <f t="shared" si="13"/>
        <v>1</v>
      </c>
      <c r="LV45" s="1">
        <f t="shared" si="13"/>
        <v>2</v>
      </c>
      <c r="LW45" s="1">
        <f t="shared" si="13"/>
        <v>2</v>
      </c>
      <c r="LX45" s="1">
        <f t="shared" si="13"/>
        <v>2</v>
      </c>
      <c r="LY45" s="1">
        <f t="shared" si="13"/>
        <v>2</v>
      </c>
      <c r="LZ45" s="1">
        <f t="shared" si="13"/>
        <v>1</v>
      </c>
      <c r="MA45" s="1">
        <f t="shared" si="13"/>
        <v>2</v>
      </c>
      <c r="MB45" s="1">
        <f t="shared" si="13"/>
        <v>2</v>
      </c>
      <c r="MC45" s="1">
        <f t="shared" si="13"/>
        <v>1</v>
      </c>
      <c r="MD45" s="1">
        <f t="shared" si="13"/>
        <v>1</v>
      </c>
      <c r="ME45" s="1">
        <f t="shared" si="13"/>
        <v>2</v>
      </c>
      <c r="MF45" s="1">
        <f t="shared" si="13"/>
        <v>2</v>
      </c>
      <c r="MG45" s="1">
        <f t="shared" si="13"/>
        <v>2</v>
      </c>
      <c r="MH45" s="1">
        <f t="shared" si="13"/>
        <v>2</v>
      </c>
      <c r="MI45" s="1">
        <f t="shared" si="13"/>
        <v>2</v>
      </c>
      <c r="MJ45" s="1">
        <f t="shared" si="13"/>
        <v>2</v>
      </c>
      <c r="MK45" s="1">
        <f t="shared" si="13"/>
        <v>2</v>
      </c>
      <c r="ML45" s="1">
        <f t="shared" si="13"/>
        <v>1</v>
      </c>
      <c r="MM45" s="1">
        <f t="shared" si="13"/>
        <v>1</v>
      </c>
      <c r="MN45" s="1">
        <f t="shared" si="13"/>
        <v>2</v>
      </c>
      <c r="MO45" s="1">
        <f t="shared" si="13"/>
        <v>2</v>
      </c>
      <c r="MP45" s="1">
        <f t="shared" si="13"/>
        <v>2</v>
      </c>
      <c r="MQ45" s="1">
        <f t="shared" si="13"/>
        <v>2</v>
      </c>
      <c r="MR45" s="1">
        <f t="shared" si="13"/>
        <v>2</v>
      </c>
      <c r="MS45" s="1">
        <f t="shared" si="13"/>
        <v>2</v>
      </c>
      <c r="MT45" s="1">
        <f t="shared" si="13"/>
        <v>2</v>
      </c>
      <c r="MU45" s="1">
        <f t="shared" si="13"/>
        <v>1</v>
      </c>
      <c r="MV45" s="1">
        <f t="shared" si="13"/>
        <v>1</v>
      </c>
      <c r="MW45" s="1">
        <f t="shared" si="13"/>
        <v>1</v>
      </c>
      <c r="MX45" s="1">
        <f t="shared" si="13"/>
        <v>1</v>
      </c>
      <c r="MY45" s="1">
        <f t="shared" si="13"/>
        <v>1</v>
      </c>
      <c r="MZ45" s="1">
        <f t="shared" si="13"/>
        <v>2</v>
      </c>
      <c r="NA45" s="1">
        <f t="shared" si="13"/>
        <v>1</v>
      </c>
      <c r="NB45" s="1">
        <f t="shared" si="13"/>
        <v>1</v>
      </c>
      <c r="NC45" s="1">
        <f t="shared" si="13"/>
        <v>1</v>
      </c>
      <c r="ND45" s="1">
        <f t="shared" si="13"/>
        <v>1</v>
      </c>
      <c r="NE45" s="1">
        <f t="shared" si="13"/>
        <v>1</v>
      </c>
      <c r="NF45" s="1">
        <f t="shared" si="13"/>
        <v>1</v>
      </c>
      <c r="NG45" s="1">
        <f t="shared" si="13"/>
        <v>2</v>
      </c>
      <c r="NH45" s="1">
        <f t="shared" si="13"/>
        <v>1</v>
      </c>
      <c r="NI45" s="1">
        <f t="shared" si="13"/>
        <v>1</v>
      </c>
      <c r="NJ45" s="1">
        <f t="shared" si="13"/>
        <v>2</v>
      </c>
      <c r="NK45" s="1">
        <f t="shared" si="13"/>
        <v>1</v>
      </c>
      <c r="NL45" s="1">
        <f t="shared" si="13"/>
        <v>1</v>
      </c>
      <c r="NM45" s="1">
        <f t="shared" si="13"/>
        <v>1</v>
      </c>
      <c r="NN45" s="1">
        <f t="shared" si="13"/>
        <v>1</v>
      </c>
      <c r="NO45" s="1">
        <f t="shared" si="13"/>
        <v>1</v>
      </c>
      <c r="NP45" s="1">
        <f t="shared" si="13"/>
        <v>1</v>
      </c>
      <c r="OA45" s="146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 s="147"/>
    </row>
    <row r="46" spans="1:449" s="1" customFormat="1" ht="24.75" customHeight="1">
      <c r="A46" s="100" t="s">
        <v>281</v>
      </c>
      <c r="B46" s="112" t="s">
        <v>324</v>
      </c>
      <c r="C46" s="1">
        <f>COUNTIF(C$8:C$39,"mx")</f>
        <v>0</v>
      </c>
      <c r="D46" s="1">
        <f t="shared" ref="D46:BO46" si="14">COUNTIF(D$8:D$39,"mx")</f>
        <v>0</v>
      </c>
      <c r="E46" s="1">
        <f t="shared" si="14"/>
        <v>0</v>
      </c>
      <c r="F46" s="1">
        <f t="shared" si="14"/>
        <v>0</v>
      </c>
      <c r="G46" s="1">
        <f t="shared" si="14"/>
        <v>0</v>
      </c>
      <c r="H46" s="1">
        <f t="shared" si="14"/>
        <v>0</v>
      </c>
      <c r="I46" s="1">
        <f t="shared" si="14"/>
        <v>1</v>
      </c>
      <c r="J46" s="1">
        <f t="shared" si="14"/>
        <v>1</v>
      </c>
      <c r="K46" s="1">
        <f t="shared" si="14"/>
        <v>1</v>
      </c>
      <c r="L46" s="1">
        <f t="shared" si="14"/>
        <v>0</v>
      </c>
      <c r="M46" s="1">
        <f t="shared" si="14"/>
        <v>1</v>
      </c>
      <c r="N46" s="1">
        <f t="shared" si="14"/>
        <v>0</v>
      </c>
      <c r="O46" s="1">
        <f t="shared" si="14"/>
        <v>0</v>
      </c>
      <c r="P46" s="1">
        <f t="shared" si="14"/>
        <v>0</v>
      </c>
      <c r="Q46" s="1">
        <f t="shared" si="14"/>
        <v>0</v>
      </c>
      <c r="R46" s="1">
        <f t="shared" si="14"/>
        <v>1</v>
      </c>
      <c r="S46" s="1">
        <f t="shared" si="14"/>
        <v>1</v>
      </c>
      <c r="T46" s="1">
        <f t="shared" si="14"/>
        <v>0</v>
      </c>
      <c r="U46" s="1">
        <f t="shared" si="14"/>
        <v>0</v>
      </c>
      <c r="V46" s="1">
        <f t="shared" si="14"/>
        <v>0</v>
      </c>
      <c r="W46" s="1">
        <f t="shared" si="14"/>
        <v>0</v>
      </c>
      <c r="X46" s="1">
        <f t="shared" si="14"/>
        <v>0</v>
      </c>
      <c r="Y46" s="1">
        <f t="shared" si="14"/>
        <v>0</v>
      </c>
      <c r="Z46" s="1">
        <f t="shared" si="14"/>
        <v>1</v>
      </c>
      <c r="AA46" s="1">
        <f t="shared" si="14"/>
        <v>0</v>
      </c>
      <c r="AB46" s="1">
        <f t="shared" si="14"/>
        <v>1</v>
      </c>
      <c r="AC46" s="1">
        <f t="shared" si="14"/>
        <v>0</v>
      </c>
      <c r="AD46" s="1">
        <f t="shared" si="14"/>
        <v>0</v>
      </c>
      <c r="AE46" s="1">
        <f t="shared" si="14"/>
        <v>0</v>
      </c>
      <c r="AF46" s="1">
        <f t="shared" si="14"/>
        <v>0</v>
      </c>
      <c r="AG46" s="1">
        <f t="shared" si="14"/>
        <v>0</v>
      </c>
      <c r="AH46" s="1">
        <f t="shared" si="14"/>
        <v>0</v>
      </c>
      <c r="AI46" s="1">
        <f t="shared" si="14"/>
        <v>1</v>
      </c>
      <c r="AJ46" s="1">
        <f t="shared" si="14"/>
        <v>1</v>
      </c>
      <c r="AK46" s="1">
        <f t="shared" si="14"/>
        <v>0</v>
      </c>
      <c r="AL46" s="1">
        <f t="shared" si="14"/>
        <v>0</v>
      </c>
      <c r="AM46" s="1">
        <f t="shared" si="14"/>
        <v>0</v>
      </c>
      <c r="AN46" s="1">
        <f t="shared" si="14"/>
        <v>0</v>
      </c>
      <c r="AO46" s="1">
        <f t="shared" si="14"/>
        <v>0</v>
      </c>
      <c r="AP46" s="1">
        <f t="shared" si="14"/>
        <v>0</v>
      </c>
      <c r="AQ46" s="1">
        <f t="shared" si="14"/>
        <v>1</v>
      </c>
      <c r="AR46" s="1">
        <f t="shared" si="14"/>
        <v>0</v>
      </c>
      <c r="AS46" s="1">
        <f t="shared" si="14"/>
        <v>0</v>
      </c>
      <c r="AT46" s="1">
        <f t="shared" si="14"/>
        <v>1</v>
      </c>
      <c r="AU46" s="1">
        <f t="shared" si="14"/>
        <v>0</v>
      </c>
      <c r="AV46" s="1">
        <f t="shared" si="14"/>
        <v>0</v>
      </c>
      <c r="AW46" s="1">
        <f t="shared" si="14"/>
        <v>0</v>
      </c>
      <c r="AX46" s="1">
        <f t="shared" si="14"/>
        <v>0</v>
      </c>
      <c r="AY46" s="1">
        <f t="shared" si="14"/>
        <v>0</v>
      </c>
      <c r="AZ46" s="1">
        <f t="shared" si="14"/>
        <v>1</v>
      </c>
      <c r="BA46" s="1">
        <f t="shared" si="14"/>
        <v>1</v>
      </c>
      <c r="BB46" s="1">
        <f t="shared" si="14"/>
        <v>0</v>
      </c>
      <c r="BC46" s="1">
        <f t="shared" si="14"/>
        <v>1</v>
      </c>
      <c r="BD46" s="1">
        <f t="shared" si="14"/>
        <v>0</v>
      </c>
      <c r="BE46" s="1">
        <f t="shared" si="14"/>
        <v>0</v>
      </c>
      <c r="BF46" s="1">
        <f t="shared" si="14"/>
        <v>0</v>
      </c>
      <c r="BG46" s="1">
        <f t="shared" si="14"/>
        <v>0</v>
      </c>
      <c r="BH46" s="1">
        <f>COUNTIF(BH$9:BH$39,"mx")</f>
        <v>1</v>
      </c>
      <c r="BI46" s="1">
        <f>COUNTIF(BI$9:BI$39,"mx")</f>
        <v>0</v>
      </c>
      <c r="BJ46" s="1">
        <f t="shared" si="14"/>
        <v>1</v>
      </c>
      <c r="BK46" s="1">
        <f t="shared" si="14"/>
        <v>0</v>
      </c>
      <c r="BL46" s="1">
        <f t="shared" si="14"/>
        <v>0</v>
      </c>
      <c r="BM46" s="1">
        <f t="shared" si="14"/>
        <v>0</v>
      </c>
      <c r="BN46" s="1">
        <f t="shared" si="14"/>
        <v>0</v>
      </c>
      <c r="BO46" s="1">
        <f t="shared" si="14"/>
        <v>0</v>
      </c>
      <c r="BP46" s="1">
        <f t="shared" ref="BP46:EA46" si="15">COUNTIF(BP$8:BP$39,"mx")</f>
        <v>0</v>
      </c>
      <c r="BQ46" s="1">
        <f t="shared" si="15"/>
        <v>0</v>
      </c>
      <c r="BR46" s="1">
        <f t="shared" si="15"/>
        <v>0</v>
      </c>
      <c r="BS46" s="1">
        <f t="shared" si="15"/>
        <v>1</v>
      </c>
      <c r="BT46" s="1">
        <f t="shared" si="15"/>
        <v>0</v>
      </c>
      <c r="BU46" s="1">
        <f t="shared" si="15"/>
        <v>0</v>
      </c>
      <c r="BV46" s="1">
        <f t="shared" si="15"/>
        <v>0</v>
      </c>
      <c r="BW46" s="1">
        <f t="shared" si="15"/>
        <v>0</v>
      </c>
      <c r="BX46" s="1">
        <f t="shared" si="15"/>
        <v>0</v>
      </c>
      <c r="BY46" s="1">
        <f t="shared" si="15"/>
        <v>0</v>
      </c>
      <c r="BZ46" s="1">
        <f t="shared" si="15"/>
        <v>1</v>
      </c>
      <c r="CA46" s="1">
        <f t="shared" si="15"/>
        <v>0</v>
      </c>
      <c r="CB46" s="1">
        <f t="shared" si="15"/>
        <v>1</v>
      </c>
      <c r="CC46" s="1">
        <f t="shared" si="15"/>
        <v>1</v>
      </c>
      <c r="CD46" s="1">
        <f t="shared" si="15"/>
        <v>0</v>
      </c>
      <c r="CE46" s="1">
        <f t="shared" si="15"/>
        <v>0</v>
      </c>
      <c r="CF46" s="1">
        <f t="shared" si="15"/>
        <v>0</v>
      </c>
      <c r="CG46" s="1">
        <f t="shared" si="15"/>
        <v>0</v>
      </c>
      <c r="CH46" s="1">
        <f t="shared" si="15"/>
        <v>0</v>
      </c>
      <c r="CI46" s="1">
        <f t="shared" si="15"/>
        <v>0</v>
      </c>
      <c r="CJ46" s="1">
        <f t="shared" si="15"/>
        <v>2</v>
      </c>
      <c r="CK46" s="1">
        <f t="shared" si="15"/>
        <v>1</v>
      </c>
      <c r="CL46" s="1">
        <f t="shared" si="15"/>
        <v>0</v>
      </c>
      <c r="CM46" s="1">
        <f t="shared" si="15"/>
        <v>0</v>
      </c>
      <c r="CN46" s="1">
        <f t="shared" si="15"/>
        <v>0</v>
      </c>
      <c r="CO46" s="1">
        <f t="shared" si="15"/>
        <v>0</v>
      </c>
      <c r="CP46" s="1">
        <f t="shared" si="15"/>
        <v>0</v>
      </c>
      <c r="CQ46" s="1">
        <f t="shared" si="15"/>
        <v>0</v>
      </c>
      <c r="CR46" s="1">
        <f t="shared" si="15"/>
        <v>0</v>
      </c>
      <c r="CS46" s="1">
        <f t="shared" si="15"/>
        <v>1</v>
      </c>
      <c r="CT46" s="1">
        <f>COUNTIF(CT$8:CT$39,"mx")</f>
        <v>1</v>
      </c>
      <c r="CU46" s="1">
        <f t="shared" si="15"/>
        <v>0</v>
      </c>
      <c r="CV46" s="1">
        <f t="shared" si="15"/>
        <v>1</v>
      </c>
      <c r="CW46" s="1">
        <f t="shared" si="15"/>
        <v>0</v>
      </c>
      <c r="CX46" s="1">
        <f t="shared" si="15"/>
        <v>0</v>
      </c>
      <c r="CY46" s="1">
        <f t="shared" si="15"/>
        <v>0</v>
      </c>
      <c r="CZ46" s="1">
        <f t="shared" si="15"/>
        <v>0</v>
      </c>
      <c r="DA46" s="1">
        <f t="shared" si="15"/>
        <v>0</v>
      </c>
      <c r="DB46" s="1">
        <f t="shared" si="15"/>
        <v>1</v>
      </c>
      <c r="DC46" s="1">
        <f t="shared" si="15"/>
        <v>0</v>
      </c>
      <c r="DD46" s="1">
        <f t="shared" si="15"/>
        <v>0</v>
      </c>
      <c r="DE46" s="1">
        <f t="shared" si="15"/>
        <v>1</v>
      </c>
      <c r="DF46" s="1">
        <f t="shared" si="15"/>
        <v>0</v>
      </c>
      <c r="DG46" s="1">
        <f t="shared" si="15"/>
        <v>0</v>
      </c>
      <c r="DH46" s="1">
        <f t="shared" si="15"/>
        <v>0</v>
      </c>
      <c r="DI46" s="1">
        <f t="shared" si="15"/>
        <v>1</v>
      </c>
      <c r="DJ46" s="1">
        <f t="shared" si="15"/>
        <v>0</v>
      </c>
      <c r="DK46" s="1">
        <f t="shared" si="15"/>
        <v>0</v>
      </c>
      <c r="DL46" s="1">
        <f t="shared" si="15"/>
        <v>1</v>
      </c>
      <c r="DM46" s="1">
        <f t="shared" si="15"/>
        <v>1</v>
      </c>
      <c r="DN46" s="1">
        <f t="shared" si="15"/>
        <v>0</v>
      </c>
      <c r="DO46" s="1">
        <f t="shared" si="15"/>
        <v>0</v>
      </c>
      <c r="DP46" s="1">
        <f t="shared" si="15"/>
        <v>1</v>
      </c>
      <c r="DQ46" s="1">
        <f t="shared" si="15"/>
        <v>0</v>
      </c>
      <c r="DR46" s="1">
        <f t="shared" si="15"/>
        <v>0</v>
      </c>
      <c r="DS46" s="1">
        <f t="shared" si="15"/>
        <v>0</v>
      </c>
      <c r="DT46" s="1">
        <f t="shared" si="15"/>
        <v>0</v>
      </c>
      <c r="DU46" s="1">
        <f t="shared" si="15"/>
        <v>0</v>
      </c>
      <c r="DV46" s="1">
        <f t="shared" si="15"/>
        <v>0</v>
      </c>
      <c r="DW46" s="1">
        <f t="shared" si="15"/>
        <v>1</v>
      </c>
      <c r="DX46" s="1">
        <f t="shared" si="15"/>
        <v>0</v>
      </c>
      <c r="DY46" s="1">
        <f t="shared" si="15"/>
        <v>1</v>
      </c>
      <c r="DZ46" s="1">
        <f t="shared" si="15"/>
        <v>0</v>
      </c>
      <c r="EA46" s="1">
        <f t="shared" si="15"/>
        <v>1</v>
      </c>
      <c r="EB46" s="1">
        <f t="shared" ref="EB46:GM46" si="16">COUNTIF(EB$8:EB$39,"mx")</f>
        <v>1</v>
      </c>
      <c r="EC46" s="1">
        <f t="shared" si="16"/>
        <v>0</v>
      </c>
      <c r="ED46" s="1">
        <f t="shared" si="16"/>
        <v>0</v>
      </c>
      <c r="EE46" s="1">
        <f t="shared" si="16"/>
        <v>0</v>
      </c>
      <c r="EF46" s="1">
        <f t="shared" si="16"/>
        <v>0</v>
      </c>
      <c r="EG46" s="1">
        <f t="shared" si="16"/>
        <v>0</v>
      </c>
      <c r="EH46" s="1">
        <f>COUNTIF(EH$9:EH$39,"mx")</f>
        <v>0</v>
      </c>
      <c r="EI46" s="1">
        <f t="shared" si="16"/>
        <v>0</v>
      </c>
      <c r="EJ46" s="1">
        <f>COUNTIF(EJ$7:EJ$39,"mx")</f>
        <v>0</v>
      </c>
      <c r="EK46" s="1">
        <f t="shared" si="16"/>
        <v>0</v>
      </c>
      <c r="EL46" s="1">
        <f t="shared" si="16"/>
        <v>0</v>
      </c>
      <c r="EM46" s="1">
        <f t="shared" si="16"/>
        <v>0</v>
      </c>
      <c r="EN46" s="1">
        <f t="shared" si="16"/>
        <v>0</v>
      </c>
      <c r="EO46" s="1">
        <f t="shared" si="16"/>
        <v>0</v>
      </c>
      <c r="EP46" s="1">
        <f t="shared" si="16"/>
        <v>0</v>
      </c>
      <c r="EQ46" s="1">
        <f t="shared" si="16"/>
        <v>0</v>
      </c>
      <c r="ER46" s="1">
        <f t="shared" si="16"/>
        <v>0</v>
      </c>
      <c r="ES46" s="1">
        <f t="shared" si="16"/>
        <v>0</v>
      </c>
      <c r="ET46" s="1">
        <f t="shared" si="16"/>
        <v>0</v>
      </c>
      <c r="EU46" s="1">
        <f t="shared" si="16"/>
        <v>1</v>
      </c>
      <c r="EV46" s="1">
        <f t="shared" si="16"/>
        <v>0</v>
      </c>
      <c r="EW46" s="1">
        <f t="shared" si="16"/>
        <v>0</v>
      </c>
      <c r="EX46" s="1">
        <f t="shared" si="16"/>
        <v>0</v>
      </c>
      <c r="EY46" s="1">
        <f t="shared" si="16"/>
        <v>0</v>
      </c>
      <c r="EZ46" s="1">
        <f t="shared" si="16"/>
        <v>0</v>
      </c>
      <c r="FA46" s="1">
        <f t="shared" si="16"/>
        <v>1</v>
      </c>
      <c r="FB46" s="1">
        <f t="shared" si="16"/>
        <v>0</v>
      </c>
      <c r="FC46" s="1">
        <f t="shared" si="16"/>
        <v>1</v>
      </c>
      <c r="FD46" s="1">
        <f t="shared" si="16"/>
        <v>0</v>
      </c>
      <c r="FE46" s="1">
        <f t="shared" si="16"/>
        <v>0</v>
      </c>
      <c r="FF46" s="1">
        <f t="shared" si="16"/>
        <v>0</v>
      </c>
      <c r="FG46" s="1">
        <f t="shared" si="16"/>
        <v>0</v>
      </c>
      <c r="FH46" s="1">
        <f t="shared" si="16"/>
        <v>0</v>
      </c>
      <c r="FI46" s="1">
        <f t="shared" si="16"/>
        <v>0</v>
      </c>
      <c r="FJ46" s="1">
        <f t="shared" si="16"/>
        <v>1</v>
      </c>
      <c r="FK46" s="1">
        <f t="shared" si="16"/>
        <v>0</v>
      </c>
      <c r="FL46" s="1">
        <f t="shared" si="16"/>
        <v>1</v>
      </c>
      <c r="FM46" s="1">
        <f t="shared" si="16"/>
        <v>0</v>
      </c>
      <c r="FN46" s="1">
        <f t="shared" si="16"/>
        <v>0</v>
      </c>
      <c r="FO46" s="1">
        <f t="shared" si="16"/>
        <v>0</v>
      </c>
      <c r="FP46" s="1">
        <f t="shared" si="16"/>
        <v>0</v>
      </c>
      <c r="FQ46" s="1">
        <f t="shared" si="16"/>
        <v>0</v>
      </c>
      <c r="FR46" s="1">
        <f t="shared" si="16"/>
        <v>0</v>
      </c>
      <c r="FS46" s="1">
        <f t="shared" si="16"/>
        <v>1</v>
      </c>
      <c r="FT46" s="1">
        <f t="shared" si="16"/>
        <v>0</v>
      </c>
      <c r="FU46" s="1">
        <f t="shared" si="16"/>
        <v>0</v>
      </c>
      <c r="FV46" s="1">
        <f t="shared" si="16"/>
        <v>0</v>
      </c>
      <c r="FW46" s="1">
        <f t="shared" si="16"/>
        <v>0</v>
      </c>
      <c r="FX46" s="1">
        <f t="shared" si="16"/>
        <v>0</v>
      </c>
      <c r="FY46" s="1">
        <f t="shared" si="16"/>
        <v>0</v>
      </c>
      <c r="FZ46" s="1">
        <f t="shared" si="16"/>
        <v>0</v>
      </c>
      <c r="GA46" s="1">
        <f t="shared" si="16"/>
        <v>0</v>
      </c>
      <c r="GB46" s="1">
        <f t="shared" si="16"/>
        <v>0</v>
      </c>
      <c r="GC46" s="1">
        <f t="shared" si="16"/>
        <v>1</v>
      </c>
      <c r="GD46" s="1">
        <f t="shared" si="16"/>
        <v>0</v>
      </c>
      <c r="GE46" s="1">
        <f t="shared" si="16"/>
        <v>0</v>
      </c>
      <c r="GF46" s="1">
        <f t="shared" si="16"/>
        <v>0</v>
      </c>
      <c r="GG46" s="1">
        <f t="shared" si="16"/>
        <v>0</v>
      </c>
      <c r="GH46" s="1">
        <f t="shared" si="16"/>
        <v>0</v>
      </c>
      <c r="GI46" s="1">
        <f t="shared" si="16"/>
        <v>0</v>
      </c>
      <c r="GJ46" s="1">
        <f t="shared" si="16"/>
        <v>1</v>
      </c>
      <c r="GK46" s="1">
        <f t="shared" si="16"/>
        <v>1</v>
      </c>
      <c r="GL46" s="1">
        <f t="shared" si="16"/>
        <v>1</v>
      </c>
      <c r="GM46" s="1">
        <f t="shared" si="16"/>
        <v>0</v>
      </c>
      <c r="GN46" s="1">
        <f t="shared" ref="GN46:IY46" si="17">COUNTIF(GN$8:GN$39,"mx")</f>
        <v>0</v>
      </c>
      <c r="GO46" s="1">
        <f t="shared" si="17"/>
        <v>0</v>
      </c>
      <c r="GP46" s="1">
        <f t="shared" si="17"/>
        <v>0</v>
      </c>
      <c r="GQ46" s="1">
        <f t="shared" si="17"/>
        <v>0</v>
      </c>
      <c r="GR46" s="1">
        <f t="shared" si="17"/>
        <v>0</v>
      </c>
      <c r="GS46" s="1">
        <f t="shared" si="17"/>
        <v>1</v>
      </c>
      <c r="GT46" s="1">
        <f t="shared" si="17"/>
        <v>1</v>
      </c>
      <c r="GU46" s="1">
        <f t="shared" si="17"/>
        <v>0</v>
      </c>
      <c r="GV46" s="1">
        <f t="shared" si="17"/>
        <v>0</v>
      </c>
      <c r="GW46" s="1">
        <f t="shared" si="17"/>
        <v>0</v>
      </c>
      <c r="GX46" s="1">
        <f t="shared" si="17"/>
        <v>0</v>
      </c>
      <c r="GY46" s="1">
        <f t="shared" si="17"/>
        <v>0</v>
      </c>
      <c r="GZ46" s="1">
        <f t="shared" si="17"/>
        <v>0</v>
      </c>
      <c r="HA46" s="1">
        <f t="shared" si="17"/>
        <v>0</v>
      </c>
      <c r="HB46" s="1">
        <f t="shared" si="17"/>
        <v>0</v>
      </c>
      <c r="HC46" s="1">
        <f t="shared" si="17"/>
        <v>0</v>
      </c>
      <c r="HD46" s="1">
        <f t="shared" si="17"/>
        <v>0</v>
      </c>
      <c r="HE46" s="1">
        <f t="shared" si="17"/>
        <v>0</v>
      </c>
      <c r="HF46" s="1">
        <f t="shared" si="17"/>
        <v>0</v>
      </c>
      <c r="HG46" s="1">
        <f t="shared" si="17"/>
        <v>0</v>
      </c>
      <c r="HH46" s="1">
        <f t="shared" si="17"/>
        <v>0</v>
      </c>
      <c r="HI46" s="1">
        <f t="shared" si="17"/>
        <v>0</v>
      </c>
      <c r="HJ46" s="1">
        <f t="shared" si="17"/>
        <v>0</v>
      </c>
      <c r="HK46" s="1">
        <f t="shared" si="17"/>
        <v>0</v>
      </c>
      <c r="HL46" s="1">
        <f t="shared" si="17"/>
        <v>0</v>
      </c>
      <c r="HM46" s="1">
        <f t="shared" si="17"/>
        <v>0</v>
      </c>
      <c r="HN46" s="1">
        <f t="shared" si="17"/>
        <v>0</v>
      </c>
      <c r="HO46" s="1">
        <f t="shared" si="17"/>
        <v>0</v>
      </c>
      <c r="HP46" s="1">
        <f t="shared" si="17"/>
        <v>0</v>
      </c>
      <c r="HQ46" s="1">
        <f t="shared" si="17"/>
        <v>1</v>
      </c>
      <c r="HR46" s="1">
        <f t="shared" si="17"/>
        <v>1</v>
      </c>
      <c r="HS46" s="1">
        <f t="shared" si="17"/>
        <v>0</v>
      </c>
      <c r="HT46" s="1">
        <f t="shared" si="17"/>
        <v>0</v>
      </c>
      <c r="HU46" s="1">
        <f t="shared" si="17"/>
        <v>0</v>
      </c>
      <c r="HV46" s="1">
        <f t="shared" si="17"/>
        <v>0</v>
      </c>
      <c r="HW46" s="1">
        <f t="shared" si="17"/>
        <v>0</v>
      </c>
      <c r="HX46" s="1">
        <f t="shared" si="17"/>
        <v>0</v>
      </c>
      <c r="HY46" s="1">
        <f t="shared" si="17"/>
        <v>0</v>
      </c>
      <c r="HZ46" s="1">
        <f t="shared" si="17"/>
        <v>0</v>
      </c>
      <c r="IA46" s="1">
        <f t="shared" si="17"/>
        <v>0</v>
      </c>
      <c r="IB46" s="1">
        <f t="shared" si="17"/>
        <v>0</v>
      </c>
      <c r="IC46" s="1">
        <f t="shared" si="17"/>
        <v>0</v>
      </c>
      <c r="ID46" s="1">
        <f t="shared" si="17"/>
        <v>0</v>
      </c>
      <c r="IE46" s="1">
        <f t="shared" si="17"/>
        <v>0</v>
      </c>
      <c r="IF46" s="1">
        <f t="shared" si="17"/>
        <v>0</v>
      </c>
      <c r="IG46" s="1">
        <f t="shared" si="17"/>
        <v>0</v>
      </c>
      <c r="IH46" s="1">
        <f t="shared" si="17"/>
        <v>0</v>
      </c>
      <c r="II46" s="1">
        <f t="shared" si="17"/>
        <v>0</v>
      </c>
      <c r="IJ46" s="1">
        <f t="shared" si="17"/>
        <v>0</v>
      </c>
      <c r="IK46" s="1">
        <f t="shared" si="17"/>
        <v>0</v>
      </c>
      <c r="IL46" s="1">
        <f t="shared" si="17"/>
        <v>0</v>
      </c>
      <c r="IM46" s="1">
        <f t="shared" si="17"/>
        <v>0</v>
      </c>
      <c r="IN46" s="1">
        <f t="shared" si="17"/>
        <v>0</v>
      </c>
      <c r="IO46" s="1">
        <f t="shared" si="17"/>
        <v>0</v>
      </c>
      <c r="IP46" s="1">
        <f t="shared" si="17"/>
        <v>0</v>
      </c>
      <c r="IQ46" s="1">
        <f t="shared" si="17"/>
        <v>0</v>
      </c>
      <c r="IR46" s="1">
        <f t="shared" si="17"/>
        <v>0</v>
      </c>
      <c r="IS46" s="1">
        <f t="shared" si="17"/>
        <v>0</v>
      </c>
      <c r="IT46" s="1">
        <f t="shared" si="17"/>
        <v>0</v>
      </c>
      <c r="IU46" s="1">
        <f t="shared" si="17"/>
        <v>0</v>
      </c>
      <c r="IV46" s="1">
        <f t="shared" si="17"/>
        <v>0</v>
      </c>
      <c r="IW46" s="1">
        <f t="shared" si="17"/>
        <v>0</v>
      </c>
      <c r="IX46" s="1">
        <f t="shared" si="17"/>
        <v>0</v>
      </c>
      <c r="IY46" s="1">
        <f t="shared" si="17"/>
        <v>0</v>
      </c>
      <c r="IZ46" s="1">
        <f t="shared" ref="IZ46:LK46" si="18">COUNTIF(IZ$8:IZ$39,"mx")</f>
        <v>0</v>
      </c>
      <c r="JA46" s="1">
        <f t="shared" si="18"/>
        <v>0</v>
      </c>
      <c r="JB46" s="1">
        <f t="shared" si="18"/>
        <v>1</v>
      </c>
      <c r="JC46" s="1">
        <f t="shared" si="18"/>
        <v>1</v>
      </c>
      <c r="JD46" s="1">
        <f t="shared" si="18"/>
        <v>1</v>
      </c>
      <c r="JE46" s="1">
        <f t="shared" si="18"/>
        <v>0</v>
      </c>
      <c r="JF46" s="1">
        <f t="shared" si="18"/>
        <v>0</v>
      </c>
      <c r="JG46" s="1">
        <f t="shared" si="18"/>
        <v>0</v>
      </c>
      <c r="JH46" s="1">
        <f t="shared" si="18"/>
        <v>0</v>
      </c>
      <c r="JI46" s="1">
        <f t="shared" si="18"/>
        <v>0</v>
      </c>
      <c r="JJ46" s="1">
        <f t="shared" si="18"/>
        <v>0</v>
      </c>
      <c r="JK46" s="1">
        <f t="shared" si="18"/>
        <v>1</v>
      </c>
      <c r="JL46" s="1">
        <f t="shared" si="18"/>
        <v>1</v>
      </c>
      <c r="JM46" s="1">
        <f t="shared" si="18"/>
        <v>1</v>
      </c>
      <c r="JN46" s="1">
        <f t="shared" si="18"/>
        <v>0</v>
      </c>
      <c r="JO46" s="1">
        <f t="shared" si="18"/>
        <v>0</v>
      </c>
      <c r="JP46" s="1">
        <f t="shared" si="18"/>
        <v>0</v>
      </c>
      <c r="JQ46" s="1">
        <f t="shared" si="18"/>
        <v>0</v>
      </c>
      <c r="JR46" s="1">
        <f t="shared" si="18"/>
        <v>0</v>
      </c>
      <c r="JS46" s="1">
        <f t="shared" si="18"/>
        <v>0</v>
      </c>
      <c r="JT46" s="1">
        <f t="shared" si="18"/>
        <v>1</v>
      </c>
      <c r="JU46" s="1">
        <f t="shared" si="18"/>
        <v>0</v>
      </c>
      <c r="JV46" s="1">
        <f t="shared" si="18"/>
        <v>0</v>
      </c>
      <c r="JW46" s="1">
        <f t="shared" si="18"/>
        <v>0</v>
      </c>
      <c r="JX46" s="1">
        <f t="shared" si="18"/>
        <v>0</v>
      </c>
      <c r="JY46" s="1">
        <f t="shared" si="18"/>
        <v>0</v>
      </c>
      <c r="JZ46" s="1">
        <f t="shared" si="18"/>
        <v>0</v>
      </c>
      <c r="KA46" s="1">
        <f t="shared" si="18"/>
        <v>0</v>
      </c>
      <c r="KB46" s="1">
        <f t="shared" si="18"/>
        <v>0</v>
      </c>
      <c r="KC46" s="1">
        <f t="shared" si="18"/>
        <v>0</v>
      </c>
      <c r="KD46" s="1">
        <f t="shared" si="18"/>
        <v>1</v>
      </c>
      <c r="KE46" s="1">
        <f t="shared" si="18"/>
        <v>0</v>
      </c>
      <c r="KF46" s="1">
        <f t="shared" si="18"/>
        <v>0</v>
      </c>
      <c r="KG46" s="1">
        <f t="shared" si="18"/>
        <v>0</v>
      </c>
      <c r="KH46" s="1">
        <f t="shared" si="18"/>
        <v>0</v>
      </c>
      <c r="KI46" s="1">
        <f t="shared" si="18"/>
        <v>0</v>
      </c>
      <c r="KJ46" s="1">
        <f t="shared" si="18"/>
        <v>0</v>
      </c>
      <c r="KK46" s="1">
        <f t="shared" si="18"/>
        <v>1</v>
      </c>
      <c r="KL46" s="1">
        <f t="shared" si="18"/>
        <v>1</v>
      </c>
      <c r="KM46" s="1">
        <f t="shared" si="18"/>
        <v>1</v>
      </c>
      <c r="KN46" s="1">
        <f t="shared" si="18"/>
        <v>0</v>
      </c>
      <c r="KO46" s="1">
        <f t="shared" si="18"/>
        <v>0</v>
      </c>
      <c r="KP46" s="1">
        <f t="shared" si="18"/>
        <v>0</v>
      </c>
      <c r="KQ46" s="1">
        <f t="shared" si="18"/>
        <v>0</v>
      </c>
      <c r="KR46" s="1">
        <f t="shared" si="18"/>
        <v>0</v>
      </c>
      <c r="KS46" s="1">
        <f t="shared" si="18"/>
        <v>0</v>
      </c>
      <c r="KT46" s="1">
        <f t="shared" si="18"/>
        <v>1</v>
      </c>
      <c r="KU46" s="1">
        <f t="shared" si="18"/>
        <v>1</v>
      </c>
      <c r="KV46" s="1">
        <f t="shared" si="18"/>
        <v>1</v>
      </c>
      <c r="KW46" s="1">
        <f t="shared" si="18"/>
        <v>0</v>
      </c>
      <c r="KX46" s="1">
        <f t="shared" si="18"/>
        <v>0</v>
      </c>
      <c r="KY46" s="1">
        <f t="shared" si="18"/>
        <v>0</v>
      </c>
      <c r="KZ46" s="1">
        <f t="shared" si="18"/>
        <v>0</v>
      </c>
      <c r="LA46" s="1">
        <f t="shared" si="18"/>
        <v>0</v>
      </c>
      <c r="LB46" s="1">
        <f t="shared" si="18"/>
        <v>0</v>
      </c>
      <c r="LC46" s="1">
        <f t="shared" si="18"/>
        <v>1</v>
      </c>
      <c r="LD46" s="1">
        <f t="shared" si="18"/>
        <v>1</v>
      </c>
      <c r="LE46" s="1">
        <f t="shared" si="18"/>
        <v>0</v>
      </c>
      <c r="LF46" s="1">
        <f t="shared" si="18"/>
        <v>0</v>
      </c>
      <c r="LG46" s="1">
        <f t="shared" si="18"/>
        <v>0</v>
      </c>
      <c r="LH46" s="1">
        <f t="shared" si="18"/>
        <v>0</v>
      </c>
      <c r="LI46" s="1">
        <f t="shared" si="18"/>
        <v>0</v>
      </c>
      <c r="LJ46" s="1">
        <f t="shared" si="18"/>
        <v>0</v>
      </c>
      <c r="LK46" s="1">
        <f t="shared" si="18"/>
        <v>0</v>
      </c>
      <c r="LL46" s="1">
        <f t="shared" ref="LL46:NP46" si="19">COUNTIF(LL$8:LL$39,"mx")</f>
        <v>0</v>
      </c>
      <c r="LM46" s="1">
        <f t="shared" si="19"/>
        <v>1</v>
      </c>
      <c r="LN46" s="1">
        <f t="shared" si="19"/>
        <v>0</v>
      </c>
      <c r="LO46" s="1">
        <f t="shared" si="19"/>
        <v>0</v>
      </c>
      <c r="LP46" s="1">
        <f t="shared" si="19"/>
        <v>0</v>
      </c>
      <c r="LQ46" s="1">
        <f t="shared" si="19"/>
        <v>0</v>
      </c>
      <c r="LR46" s="1">
        <f t="shared" si="19"/>
        <v>0</v>
      </c>
      <c r="LS46" s="1">
        <f t="shared" si="19"/>
        <v>0</v>
      </c>
      <c r="LT46" s="1">
        <f t="shared" si="19"/>
        <v>1</v>
      </c>
      <c r="LU46" s="1">
        <f t="shared" si="19"/>
        <v>1</v>
      </c>
      <c r="LV46" s="1">
        <f t="shared" si="19"/>
        <v>1</v>
      </c>
      <c r="LW46" s="1">
        <f t="shared" si="19"/>
        <v>0</v>
      </c>
      <c r="LX46" s="1">
        <f t="shared" si="19"/>
        <v>0</v>
      </c>
      <c r="LY46" s="1">
        <f t="shared" si="19"/>
        <v>0</v>
      </c>
      <c r="LZ46" s="1">
        <f t="shared" si="19"/>
        <v>0</v>
      </c>
      <c r="MA46" s="1">
        <f t="shared" si="19"/>
        <v>0</v>
      </c>
      <c r="MB46" s="1">
        <f t="shared" si="19"/>
        <v>0</v>
      </c>
      <c r="MC46" s="1">
        <f t="shared" si="19"/>
        <v>1</v>
      </c>
      <c r="MD46" s="1">
        <f t="shared" si="19"/>
        <v>1</v>
      </c>
      <c r="ME46" s="1">
        <f t="shared" si="19"/>
        <v>1</v>
      </c>
      <c r="MF46" s="1">
        <f t="shared" si="19"/>
        <v>0</v>
      </c>
      <c r="MG46" s="1">
        <f t="shared" si="19"/>
        <v>0</v>
      </c>
      <c r="MH46" s="1">
        <f t="shared" si="19"/>
        <v>0</v>
      </c>
      <c r="MI46" s="1">
        <f t="shared" si="19"/>
        <v>0</v>
      </c>
      <c r="MJ46" s="1">
        <f t="shared" si="19"/>
        <v>0</v>
      </c>
      <c r="MK46" s="1">
        <f t="shared" si="19"/>
        <v>0</v>
      </c>
      <c r="ML46" s="1">
        <f t="shared" si="19"/>
        <v>1</v>
      </c>
      <c r="MM46" s="1">
        <f t="shared" si="19"/>
        <v>0</v>
      </c>
      <c r="MN46" s="1">
        <f t="shared" si="19"/>
        <v>0</v>
      </c>
      <c r="MO46" s="1">
        <f t="shared" si="19"/>
        <v>0</v>
      </c>
      <c r="MP46" s="1">
        <f t="shared" si="19"/>
        <v>0</v>
      </c>
      <c r="MQ46" s="1">
        <f t="shared" si="19"/>
        <v>0</v>
      </c>
      <c r="MR46" s="1">
        <f t="shared" si="19"/>
        <v>0</v>
      </c>
      <c r="MS46" s="1">
        <f t="shared" si="19"/>
        <v>0</v>
      </c>
      <c r="MT46" s="1">
        <f t="shared" si="19"/>
        <v>0</v>
      </c>
      <c r="MU46" s="1">
        <f t="shared" si="19"/>
        <v>0</v>
      </c>
      <c r="MV46" s="1">
        <f t="shared" si="19"/>
        <v>1</v>
      </c>
      <c r="MW46" s="1">
        <f t="shared" si="19"/>
        <v>0</v>
      </c>
      <c r="MX46" s="1">
        <f t="shared" si="19"/>
        <v>0</v>
      </c>
      <c r="MY46" s="1">
        <f t="shared" si="19"/>
        <v>0</v>
      </c>
      <c r="MZ46" s="1">
        <f t="shared" si="19"/>
        <v>0</v>
      </c>
      <c r="NA46" s="1">
        <f t="shared" si="19"/>
        <v>0</v>
      </c>
      <c r="NB46" s="1">
        <f t="shared" si="19"/>
        <v>0</v>
      </c>
      <c r="NC46" s="1">
        <f t="shared" si="19"/>
        <v>1</v>
      </c>
      <c r="ND46" s="1">
        <f t="shared" si="19"/>
        <v>1</v>
      </c>
      <c r="NE46" s="1">
        <f t="shared" si="19"/>
        <v>1</v>
      </c>
      <c r="NF46" s="1">
        <f t="shared" si="19"/>
        <v>0</v>
      </c>
      <c r="NG46" s="1">
        <f t="shared" si="19"/>
        <v>0</v>
      </c>
      <c r="NH46" s="1">
        <f t="shared" si="19"/>
        <v>0</v>
      </c>
      <c r="NI46" s="1">
        <f t="shared" si="19"/>
        <v>0</v>
      </c>
      <c r="NJ46" s="1">
        <f t="shared" si="19"/>
        <v>0</v>
      </c>
      <c r="NK46" s="1">
        <f t="shared" si="19"/>
        <v>0</v>
      </c>
      <c r="NL46" s="1">
        <f t="shared" si="19"/>
        <v>0</v>
      </c>
      <c r="NM46" s="1">
        <f t="shared" si="19"/>
        <v>1</v>
      </c>
      <c r="NN46" s="1">
        <f t="shared" si="19"/>
        <v>0</v>
      </c>
      <c r="NO46" s="1">
        <f t="shared" si="19"/>
        <v>0</v>
      </c>
      <c r="NP46" s="1">
        <f t="shared" si="19"/>
        <v>0</v>
      </c>
      <c r="OA46" s="1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 s="147"/>
    </row>
    <row r="47" spans="1:449" s="1" customFormat="1">
      <c r="A47" s="101" t="s">
        <v>2</v>
      </c>
      <c r="B47" s="99" t="s">
        <v>3</v>
      </c>
      <c r="C47" s="1">
        <f>COUNTIF(C$8:C$39,"m")</f>
        <v>1</v>
      </c>
      <c r="D47" s="1">
        <f t="shared" ref="D47:BO47" si="20">COUNTIF(D$8:D$39,"m")</f>
        <v>1</v>
      </c>
      <c r="E47" s="1">
        <f t="shared" si="20"/>
        <v>1</v>
      </c>
      <c r="F47" s="1">
        <f t="shared" si="20"/>
        <v>1</v>
      </c>
      <c r="G47" s="1">
        <f t="shared" si="20"/>
        <v>1</v>
      </c>
      <c r="H47" s="1">
        <f t="shared" si="20"/>
        <v>2</v>
      </c>
      <c r="I47" s="1">
        <f t="shared" si="20"/>
        <v>1</v>
      </c>
      <c r="J47" s="1">
        <f t="shared" si="20"/>
        <v>1</v>
      </c>
      <c r="K47" s="1">
        <f t="shared" si="20"/>
        <v>1</v>
      </c>
      <c r="L47" s="1">
        <f t="shared" si="20"/>
        <v>1</v>
      </c>
      <c r="M47" s="1">
        <f t="shared" si="20"/>
        <v>1</v>
      </c>
      <c r="N47" s="1">
        <f t="shared" si="20"/>
        <v>1</v>
      </c>
      <c r="O47" s="1">
        <f t="shared" si="20"/>
        <v>2</v>
      </c>
      <c r="P47" s="1">
        <f t="shared" si="20"/>
        <v>2</v>
      </c>
      <c r="Q47" s="1">
        <f t="shared" si="20"/>
        <v>2</v>
      </c>
      <c r="R47" s="1">
        <f t="shared" si="20"/>
        <v>1</v>
      </c>
      <c r="S47" s="1">
        <f t="shared" si="20"/>
        <v>1</v>
      </c>
      <c r="T47" s="1">
        <f t="shared" si="20"/>
        <v>1</v>
      </c>
      <c r="U47" s="1">
        <f t="shared" si="20"/>
        <v>1</v>
      </c>
      <c r="V47" s="1">
        <f t="shared" si="20"/>
        <v>1</v>
      </c>
      <c r="W47" s="1">
        <f t="shared" si="20"/>
        <v>2</v>
      </c>
      <c r="X47" s="1">
        <f t="shared" si="20"/>
        <v>2</v>
      </c>
      <c r="Y47" s="1">
        <f t="shared" si="20"/>
        <v>2</v>
      </c>
      <c r="Z47" s="1">
        <f t="shared" si="20"/>
        <v>1</v>
      </c>
      <c r="AA47" s="1">
        <f t="shared" si="20"/>
        <v>2</v>
      </c>
      <c r="AB47" s="1">
        <f t="shared" si="20"/>
        <v>1</v>
      </c>
      <c r="AC47" s="1">
        <f t="shared" si="20"/>
        <v>1</v>
      </c>
      <c r="AD47" s="1">
        <f t="shared" si="20"/>
        <v>2</v>
      </c>
      <c r="AE47" s="1">
        <f t="shared" si="20"/>
        <v>1</v>
      </c>
      <c r="AF47" s="1">
        <f t="shared" si="20"/>
        <v>1</v>
      </c>
      <c r="AG47" s="1">
        <f t="shared" si="20"/>
        <v>1</v>
      </c>
      <c r="AH47" s="1">
        <f t="shared" si="20"/>
        <v>2</v>
      </c>
      <c r="AI47" s="1">
        <f t="shared" si="20"/>
        <v>1</v>
      </c>
      <c r="AJ47" s="1">
        <f t="shared" si="20"/>
        <v>1</v>
      </c>
      <c r="AK47" s="1">
        <f t="shared" si="20"/>
        <v>1</v>
      </c>
      <c r="AL47" s="1">
        <f t="shared" si="20"/>
        <v>1</v>
      </c>
      <c r="AM47" s="1">
        <f t="shared" si="20"/>
        <v>1</v>
      </c>
      <c r="AN47" s="1">
        <f t="shared" si="20"/>
        <v>1</v>
      </c>
      <c r="AO47" s="1">
        <f t="shared" si="20"/>
        <v>1</v>
      </c>
      <c r="AP47" s="1">
        <f t="shared" si="20"/>
        <v>1</v>
      </c>
      <c r="AQ47" s="1">
        <f t="shared" si="20"/>
        <v>1</v>
      </c>
      <c r="AR47" s="1">
        <f t="shared" si="20"/>
        <v>1</v>
      </c>
      <c r="AS47" s="1">
        <f t="shared" si="20"/>
        <v>1</v>
      </c>
      <c r="AT47" s="1">
        <f t="shared" si="20"/>
        <v>1</v>
      </c>
      <c r="AU47" s="1">
        <f t="shared" si="20"/>
        <v>1</v>
      </c>
      <c r="AV47" s="1">
        <f t="shared" si="20"/>
        <v>1</v>
      </c>
      <c r="AW47" s="1">
        <f t="shared" si="20"/>
        <v>2</v>
      </c>
      <c r="AX47" s="1">
        <f t="shared" si="20"/>
        <v>1</v>
      </c>
      <c r="AY47" s="1">
        <f t="shared" si="20"/>
        <v>1</v>
      </c>
      <c r="AZ47" s="1">
        <f t="shared" si="20"/>
        <v>1</v>
      </c>
      <c r="BA47" s="1">
        <f t="shared" si="20"/>
        <v>1</v>
      </c>
      <c r="BB47" s="1">
        <f t="shared" si="20"/>
        <v>1</v>
      </c>
      <c r="BC47" s="1">
        <f t="shared" si="20"/>
        <v>1</v>
      </c>
      <c r="BD47" s="1">
        <f t="shared" si="20"/>
        <v>2</v>
      </c>
      <c r="BE47" s="1">
        <f t="shared" si="20"/>
        <v>1</v>
      </c>
      <c r="BF47" s="1">
        <f t="shared" si="20"/>
        <v>1</v>
      </c>
      <c r="BG47" s="1">
        <f t="shared" si="20"/>
        <v>1</v>
      </c>
      <c r="BH47" s="1">
        <f>COUNTIF(BH$9:BH$39,"m")</f>
        <v>1</v>
      </c>
      <c r="BI47" s="1">
        <f>COUNTIF(BI$9:BI$39,"m")</f>
        <v>2</v>
      </c>
      <c r="BJ47" s="1">
        <f t="shared" si="20"/>
        <v>1</v>
      </c>
      <c r="BK47" s="1">
        <f t="shared" si="20"/>
        <v>2</v>
      </c>
      <c r="BL47" s="1">
        <f t="shared" si="20"/>
        <v>1</v>
      </c>
      <c r="BM47" s="1">
        <f t="shared" si="20"/>
        <v>1</v>
      </c>
      <c r="BN47" s="1">
        <f t="shared" si="20"/>
        <v>1</v>
      </c>
      <c r="BO47" s="1">
        <f t="shared" si="20"/>
        <v>1</v>
      </c>
      <c r="BP47" s="1">
        <f t="shared" ref="BP47:EA47" si="21">COUNTIF(BP$8:BP$39,"m")</f>
        <v>1</v>
      </c>
      <c r="BQ47" s="1">
        <f t="shared" si="21"/>
        <v>2</v>
      </c>
      <c r="BR47" s="1">
        <f t="shared" si="21"/>
        <v>2</v>
      </c>
      <c r="BS47" s="1">
        <f t="shared" si="21"/>
        <v>1</v>
      </c>
      <c r="BT47" s="1">
        <f t="shared" si="21"/>
        <v>1</v>
      </c>
      <c r="BU47" s="1">
        <f t="shared" si="21"/>
        <v>1</v>
      </c>
      <c r="BV47" s="1">
        <f t="shared" si="21"/>
        <v>1</v>
      </c>
      <c r="BW47" s="1">
        <f t="shared" si="21"/>
        <v>1</v>
      </c>
      <c r="BX47" s="1">
        <f t="shared" si="21"/>
        <v>1</v>
      </c>
      <c r="BY47" s="1">
        <f t="shared" si="21"/>
        <v>1</v>
      </c>
      <c r="BZ47" s="1">
        <f t="shared" si="21"/>
        <v>1</v>
      </c>
      <c r="CA47" s="1">
        <f t="shared" si="21"/>
        <v>1</v>
      </c>
      <c r="CB47" s="1">
        <f t="shared" si="21"/>
        <v>1</v>
      </c>
      <c r="CC47" s="1">
        <f t="shared" si="21"/>
        <v>1</v>
      </c>
      <c r="CD47" s="1">
        <f t="shared" si="21"/>
        <v>1</v>
      </c>
      <c r="CE47" s="1">
        <f t="shared" si="21"/>
        <v>1</v>
      </c>
      <c r="CF47" s="1">
        <f t="shared" si="21"/>
        <v>1</v>
      </c>
      <c r="CG47" s="1">
        <f t="shared" si="21"/>
        <v>2</v>
      </c>
      <c r="CH47" s="1">
        <f t="shared" si="21"/>
        <v>2</v>
      </c>
      <c r="CI47" s="1">
        <f t="shared" si="21"/>
        <v>2</v>
      </c>
      <c r="CJ47" s="1">
        <f t="shared" si="21"/>
        <v>1</v>
      </c>
      <c r="CK47" s="1">
        <f t="shared" si="21"/>
        <v>2</v>
      </c>
      <c r="CL47" s="1">
        <f t="shared" si="21"/>
        <v>1</v>
      </c>
      <c r="CM47" s="1">
        <f t="shared" si="21"/>
        <v>2</v>
      </c>
      <c r="CN47" s="1">
        <f t="shared" si="21"/>
        <v>1</v>
      </c>
      <c r="CO47" s="1">
        <f t="shared" si="21"/>
        <v>1</v>
      </c>
      <c r="CP47" s="1">
        <f t="shared" si="21"/>
        <v>2</v>
      </c>
      <c r="CQ47" s="1">
        <f t="shared" si="21"/>
        <v>2</v>
      </c>
      <c r="CR47" s="1">
        <f t="shared" si="21"/>
        <v>2</v>
      </c>
      <c r="CS47" s="1">
        <f t="shared" si="21"/>
        <v>1</v>
      </c>
      <c r="CT47" s="1">
        <f>COUNTIF(CT$8:CT$39,"m")</f>
        <v>1</v>
      </c>
      <c r="CU47" s="1">
        <f t="shared" si="21"/>
        <v>1</v>
      </c>
      <c r="CV47" s="1">
        <f t="shared" si="21"/>
        <v>1</v>
      </c>
      <c r="CW47" s="1">
        <f t="shared" si="21"/>
        <v>2</v>
      </c>
      <c r="CX47" s="1">
        <f t="shared" si="21"/>
        <v>1</v>
      </c>
      <c r="CY47" s="1">
        <f t="shared" si="21"/>
        <v>2</v>
      </c>
      <c r="CZ47" s="1">
        <f t="shared" si="21"/>
        <v>2</v>
      </c>
      <c r="DA47" s="1">
        <f t="shared" si="21"/>
        <v>2</v>
      </c>
      <c r="DB47" s="1">
        <f t="shared" si="21"/>
        <v>1</v>
      </c>
      <c r="DC47" s="1">
        <f t="shared" si="21"/>
        <v>1</v>
      </c>
      <c r="DD47" s="1">
        <f t="shared" si="21"/>
        <v>1</v>
      </c>
      <c r="DE47" s="1">
        <f t="shared" si="21"/>
        <v>1</v>
      </c>
      <c r="DF47" s="1">
        <f t="shared" si="21"/>
        <v>1</v>
      </c>
      <c r="DG47" s="1">
        <f t="shared" si="21"/>
        <v>2</v>
      </c>
      <c r="DH47" s="1">
        <f t="shared" si="21"/>
        <v>1</v>
      </c>
      <c r="DI47" s="1">
        <f t="shared" si="21"/>
        <v>1</v>
      </c>
      <c r="DJ47" s="1">
        <f t="shared" si="21"/>
        <v>1</v>
      </c>
      <c r="DK47" s="1">
        <f t="shared" si="21"/>
        <v>2</v>
      </c>
      <c r="DL47" s="1">
        <f t="shared" si="21"/>
        <v>1</v>
      </c>
      <c r="DM47" s="1">
        <f t="shared" si="21"/>
        <v>1</v>
      </c>
      <c r="DN47" s="1">
        <f t="shared" si="21"/>
        <v>2</v>
      </c>
      <c r="DO47" s="1">
        <f t="shared" si="21"/>
        <v>2</v>
      </c>
      <c r="DP47" s="1">
        <f t="shared" si="21"/>
        <v>1</v>
      </c>
      <c r="DQ47" s="1">
        <f t="shared" si="21"/>
        <v>1</v>
      </c>
      <c r="DR47" s="1">
        <f t="shared" si="21"/>
        <v>2</v>
      </c>
      <c r="DS47" s="1">
        <f t="shared" si="21"/>
        <v>2</v>
      </c>
      <c r="DT47" s="1">
        <f t="shared" si="21"/>
        <v>1</v>
      </c>
      <c r="DU47" s="1">
        <f t="shared" si="21"/>
        <v>1</v>
      </c>
      <c r="DV47" s="1">
        <f t="shared" si="21"/>
        <v>1</v>
      </c>
      <c r="DW47" s="1">
        <f t="shared" si="21"/>
        <v>1</v>
      </c>
      <c r="DX47" s="1">
        <f t="shared" si="21"/>
        <v>2</v>
      </c>
      <c r="DY47" s="1">
        <f t="shared" si="21"/>
        <v>1</v>
      </c>
      <c r="DZ47" s="1">
        <f t="shared" si="21"/>
        <v>2</v>
      </c>
      <c r="EA47" s="1">
        <f t="shared" si="21"/>
        <v>1</v>
      </c>
      <c r="EB47" s="1">
        <f t="shared" ref="EB47:GM47" si="22">COUNTIF(EB$8:EB$39,"m")</f>
        <v>1</v>
      </c>
      <c r="EC47" s="1">
        <f>COUNTIF(EC$8:EC$39,"m")</f>
        <v>1</v>
      </c>
      <c r="ED47" s="1">
        <f t="shared" si="22"/>
        <v>1</v>
      </c>
      <c r="EE47" s="1">
        <f t="shared" si="22"/>
        <v>2</v>
      </c>
      <c r="EF47" s="1">
        <f t="shared" si="22"/>
        <v>2</v>
      </c>
      <c r="EG47" s="1">
        <f t="shared" si="22"/>
        <v>1</v>
      </c>
      <c r="EH47" s="1">
        <f>COUNTIF(EH$9:EH$39,"m")</f>
        <v>1</v>
      </c>
      <c r="EI47" s="1">
        <f t="shared" si="22"/>
        <v>1</v>
      </c>
      <c r="EJ47" s="1">
        <f>COUNTIF(EJ$7:EJ$39,"m")</f>
        <v>1</v>
      </c>
      <c r="EK47" s="1">
        <f t="shared" si="22"/>
        <v>1</v>
      </c>
      <c r="EL47" s="1">
        <f t="shared" si="22"/>
        <v>1</v>
      </c>
      <c r="EM47" s="1">
        <f t="shared" si="22"/>
        <v>1</v>
      </c>
      <c r="EN47" s="1">
        <f t="shared" si="22"/>
        <v>1</v>
      </c>
      <c r="EO47" s="1">
        <f t="shared" si="22"/>
        <v>2</v>
      </c>
      <c r="EP47" s="1">
        <f t="shared" si="22"/>
        <v>1</v>
      </c>
      <c r="EQ47" s="1">
        <f t="shared" si="22"/>
        <v>1</v>
      </c>
      <c r="ER47" s="1">
        <f t="shared" si="22"/>
        <v>1</v>
      </c>
      <c r="ES47" s="1">
        <f t="shared" si="22"/>
        <v>1</v>
      </c>
      <c r="ET47" s="1">
        <f t="shared" si="22"/>
        <v>1</v>
      </c>
      <c r="EU47" s="1">
        <f t="shared" si="22"/>
        <v>1</v>
      </c>
      <c r="EV47" s="1">
        <f t="shared" si="22"/>
        <v>2</v>
      </c>
      <c r="EW47" s="1">
        <f t="shared" si="22"/>
        <v>2</v>
      </c>
      <c r="EX47" s="1">
        <f t="shared" si="22"/>
        <v>1</v>
      </c>
      <c r="EY47" s="1">
        <f t="shared" si="22"/>
        <v>1</v>
      </c>
      <c r="EZ47" s="1">
        <f t="shared" si="22"/>
        <v>2</v>
      </c>
      <c r="FA47" s="1">
        <f t="shared" si="22"/>
        <v>1</v>
      </c>
      <c r="FB47" s="1">
        <f t="shared" si="22"/>
        <v>1</v>
      </c>
      <c r="FC47" s="1">
        <f t="shared" si="22"/>
        <v>1</v>
      </c>
      <c r="FD47" s="1">
        <f t="shared" si="22"/>
        <v>1</v>
      </c>
      <c r="FE47" s="1">
        <f t="shared" si="22"/>
        <v>2</v>
      </c>
      <c r="FF47" s="1">
        <f t="shared" si="22"/>
        <v>1</v>
      </c>
      <c r="FG47" s="1">
        <f t="shared" si="22"/>
        <v>1</v>
      </c>
      <c r="FH47" s="1">
        <f t="shared" si="22"/>
        <v>2</v>
      </c>
      <c r="FI47" s="1">
        <f t="shared" si="22"/>
        <v>2</v>
      </c>
      <c r="FJ47" s="1">
        <f t="shared" si="22"/>
        <v>1</v>
      </c>
      <c r="FK47" s="1">
        <f t="shared" si="22"/>
        <v>1</v>
      </c>
      <c r="FL47" s="1">
        <f t="shared" si="22"/>
        <v>1</v>
      </c>
      <c r="FM47" s="1">
        <f t="shared" si="22"/>
        <v>1</v>
      </c>
      <c r="FN47" s="1">
        <f t="shared" si="22"/>
        <v>2</v>
      </c>
      <c r="FO47" s="1">
        <f t="shared" si="22"/>
        <v>2</v>
      </c>
      <c r="FP47" s="1">
        <f t="shared" si="22"/>
        <v>2</v>
      </c>
      <c r="FQ47" s="1">
        <f t="shared" si="22"/>
        <v>2</v>
      </c>
      <c r="FR47" s="1">
        <f t="shared" si="22"/>
        <v>2</v>
      </c>
      <c r="FS47" s="1">
        <f t="shared" si="22"/>
        <v>1</v>
      </c>
      <c r="FT47" s="1">
        <f t="shared" si="22"/>
        <v>2</v>
      </c>
      <c r="FU47" s="1">
        <f t="shared" si="22"/>
        <v>1</v>
      </c>
      <c r="FV47" s="1">
        <f t="shared" si="22"/>
        <v>1</v>
      </c>
      <c r="FW47" s="1">
        <f t="shared" si="22"/>
        <v>1</v>
      </c>
      <c r="FX47" s="1">
        <f t="shared" si="22"/>
        <v>1</v>
      </c>
      <c r="FY47" s="1">
        <f t="shared" si="22"/>
        <v>1</v>
      </c>
      <c r="FZ47" s="1">
        <f t="shared" si="22"/>
        <v>1</v>
      </c>
      <c r="GA47" s="1">
        <f t="shared" si="22"/>
        <v>1</v>
      </c>
      <c r="GB47" s="1">
        <f t="shared" si="22"/>
        <v>1</v>
      </c>
      <c r="GC47" s="1">
        <f t="shared" si="22"/>
        <v>1</v>
      </c>
      <c r="GD47" s="1">
        <f t="shared" si="22"/>
        <v>1</v>
      </c>
      <c r="GE47" s="1">
        <f t="shared" si="22"/>
        <v>1</v>
      </c>
      <c r="GF47" s="1">
        <f t="shared" si="22"/>
        <v>1</v>
      </c>
      <c r="GG47" s="1">
        <f t="shared" si="22"/>
        <v>2</v>
      </c>
      <c r="GH47" s="1">
        <f t="shared" si="22"/>
        <v>1</v>
      </c>
      <c r="GI47" s="1">
        <f t="shared" si="22"/>
        <v>2</v>
      </c>
      <c r="GJ47" s="1">
        <f t="shared" si="22"/>
        <v>1</v>
      </c>
      <c r="GK47" s="1">
        <f t="shared" si="22"/>
        <v>1</v>
      </c>
      <c r="GL47" s="1">
        <f t="shared" si="22"/>
        <v>1</v>
      </c>
      <c r="GM47" s="1">
        <f t="shared" si="22"/>
        <v>1</v>
      </c>
      <c r="GN47" s="1">
        <f t="shared" ref="GN47:IY47" si="23">COUNTIF(GN$8:GN$39,"m")</f>
        <v>2</v>
      </c>
      <c r="GO47" s="1">
        <f t="shared" si="23"/>
        <v>2</v>
      </c>
      <c r="GP47" s="1">
        <f t="shared" si="23"/>
        <v>2</v>
      </c>
      <c r="GQ47" s="1">
        <f t="shared" si="23"/>
        <v>2</v>
      </c>
      <c r="GR47" s="1">
        <f t="shared" si="23"/>
        <v>2</v>
      </c>
      <c r="GS47" s="1">
        <f t="shared" si="23"/>
        <v>1</v>
      </c>
      <c r="GT47" s="1">
        <f t="shared" si="23"/>
        <v>1</v>
      </c>
      <c r="GU47" s="1">
        <f t="shared" si="23"/>
        <v>1</v>
      </c>
      <c r="GV47" s="1">
        <f t="shared" si="23"/>
        <v>1</v>
      </c>
      <c r="GW47" s="1">
        <f t="shared" si="23"/>
        <v>1</v>
      </c>
      <c r="GX47" s="1">
        <f t="shared" si="23"/>
        <v>1</v>
      </c>
      <c r="GY47" s="1">
        <f t="shared" si="23"/>
        <v>1</v>
      </c>
      <c r="GZ47" s="1">
        <f t="shared" si="23"/>
        <v>1</v>
      </c>
      <c r="HA47" s="1">
        <f t="shared" si="23"/>
        <v>1</v>
      </c>
      <c r="HB47" s="1">
        <f t="shared" si="23"/>
        <v>1</v>
      </c>
      <c r="HC47" s="1">
        <f t="shared" si="23"/>
        <v>1</v>
      </c>
      <c r="HD47" s="1">
        <f t="shared" si="23"/>
        <v>1</v>
      </c>
      <c r="HE47" s="1">
        <f t="shared" si="23"/>
        <v>1</v>
      </c>
      <c r="HF47" s="1">
        <f t="shared" si="23"/>
        <v>1</v>
      </c>
      <c r="HG47" s="1">
        <f t="shared" si="23"/>
        <v>1</v>
      </c>
      <c r="HH47" s="1">
        <f t="shared" si="23"/>
        <v>1</v>
      </c>
      <c r="HI47" s="1">
        <f t="shared" si="23"/>
        <v>1</v>
      </c>
      <c r="HJ47" s="1">
        <f t="shared" si="23"/>
        <v>1</v>
      </c>
      <c r="HK47" s="1">
        <f t="shared" si="23"/>
        <v>1</v>
      </c>
      <c r="HL47" s="1">
        <f t="shared" si="23"/>
        <v>1</v>
      </c>
      <c r="HM47" s="1">
        <f t="shared" si="23"/>
        <v>1</v>
      </c>
      <c r="HN47" s="1">
        <f t="shared" si="23"/>
        <v>1</v>
      </c>
      <c r="HO47" s="1">
        <f t="shared" si="23"/>
        <v>2</v>
      </c>
      <c r="HP47" s="1">
        <f t="shared" si="23"/>
        <v>2</v>
      </c>
      <c r="HQ47" s="1">
        <f t="shared" si="23"/>
        <v>1</v>
      </c>
      <c r="HR47" s="1">
        <f t="shared" si="23"/>
        <v>1</v>
      </c>
      <c r="HS47" s="1">
        <f t="shared" si="23"/>
        <v>1</v>
      </c>
      <c r="HT47" s="1">
        <f t="shared" si="23"/>
        <v>1</v>
      </c>
      <c r="HU47" s="1">
        <f t="shared" si="23"/>
        <v>1</v>
      </c>
      <c r="HV47" s="1">
        <f t="shared" si="23"/>
        <v>1</v>
      </c>
      <c r="HW47" s="1">
        <f t="shared" si="23"/>
        <v>2</v>
      </c>
      <c r="HX47" s="1">
        <f t="shared" si="23"/>
        <v>2</v>
      </c>
      <c r="HY47" s="1">
        <f t="shared" si="23"/>
        <v>1</v>
      </c>
      <c r="HZ47" s="1">
        <f t="shared" si="23"/>
        <v>1</v>
      </c>
      <c r="IA47" s="1">
        <f t="shared" si="23"/>
        <v>2</v>
      </c>
      <c r="IB47" s="1">
        <f t="shared" si="23"/>
        <v>1</v>
      </c>
      <c r="IC47" s="1">
        <f t="shared" si="23"/>
        <v>1</v>
      </c>
      <c r="ID47" s="1">
        <f t="shared" si="23"/>
        <v>1</v>
      </c>
      <c r="IE47" s="1">
        <f t="shared" si="23"/>
        <v>1</v>
      </c>
      <c r="IF47" s="1">
        <f t="shared" si="23"/>
        <v>1</v>
      </c>
      <c r="IG47" s="1">
        <f t="shared" si="23"/>
        <v>1</v>
      </c>
      <c r="IH47" s="1">
        <f t="shared" si="23"/>
        <v>2</v>
      </c>
      <c r="II47" s="1">
        <f t="shared" si="23"/>
        <v>2</v>
      </c>
      <c r="IJ47" s="1">
        <f t="shared" si="23"/>
        <v>2</v>
      </c>
      <c r="IK47" s="1">
        <f t="shared" si="23"/>
        <v>1</v>
      </c>
      <c r="IL47" s="1">
        <f t="shared" si="23"/>
        <v>1</v>
      </c>
      <c r="IM47" s="1">
        <f t="shared" si="23"/>
        <v>1</v>
      </c>
      <c r="IN47" s="1">
        <f t="shared" si="23"/>
        <v>1</v>
      </c>
      <c r="IO47" s="1">
        <f t="shared" si="23"/>
        <v>1</v>
      </c>
      <c r="IP47" s="1">
        <f t="shared" si="23"/>
        <v>1</v>
      </c>
      <c r="IQ47" s="1">
        <f t="shared" si="23"/>
        <v>1</v>
      </c>
      <c r="IR47" s="1">
        <f t="shared" si="23"/>
        <v>1</v>
      </c>
      <c r="IS47" s="1">
        <f t="shared" si="23"/>
        <v>1</v>
      </c>
      <c r="IT47" s="1">
        <f t="shared" si="23"/>
        <v>1</v>
      </c>
      <c r="IU47" s="1">
        <f t="shared" si="23"/>
        <v>1</v>
      </c>
      <c r="IV47" s="1">
        <f t="shared" si="23"/>
        <v>1</v>
      </c>
      <c r="IW47" s="1">
        <f t="shared" si="23"/>
        <v>1</v>
      </c>
      <c r="IX47" s="1">
        <f t="shared" si="23"/>
        <v>2</v>
      </c>
      <c r="IY47" s="1">
        <f t="shared" si="23"/>
        <v>2</v>
      </c>
      <c r="IZ47" s="1">
        <f t="shared" ref="IZ47:LK47" si="24">COUNTIF(IZ$8:IZ$39,"m")</f>
        <v>1</v>
      </c>
      <c r="JA47" s="1">
        <f t="shared" si="24"/>
        <v>1</v>
      </c>
      <c r="JB47" s="1">
        <f t="shared" si="24"/>
        <v>1</v>
      </c>
      <c r="JC47" s="1">
        <f t="shared" si="24"/>
        <v>1</v>
      </c>
      <c r="JD47" s="1">
        <f t="shared" si="24"/>
        <v>1</v>
      </c>
      <c r="JE47" s="1">
        <f t="shared" si="24"/>
        <v>1</v>
      </c>
      <c r="JF47" s="1">
        <f t="shared" si="24"/>
        <v>2</v>
      </c>
      <c r="JG47" s="1">
        <f t="shared" si="24"/>
        <v>1</v>
      </c>
      <c r="JH47" s="1">
        <f t="shared" si="24"/>
        <v>1</v>
      </c>
      <c r="JI47" s="1">
        <f t="shared" si="24"/>
        <v>1</v>
      </c>
      <c r="JJ47" s="1">
        <f t="shared" si="24"/>
        <v>1</v>
      </c>
      <c r="JK47" s="1">
        <f t="shared" si="24"/>
        <v>1</v>
      </c>
      <c r="JL47" s="1">
        <f t="shared" si="24"/>
        <v>1</v>
      </c>
      <c r="JM47" s="1">
        <f t="shared" si="24"/>
        <v>1</v>
      </c>
      <c r="JN47" s="1">
        <f t="shared" si="24"/>
        <v>1</v>
      </c>
      <c r="JO47" s="1">
        <f t="shared" si="24"/>
        <v>2</v>
      </c>
      <c r="JP47" s="1">
        <f t="shared" si="24"/>
        <v>1</v>
      </c>
      <c r="JQ47" s="1">
        <f t="shared" si="24"/>
        <v>1</v>
      </c>
      <c r="JR47" s="1">
        <f t="shared" si="24"/>
        <v>1</v>
      </c>
      <c r="JS47" s="1">
        <f t="shared" si="24"/>
        <v>1</v>
      </c>
      <c r="JT47" s="1">
        <f t="shared" si="24"/>
        <v>1</v>
      </c>
      <c r="JU47" s="1">
        <f t="shared" si="24"/>
        <v>2</v>
      </c>
      <c r="JV47" s="1">
        <f t="shared" si="24"/>
        <v>1</v>
      </c>
      <c r="JW47" s="1">
        <f t="shared" si="24"/>
        <v>1</v>
      </c>
      <c r="JX47" s="1">
        <f t="shared" si="24"/>
        <v>1</v>
      </c>
      <c r="JY47" s="1">
        <f t="shared" si="24"/>
        <v>1</v>
      </c>
      <c r="JZ47" s="1">
        <f t="shared" si="24"/>
        <v>1</v>
      </c>
      <c r="KA47" s="1">
        <f t="shared" si="24"/>
        <v>1</v>
      </c>
      <c r="KB47" s="1">
        <f t="shared" si="24"/>
        <v>1</v>
      </c>
      <c r="KC47" s="1">
        <f t="shared" si="24"/>
        <v>1</v>
      </c>
      <c r="KD47" s="1">
        <f t="shared" si="24"/>
        <v>1</v>
      </c>
      <c r="KE47" s="1">
        <f t="shared" si="24"/>
        <v>1</v>
      </c>
      <c r="KF47" s="1">
        <f t="shared" si="24"/>
        <v>2</v>
      </c>
      <c r="KG47" s="1">
        <f t="shared" si="24"/>
        <v>2</v>
      </c>
      <c r="KH47" s="1">
        <f t="shared" si="24"/>
        <v>2</v>
      </c>
      <c r="KI47" s="1">
        <f t="shared" si="24"/>
        <v>2</v>
      </c>
      <c r="KJ47" s="1">
        <f t="shared" si="24"/>
        <v>2</v>
      </c>
      <c r="KK47" s="1">
        <f t="shared" si="24"/>
        <v>1</v>
      </c>
      <c r="KL47" s="1">
        <f t="shared" si="24"/>
        <v>1</v>
      </c>
      <c r="KM47" s="1">
        <f t="shared" si="24"/>
        <v>1</v>
      </c>
      <c r="KN47" s="1">
        <f t="shared" si="24"/>
        <v>1</v>
      </c>
      <c r="KO47" s="1">
        <f t="shared" si="24"/>
        <v>2</v>
      </c>
      <c r="KP47" s="1">
        <f t="shared" si="24"/>
        <v>2</v>
      </c>
      <c r="KQ47" s="1">
        <f t="shared" si="24"/>
        <v>2</v>
      </c>
      <c r="KR47" s="1">
        <f t="shared" si="24"/>
        <v>2</v>
      </c>
      <c r="KS47" s="1">
        <f t="shared" si="24"/>
        <v>2</v>
      </c>
      <c r="KT47" s="1">
        <f t="shared" si="24"/>
        <v>1</v>
      </c>
      <c r="KU47" s="1">
        <f t="shared" si="24"/>
        <v>1</v>
      </c>
      <c r="KV47" s="1">
        <f t="shared" si="24"/>
        <v>1</v>
      </c>
      <c r="KW47" s="1">
        <f t="shared" si="24"/>
        <v>1</v>
      </c>
      <c r="KX47" s="1">
        <f t="shared" si="24"/>
        <v>2</v>
      </c>
      <c r="KY47" s="1">
        <f t="shared" si="24"/>
        <v>2</v>
      </c>
      <c r="KZ47" s="1">
        <f t="shared" si="24"/>
        <v>2</v>
      </c>
      <c r="LA47" s="1">
        <f t="shared" si="24"/>
        <v>2</v>
      </c>
      <c r="LB47" s="1">
        <f t="shared" si="24"/>
        <v>2</v>
      </c>
      <c r="LC47" s="1">
        <f t="shared" si="24"/>
        <v>1</v>
      </c>
      <c r="LD47" s="1">
        <f t="shared" si="24"/>
        <v>1</v>
      </c>
      <c r="LE47" s="1">
        <f t="shared" si="24"/>
        <v>1</v>
      </c>
      <c r="LF47" s="1">
        <f t="shared" si="24"/>
        <v>1</v>
      </c>
      <c r="LG47" s="1">
        <f t="shared" si="24"/>
        <v>1</v>
      </c>
      <c r="LH47" s="1">
        <f t="shared" si="24"/>
        <v>1</v>
      </c>
      <c r="LI47" s="1">
        <f t="shared" si="24"/>
        <v>1</v>
      </c>
      <c r="LJ47" s="1">
        <f t="shared" si="24"/>
        <v>1</v>
      </c>
      <c r="LK47" s="1">
        <f t="shared" si="24"/>
        <v>1</v>
      </c>
      <c r="LL47" s="1">
        <f t="shared" ref="LL47:NP47" si="25">COUNTIF(LL$8:LL$39,"m")</f>
        <v>1</v>
      </c>
      <c r="LM47" s="1">
        <f t="shared" si="25"/>
        <v>1</v>
      </c>
      <c r="LN47" s="1">
        <f t="shared" si="25"/>
        <v>1</v>
      </c>
      <c r="LO47" s="1">
        <f t="shared" si="25"/>
        <v>2</v>
      </c>
      <c r="LP47" s="1">
        <f t="shared" si="25"/>
        <v>2</v>
      </c>
      <c r="LQ47" s="1">
        <f t="shared" si="25"/>
        <v>2</v>
      </c>
      <c r="LR47" s="1">
        <f t="shared" si="25"/>
        <v>2</v>
      </c>
      <c r="LS47" s="1">
        <f t="shared" si="25"/>
        <v>2</v>
      </c>
      <c r="LT47" s="1">
        <f t="shared" si="25"/>
        <v>1</v>
      </c>
      <c r="LU47" s="1">
        <f t="shared" si="25"/>
        <v>1</v>
      </c>
      <c r="LV47" s="1">
        <f t="shared" si="25"/>
        <v>1</v>
      </c>
      <c r="LW47" s="1">
        <f t="shared" si="25"/>
        <v>1</v>
      </c>
      <c r="LX47" s="1">
        <f t="shared" si="25"/>
        <v>2</v>
      </c>
      <c r="LY47" s="1">
        <f t="shared" si="25"/>
        <v>2</v>
      </c>
      <c r="LZ47" s="1">
        <f t="shared" si="25"/>
        <v>2</v>
      </c>
      <c r="MA47" s="1">
        <f t="shared" si="25"/>
        <v>2</v>
      </c>
      <c r="MB47" s="1">
        <f t="shared" si="25"/>
        <v>2</v>
      </c>
      <c r="MC47" s="1">
        <f t="shared" si="25"/>
        <v>1</v>
      </c>
      <c r="MD47" s="1">
        <f t="shared" si="25"/>
        <v>1</v>
      </c>
      <c r="ME47" s="1">
        <f t="shared" si="25"/>
        <v>1</v>
      </c>
      <c r="MF47" s="1">
        <f t="shared" si="25"/>
        <v>1</v>
      </c>
      <c r="MG47" s="1">
        <f t="shared" si="25"/>
        <v>2</v>
      </c>
      <c r="MH47" s="1">
        <f t="shared" si="25"/>
        <v>2</v>
      </c>
      <c r="MI47" s="1">
        <f t="shared" si="25"/>
        <v>2</v>
      </c>
      <c r="MJ47" s="1">
        <f t="shared" si="25"/>
        <v>2</v>
      </c>
      <c r="MK47" s="1">
        <f t="shared" si="25"/>
        <v>2</v>
      </c>
      <c r="ML47" s="1">
        <f t="shared" si="25"/>
        <v>1</v>
      </c>
      <c r="MM47" s="1">
        <f t="shared" si="25"/>
        <v>2</v>
      </c>
      <c r="MN47" s="1">
        <f t="shared" si="25"/>
        <v>1</v>
      </c>
      <c r="MO47" s="1">
        <f t="shared" si="25"/>
        <v>1</v>
      </c>
      <c r="MP47" s="1">
        <f t="shared" si="25"/>
        <v>1</v>
      </c>
      <c r="MQ47" s="1">
        <f t="shared" si="25"/>
        <v>1</v>
      </c>
      <c r="MR47" s="1">
        <f t="shared" si="25"/>
        <v>1</v>
      </c>
      <c r="MS47" s="1">
        <f t="shared" si="25"/>
        <v>1</v>
      </c>
      <c r="MT47" s="1">
        <f t="shared" si="25"/>
        <v>1</v>
      </c>
      <c r="MU47" s="1">
        <f t="shared" si="25"/>
        <v>1</v>
      </c>
      <c r="MV47" s="1">
        <f t="shared" si="25"/>
        <v>1</v>
      </c>
      <c r="MW47" s="1">
        <f t="shared" si="25"/>
        <v>1</v>
      </c>
      <c r="MX47" s="1">
        <f t="shared" si="25"/>
        <v>2</v>
      </c>
      <c r="MY47" s="1">
        <f t="shared" si="25"/>
        <v>2</v>
      </c>
      <c r="MZ47" s="1">
        <f t="shared" si="25"/>
        <v>2</v>
      </c>
      <c r="NA47" s="1">
        <f t="shared" si="25"/>
        <v>2</v>
      </c>
      <c r="NB47" s="1">
        <f t="shared" si="25"/>
        <v>2</v>
      </c>
      <c r="NC47" s="1">
        <f t="shared" si="25"/>
        <v>1</v>
      </c>
      <c r="ND47" s="1">
        <f t="shared" si="25"/>
        <v>1</v>
      </c>
      <c r="NE47" s="1">
        <f t="shared" si="25"/>
        <v>1</v>
      </c>
      <c r="NF47" s="1">
        <f t="shared" si="25"/>
        <v>1</v>
      </c>
      <c r="NG47" s="1">
        <f t="shared" si="25"/>
        <v>1</v>
      </c>
      <c r="NH47" s="1">
        <f t="shared" si="25"/>
        <v>1</v>
      </c>
      <c r="NI47" s="1">
        <f t="shared" si="25"/>
        <v>2</v>
      </c>
      <c r="NJ47" s="1">
        <f t="shared" si="25"/>
        <v>2</v>
      </c>
      <c r="NK47" s="1">
        <f t="shared" si="25"/>
        <v>2</v>
      </c>
      <c r="NL47" s="1">
        <f t="shared" si="25"/>
        <v>1</v>
      </c>
      <c r="NM47" s="1">
        <f t="shared" si="25"/>
        <v>1</v>
      </c>
      <c r="NN47" s="1">
        <f t="shared" si="25"/>
        <v>1</v>
      </c>
      <c r="NO47" s="1">
        <f t="shared" si="25"/>
        <v>1</v>
      </c>
      <c r="NP47" s="1">
        <f t="shared" si="25"/>
        <v>1</v>
      </c>
      <c r="OA47" s="146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 s="147"/>
    </row>
    <row r="48" spans="1:449" s="1" customFormat="1">
      <c r="A48" s="102" t="s">
        <v>4</v>
      </c>
      <c r="B48" s="99" t="s">
        <v>5</v>
      </c>
      <c r="C48" s="1">
        <f>COUNTIF(C$8:C$39,"n")</f>
        <v>1</v>
      </c>
      <c r="D48" s="1">
        <f t="shared" ref="D48:BO48" si="26">COUNTIF(D$8:D$39,"n")</f>
        <v>1</v>
      </c>
      <c r="E48" s="1">
        <f t="shared" si="26"/>
        <v>1</v>
      </c>
      <c r="F48" s="1">
        <f t="shared" si="26"/>
        <v>1</v>
      </c>
      <c r="G48" s="1">
        <f t="shared" si="26"/>
        <v>1</v>
      </c>
      <c r="H48" s="1">
        <f t="shared" si="26"/>
        <v>1</v>
      </c>
      <c r="I48" s="1">
        <f t="shared" si="26"/>
        <v>1</v>
      </c>
      <c r="J48" s="1">
        <f t="shared" si="26"/>
        <v>1</v>
      </c>
      <c r="K48" s="1">
        <f t="shared" si="26"/>
        <v>1</v>
      </c>
      <c r="L48" s="1">
        <f t="shared" si="26"/>
        <v>1</v>
      </c>
      <c r="M48" s="1">
        <f t="shared" si="26"/>
        <v>1</v>
      </c>
      <c r="N48" s="1">
        <f t="shared" si="26"/>
        <v>1</v>
      </c>
      <c r="O48" s="1">
        <f t="shared" si="26"/>
        <v>1</v>
      </c>
      <c r="P48" s="1">
        <f t="shared" si="26"/>
        <v>1</v>
      </c>
      <c r="Q48" s="1">
        <f t="shared" si="26"/>
        <v>1</v>
      </c>
      <c r="R48" s="1">
        <f t="shared" si="26"/>
        <v>1</v>
      </c>
      <c r="S48" s="1">
        <f t="shared" si="26"/>
        <v>1</v>
      </c>
      <c r="T48" s="1">
        <f t="shared" si="26"/>
        <v>1</v>
      </c>
      <c r="U48" s="1">
        <f t="shared" si="26"/>
        <v>1</v>
      </c>
      <c r="V48" s="1">
        <f t="shared" si="26"/>
        <v>1</v>
      </c>
      <c r="W48" s="1">
        <f t="shared" si="26"/>
        <v>1</v>
      </c>
      <c r="X48" s="1">
        <f t="shared" si="26"/>
        <v>1</v>
      </c>
      <c r="Y48" s="1">
        <f t="shared" si="26"/>
        <v>1</v>
      </c>
      <c r="Z48" s="1">
        <f t="shared" si="26"/>
        <v>1</v>
      </c>
      <c r="AA48" s="1">
        <f t="shared" si="26"/>
        <v>1</v>
      </c>
      <c r="AB48" s="1">
        <f t="shared" si="26"/>
        <v>1</v>
      </c>
      <c r="AC48" s="1">
        <f t="shared" si="26"/>
        <v>1</v>
      </c>
      <c r="AD48" s="1">
        <f t="shared" si="26"/>
        <v>1</v>
      </c>
      <c r="AE48" s="1">
        <f t="shared" si="26"/>
        <v>1</v>
      </c>
      <c r="AF48" s="1">
        <f t="shared" si="26"/>
        <v>1</v>
      </c>
      <c r="AG48" s="1">
        <f t="shared" si="26"/>
        <v>1</v>
      </c>
      <c r="AH48" s="1">
        <f t="shared" si="26"/>
        <v>1</v>
      </c>
      <c r="AI48" s="1">
        <f t="shared" si="26"/>
        <v>1</v>
      </c>
      <c r="AJ48" s="1">
        <f t="shared" si="26"/>
        <v>1</v>
      </c>
      <c r="AK48" s="1">
        <f t="shared" si="26"/>
        <v>1</v>
      </c>
      <c r="AL48" s="1">
        <f t="shared" si="26"/>
        <v>1</v>
      </c>
      <c r="AM48" s="1">
        <f t="shared" si="26"/>
        <v>1</v>
      </c>
      <c r="AN48" s="1">
        <f t="shared" si="26"/>
        <v>1</v>
      </c>
      <c r="AO48" s="1">
        <f t="shared" si="26"/>
        <v>1</v>
      </c>
      <c r="AP48" s="1">
        <f t="shared" si="26"/>
        <v>1</v>
      </c>
      <c r="AQ48" s="1">
        <f t="shared" si="26"/>
        <v>1</v>
      </c>
      <c r="AR48" s="1">
        <f t="shared" si="26"/>
        <v>1</v>
      </c>
      <c r="AS48" s="1">
        <f t="shared" si="26"/>
        <v>1</v>
      </c>
      <c r="AT48" s="1">
        <f t="shared" si="26"/>
        <v>1</v>
      </c>
      <c r="AU48" s="1">
        <f t="shared" si="26"/>
        <v>1</v>
      </c>
      <c r="AV48" s="1">
        <f t="shared" si="26"/>
        <v>1</v>
      </c>
      <c r="AW48" s="1">
        <f t="shared" si="26"/>
        <v>1</v>
      </c>
      <c r="AX48" s="1">
        <f t="shared" si="26"/>
        <v>1</v>
      </c>
      <c r="AY48" s="1">
        <f t="shared" si="26"/>
        <v>1</v>
      </c>
      <c r="AZ48" s="1">
        <f t="shared" si="26"/>
        <v>1</v>
      </c>
      <c r="BA48" s="1">
        <f t="shared" si="26"/>
        <v>1</v>
      </c>
      <c r="BB48" s="1">
        <f t="shared" si="26"/>
        <v>1</v>
      </c>
      <c r="BC48" s="1">
        <f t="shared" si="26"/>
        <v>1</v>
      </c>
      <c r="BD48" s="1">
        <f t="shared" si="26"/>
        <v>1</v>
      </c>
      <c r="BE48" s="1">
        <f t="shared" si="26"/>
        <v>1</v>
      </c>
      <c r="BF48" s="1">
        <f t="shared" si="26"/>
        <v>1</v>
      </c>
      <c r="BG48" s="1">
        <f t="shared" si="26"/>
        <v>1</v>
      </c>
      <c r="BH48" s="1">
        <f>COUNTIF(BH$9:BH$39,"n")</f>
        <v>1</v>
      </c>
      <c r="BI48" s="1">
        <f>COUNTIF(BI$9:BI$39,"n")</f>
        <v>1</v>
      </c>
      <c r="BJ48" s="1">
        <f t="shared" si="26"/>
        <v>1</v>
      </c>
      <c r="BK48" s="1">
        <f t="shared" si="26"/>
        <v>1</v>
      </c>
      <c r="BL48" s="1">
        <f t="shared" si="26"/>
        <v>1</v>
      </c>
      <c r="BM48" s="1">
        <f t="shared" si="26"/>
        <v>1</v>
      </c>
      <c r="BN48" s="1">
        <f t="shared" si="26"/>
        <v>1</v>
      </c>
      <c r="BO48" s="1">
        <f t="shared" si="26"/>
        <v>1</v>
      </c>
      <c r="BP48" s="1">
        <f t="shared" ref="BP48:EA48" si="27">COUNTIF(BP$8:BP$39,"n")</f>
        <v>1</v>
      </c>
      <c r="BQ48" s="1">
        <f t="shared" si="27"/>
        <v>1</v>
      </c>
      <c r="BR48" s="1">
        <f t="shared" si="27"/>
        <v>1</v>
      </c>
      <c r="BS48" s="1">
        <f t="shared" si="27"/>
        <v>1</v>
      </c>
      <c r="BT48" s="1">
        <f t="shared" si="27"/>
        <v>1</v>
      </c>
      <c r="BU48" s="1">
        <f t="shared" si="27"/>
        <v>1</v>
      </c>
      <c r="BV48" s="1">
        <f t="shared" si="27"/>
        <v>1</v>
      </c>
      <c r="BW48" s="1">
        <f t="shared" si="27"/>
        <v>1</v>
      </c>
      <c r="BX48" s="1">
        <f t="shared" si="27"/>
        <v>1</v>
      </c>
      <c r="BY48" s="1">
        <f t="shared" si="27"/>
        <v>1</v>
      </c>
      <c r="BZ48" s="1">
        <f t="shared" si="27"/>
        <v>1</v>
      </c>
      <c r="CA48" s="1">
        <f t="shared" si="27"/>
        <v>1</v>
      </c>
      <c r="CB48" s="1">
        <f t="shared" si="27"/>
        <v>1</v>
      </c>
      <c r="CC48" s="1">
        <f t="shared" si="27"/>
        <v>1</v>
      </c>
      <c r="CD48" s="1">
        <f t="shared" si="27"/>
        <v>1</v>
      </c>
      <c r="CE48" s="1">
        <f t="shared" si="27"/>
        <v>1</v>
      </c>
      <c r="CF48" s="1">
        <f t="shared" si="27"/>
        <v>1</v>
      </c>
      <c r="CG48" s="1">
        <f t="shared" si="27"/>
        <v>1</v>
      </c>
      <c r="CH48" s="1">
        <f t="shared" si="27"/>
        <v>1</v>
      </c>
      <c r="CI48" s="1">
        <f t="shared" si="27"/>
        <v>2</v>
      </c>
      <c r="CJ48" s="1">
        <f t="shared" si="27"/>
        <v>1</v>
      </c>
      <c r="CK48" s="1">
        <f t="shared" si="27"/>
        <v>1</v>
      </c>
      <c r="CL48" s="1">
        <f t="shared" si="27"/>
        <v>1</v>
      </c>
      <c r="CM48" s="1">
        <f t="shared" si="27"/>
        <v>1</v>
      </c>
      <c r="CN48" s="1">
        <f t="shared" si="27"/>
        <v>1</v>
      </c>
      <c r="CO48" s="1">
        <f t="shared" si="27"/>
        <v>1</v>
      </c>
      <c r="CP48" s="1">
        <f t="shared" si="27"/>
        <v>1</v>
      </c>
      <c r="CQ48" s="1">
        <f t="shared" si="27"/>
        <v>1</v>
      </c>
      <c r="CR48" s="1">
        <f t="shared" si="27"/>
        <v>1</v>
      </c>
      <c r="CS48" s="1">
        <f t="shared" si="27"/>
        <v>1</v>
      </c>
      <c r="CT48" s="1">
        <f>COUNTIF(CT$8:CT$39,"n")</f>
        <v>1</v>
      </c>
      <c r="CU48" s="1">
        <f t="shared" si="27"/>
        <v>1</v>
      </c>
      <c r="CV48" s="1">
        <f t="shared" si="27"/>
        <v>1</v>
      </c>
      <c r="CW48" s="1">
        <f t="shared" si="27"/>
        <v>1</v>
      </c>
      <c r="CX48" s="1">
        <f t="shared" si="27"/>
        <v>1</v>
      </c>
      <c r="CY48" s="1">
        <f t="shared" si="27"/>
        <v>1</v>
      </c>
      <c r="CZ48" s="1">
        <f t="shared" si="27"/>
        <v>1</v>
      </c>
      <c r="DA48" s="1">
        <f t="shared" si="27"/>
        <v>1</v>
      </c>
      <c r="DB48" s="1">
        <f t="shared" si="27"/>
        <v>1</v>
      </c>
      <c r="DC48" s="1">
        <f t="shared" si="27"/>
        <v>1</v>
      </c>
      <c r="DD48" s="1">
        <f t="shared" si="27"/>
        <v>1</v>
      </c>
      <c r="DE48" s="1">
        <f t="shared" si="27"/>
        <v>1</v>
      </c>
      <c r="DF48" s="1">
        <f t="shared" si="27"/>
        <v>1</v>
      </c>
      <c r="DG48" s="1">
        <f t="shared" si="27"/>
        <v>1</v>
      </c>
      <c r="DH48" s="1">
        <f t="shared" si="27"/>
        <v>1</v>
      </c>
      <c r="DI48" s="1">
        <f t="shared" si="27"/>
        <v>2</v>
      </c>
      <c r="DJ48" s="1">
        <f t="shared" si="27"/>
        <v>1</v>
      </c>
      <c r="DK48" s="1">
        <f t="shared" si="27"/>
        <v>1</v>
      </c>
      <c r="DL48" s="1">
        <f t="shared" si="27"/>
        <v>1</v>
      </c>
      <c r="DM48" s="1">
        <f t="shared" si="27"/>
        <v>1</v>
      </c>
      <c r="DN48" s="1">
        <f t="shared" si="27"/>
        <v>1</v>
      </c>
      <c r="DO48" s="1">
        <f t="shared" si="27"/>
        <v>1</v>
      </c>
      <c r="DP48" s="1">
        <f t="shared" si="27"/>
        <v>1</v>
      </c>
      <c r="DQ48" s="1">
        <f t="shared" si="27"/>
        <v>1</v>
      </c>
      <c r="DR48" s="1">
        <f t="shared" si="27"/>
        <v>2</v>
      </c>
      <c r="DS48" s="1">
        <f t="shared" si="27"/>
        <v>1</v>
      </c>
      <c r="DT48" s="1">
        <f t="shared" si="27"/>
        <v>1</v>
      </c>
      <c r="DU48" s="1">
        <f t="shared" si="27"/>
        <v>1</v>
      </c>
      <c r="DV48" s="1">
        <f t="shared" si="27"/>
        <v>1</v>
      </c>
      <c r="DW48" s="1">
        <f t="shared" si="27"/>
        <v>1</v>
      </c>
      <c r="DX48" s="1">
        <f t="shared" si="27"/>
        <v>1</v>
      </c>
      <c r="DY48" s="1">
        <f t="shared" si="27"/>
        <v>1</v>
      </c>
      <c r="DZ48" s="1">
        <f t="shared" si="27"/>
        <v>1</v>
      </c>
      <c r="EA48" s="1">
        <f t="shared" si="27"/>
        <v>2</v>
      </c>
      <c r="EB48" s="1">
        <f t="shared" ref="EB48:GM48" si="28">COUNTIF(EB$8:EB$39,"n")</f>
        <v>1</v>
      </c>
      <c r="EC48" s="1">
        <f t="shared" si="28"/>
        <v>1</v>
      </c>
      <c r="ED48" s="1">
        <f t="shared" si="28"/>
        <v>1</v>
      </c>
      <c r="EE48" s="1">
        <f t="shared" si="28"/>
        <v>1</v>
      </c>
      <c r="EF48" s="1">
        <f t="shared" si="28"/>
        <v>1</v>
      </c>
      <c r="EG48" s="1">
        <f t="shared" si="28"/>
        <v>1</v>
      </c>
      <c r="EH48" s="1">
        <f>COUNTIF(EH$9:EH$39,"n")</f>
        <v>1</v>
      </c>
      <c r="EI48" s="1">
        <f t="shared" si="28"/>
        <v>1</v>
      </c>
      <c r="EJ48" s="1">
        <f>COUNTIF(EJ$7:EJ$39,"n")</f>
        <v>1</v>
      </c>
      <c r="EK48" s="1">
        <f t="shared" si="28"/>
        <v>1</v>
      </c>
      <c r="EL48" s="1">
        <f t="shared" si="28"/>
        <v>1</v>
      </c>
      <c r="EM48" s="1">
        <f t="shared" si="28"/>
        <v>1</v>
      </c>
      <c r="EN48" s="1">
        <f t="shared" si="28"/>
        <v>1</v>
      </c>
      <c r="EO48" s="1">
        <f t="shared" si="28"/>
        <v>1</v>
      </c>
      <c r="EP48" s="1">
        <f t="shared" si="28"/>
        <v>1</v>
      </c>
      <c r="EQ48" s="1">
        <f t="shared" si="28"/>
        <v>1</v>
      </c>
      <c r="ER48" s="1">
        <f t="shared" si="28"/>
        <v>1</v>
      </c>
      <c r="ES48" s="1">
        <f t="shared" si="28"/>
        <v>0</v>
      </c>
      <c r="ET48" s="1">
        <f t="shared" si="28"/>
        <v>1</v>
      </c>
      <c r="EU48" s="1">
        <f t="shared" si="28"/>
        <v>1</v>
      </c>
      <c r="EV48" s="1">
        <f t="shared" si="28"/>
        <v>1</v>
      </c>
      <c r="EW48" s="1">
        <f t="shared" si="28"/>
        <v>1</v>
      </c>
      <c r="EX48" s="1">
        <f t="shared" si="28"/>
        <v>2</v>
      </c>
      <c r="EY48" s="1">
        <f t="shared" si="28"/>
        <v>1</v>
      </c>
      <c r="EZ48" s="1">
        <f t="shared" si="28"/>
        <v>1</v>
      </c>
      <c r="FA48" s="1">
        <f t="shared" si="28"/>
        <v>2</v>
      </c>
      <c r="FB48" s="1">
        <f t="shared" si="28"/>
        <v>1</v>
      </c>
      <c r="FC48" s="1">
        <f t="shared" si="28"/>
        <v>0</v>
      </c>
      <c r="FD48" s="1">
        <f t="shared" si="28"/>
        <v>2</v>
      </c>
      <c r="FE48" s="1">
        <f t="shared" si="28"/>
        <v>1</v>
      </c>
      <c r="FF48" s="1">
        <f t="shared" si="28"/>
        <v>1</v>
      </c>
      <c r="FG48" s="1">
        <f t="shared" si="28"/>
        <v>2</v>
      </c>
      <c r="FH48" s="1">
        <f t="shared" si="28"/>
        <v>2</v>
      </c>
      <c r="FI48" s="1">
        <f t="shared" si="28"/>
        <v>2</v>
      </c>
      <c r="FJ48" s="1">
        <f t="shared" si="28"/>
        <v>2</v>
      </c>
      <c r="FK48" s="1">
        <f t="shared" si="28"/>
        <v>2</v>
      </c>
      <c r="FL48" s="1">
        <f t="shared" si="28"/>
        <v>1</v>
      </c>
      <c r="FM48" s="1">
        <f t="shared" si="28"/>
        <v>1</v>
      </c>
      <c r="FN48" s="1">
        <f t="shared" si="28"/>
        <v>1</v>
      </c>
      <c r="FO48" s="1">
        <f t="shared" si="28"/>
        <v>1</v>
      </c>
      <c r="FP48" s="1">
        <f t="shared" si="28"/>
        <v>1</v>
      </c>
      <c r="FQ48" s="1">
        <f t="shared" si="28"/>
        <v>1</v>
      </c>
      <c r="FR48" s="1">
        <f t="shared" si="28"/>
        <v>1</v>
      </c>
      <c r="FS48" s="1">
        <f t="shared" si="28"/>
        <v>1</v>
      </c>
      <c r="FT48" s="1">
        <f t="shared" si="28"/>
        <v>1</v>
      </c>
      <c r="FU48" s="1">
        <f t="shared" si="28"/>
        <v>1</v>
      </c>
      <c r="FV48" s="1">
        <f t="shared" si="28"/>
        <v>1</v>
      </c>
      <c r="FW48" s="1">
        <f t="shared" si="28"/>
        <v>1</v>
      </c>
      <c r="FX48" s="1">
        <f t="shared" si="28"/>
        <v>1</v>
      </c>
      <c r="FY48" s="1">
        <f t="shared" si="28"/>
        <v>1</v>
      </c>
      <c r="FZ48" s="1">
        <f t="shared" si="28"/>
        <v>1</v>
      </c>
      <c r="GA48" s="1">
        <f t="shared" si="28"/>
        <v>1</v>
      </c>
      <c r="GB48" s="1">
        <f t="shared" si="28"/>
        <v>1</v>
      </c>
      <c r="GC48" s="1">
        <f t="shared" si="28"/>
        <v>1</v>
      </c>
      <c r="GD48" s="1">
        <f t="shared" si="28"/>
        <v>1</v>
      </c>
      <c r="GE48" s="1">
        <f t="shared" si="28"/>
        <v>1</v>
      </c>
      <c r="GF48" s="1">
        <f t="shared" si="28"/>
        <v>1</v>
      </c>
      <c r="GG48" s="1">
        <f t="shared" si="28"/>
        <v>1</v>
      </c>
      <c r="GH48" s="1">
        <f t="shared" si="28"/>
        <v>1</v>
      </c>
      <c r="GI48" s="1">
        <f t="shared" si="28"/>
        <v>1</v>
      </c>
      <c r="GJ48" s="1">
        <f t="shared" si="28"/>
        <v>1</v>
      </c>
      <c r="GK48" s="1">
        <f t="shared" si="28"/>
        <v>2</v>
      </c>
      <c r="GL48" s="1">
        <f t="shared" si="28"/>
        <v>1</v>
      </c>
      <c r="GM48" s="1">
        <f t="shared" si="28"/>
        <v>2</v>
      </c>
      <c r="GN48" s="1">
        <f t="shared" ref="GN48:IY48" si="29">COUNTIF(GN$8:GN$39,"n")</f>
        <v>1</v>
      </c>
      <c r="GO48" s="1">
        <f t="shared" si="29"/>
        <v>1</v>
      </c>
      <c r="GP48" s="1">
        <f t="shared" si="29"/>
        <v>2</v>
      </c>
      <c r="GQ48" s="1">
        <f t="shared" si="29"/>
        <v>2</v>
      </c>
      <c r="GR48" s="1">
        <f t="shared" si="29"/>
        <v>2</v>
      </c>
      <c r="GS48" s="1">
        <f t="shared" si="29"/>
        <v>2</v>
      </c>
      <c r="GT48" s="1">
        <f t="shared" si="29"/>
        <v>1</v>
      </c>
      <c r="GU48" s="1">
        <f t="shared" si="29"/>
        <v>1</v>
      </c>
      <c r="GV48" s="1">
        <f t="shared" si="29"/>
        <v>2</v>
      </c>
      <c r="GW48" s="1">
        <f t="shared" si="29"/>
        <v>1</v>
      </c>
      <c r="GX48" s="1">
        <f t="shared" si="29"/>
        <v>1</v>
      </c>
      <c r="GY48" s="1">
        <f t="shared" si="29"/>
        <v>1</v>
      </c>
      <c r="GZ48" s="1">
        <f t="shared" si="29"/>
        <v>1</v>
      </c>
      <c r="HA48" s="1">
        <f t="shared" si="29"/>
        <v>1</v>
      </c>
      <c r="HB48" s="1">
        <f t="shared" si="29"/>
        <v>1</v>
      </c>
      <c r="HC48" s="1">
        <f t="shared" si="29"/>
        <v>1</v>
      </c>
      <c r="HD48" s="1">
        <f t="shared" si="29"/>
        <v>1</v>
      </c>
      <c r="HE48" s="1">
        <f t="shared" si="29"/>
        <v>1</v>
      </c>
      <c r="HF48" s="1">
        <f t="shared" si="29"/>
        <v>1</v>
      </c>
      <c r="HG48" s="1">
        <f t="shared" si="29"/>
        <v>1</v>
      </c>
      <c r="HH48" s="1">
        <f t="shared" si="29"/>
        <v>2</v>
      </c>
      <c r="HI48" s="1">
        <f t="shared" si="29"/>
        <v>2</v>
      </c>
      <c r="HJ48" s="1">
        <f t="shared" si="29"/>
        <v>1</v>
      </c>
      <c r="HK48" s="1">
        <f t="shared" si="29"/>
        <v>1</v>
      </c>
      <c r="HL48" s="1">
        <f t="shared" si="29"/>
        <v>1</v>
      </c>
      <c r="HM48" s="1">
        <f t="shared" si="29"/>
        <v>1</v>
      </c>
      <c r="HN48" s="1">
        <f t="shared" si="29"/>
        <v>1</v>
      </c>
      <c r="HO48" s="1">
        <f t="shared" si="29"/>
        <v>1</v>
      </c>
      <c r="HP48" s="1">
        <f t="shared" si="29"/>
        <v>1</v>
      </c>
      <c r="HQ48" s="1">
        <f t="shared" si="29"/>
        <v>2</v>
      </c>
      <c r="HR48" s="1">
        <f t="shared" si="29"/>
        <v>1</v>
      </c>
      <c r="HS48" s="1">
        <f t="shared" si="29"/>
        <v>1</v>
      </c>
      <c r="HT48" s="1">
        <f t="shared" si="29"/>
        <v>1</v>
      </c>
      <c r="HU48" s="1">
        <f t="shared" si="29"/>
        <v>1</v>
      </c>
      <c r="HV48" s="1">
        <f t="shared" si="29"/>
        <v>1</v>
      </c>
      <c r="HW48" s="1">
        <f t="shared" si="29"/>
        <v>1</v>
      </c>
      <c r="HX48" s="1">
        <f t="shared" si="29"/>
        <v>1</v>
      </c>
      <c r="HY48" s="1">
        <f t="shared" si="29"/>
        <v>1</v>
      </c>
      <c r="HZ48" s="1">
        <f t="shared" si="29"/>
        <v>2</v>
      </c>
      <c r="IA48" s="1">
        <f t="shared" si="29"/>
        <v>1</v>
      </c>
      <c r="IB48" s="1">
        <f t="shared" si="29"/>
        <v>1</v>
      </c>
      <c r="IC48" s="1">
        <f t="shared" si="29"/>
        <v>2</v>
      </c>
      <c r="ID48" s="1">
        <f t="shared" si="29"/>
        <v>1</v>
      </c>
      <c r="IE48" s="1">
        <f t="shared" si="29"/>
        <v>1</v>
      </c>
      <c r="IF48" s="1">
        <f t="shared" si="29"/>
        <v>1</v>
      </c>
      <c r="IG48" s="1">
        <f t="shared" si="29"/>
        <v>1</v>
      </c>
      <c r="IH48" s="1">
        <f t="shared" si="29"/>
        <v>1</v>
      </c>
      <c r="II48" s="1">
        <f t="shared" si="29"/>
        <v>1</v>
      </c>
      <c r="IJ48" s="1">
        <f t="shared" si="29"/>
        <v>1</v>
      </c>
      <c r="IK48" s="1">
        <f t="shared" si="29"/>
        <v>1</v>
      </c>
      <c r="IL48" s="1">
        <f t="shared" si="29"/>
        <v>1</v>
      </c>
      <c r="IM48" s="1">
        <f t="shared" si="29"/>
        <v>1</v>
      </c>
      <c r="IN48" s="1">
        <f t="shared" si="29"/>
        <v>1</v>
      </c>
      <c r="IO48" s="1">
        <f t="shared" si="29"/>
        <v>1</v>
      </c>
      <c r="IP48" s="1">
        <f t="shared" si="29"/>
        <v>1</v>
      </c>
      <c r="IQ48" s="1">
        <f t="shared" si="29"/>
        <v>1</v>
      </c>
      <c r="IR48" s="1">
        <f t="shared" si="29"/>
        <v>1</v>
      </c>
      <c r="IS48" s="1">
        <f t="shared" si="29"/>
        <v>2</v>
      </c>
      <c r="IT48" s="1">
        <f t="shared" si="29"/>
        <v>2</v>
      </c>
      <c r="IU48" s="1">
        <f t="shared" si="29"/>
        <v>1</v>
      </c>
      <c r="IV48" s="1">
        <f t="shared" si="29"/>
        <v>1</v>
      </c>
      <c r="IW48" s="1">
        <f t="shared" si="29"/>
        <v>1</v>
      </c>
      <c r="IX48" s="1">
        <f t="shared" si="29"/>
        <v>1</v>
      </c>
      <c r="IY48" s="1">
        <f t="shared" si="29"/>
        <v>1</v>
      </c>
      <c r="IZ48" s="1">
        <f t="shared" ref="IZ48:LK48" si="30">COUNTIF(IZ$8:IZ$39,"n")</f>
        <v>2</v>
      </c>
      <c r="JA48" s="1">
        <f t="shared" si="30"/>
        <v>1</v>
      </c>
      <c r="JB48" s="1">
        <f t="shared" si="30"/>
        <v>1</v>
      </c>
      <c r="JC48" s="1">
        <f t="shared" si="30"/>
        <v>1</v>
      </c>
      <c r="JD48" s="1">
        <f t="shared" si="30"/>
        <v>1</v>
      </c>
      <c r="JE48" s="1">
        <f t="shared" si="30"/>
        <v>2</v>
      </c>
      <c r="JF48" s="1">
        <f t="shared" si="30"/>
        <v>1</v>
      </c>
      <c r="JG48" s="1">
        <f t="shared" si="30"/>
        <v>1</v>
      </c>
      <c r="JH48" s="1">
        <f t="shared" si="30"/>
        <v>1</v>
      </c>
      <c r="JI48" s="1">
        <f t="shared" si="30"/>
        <v>1</v>
      </c>
      <c r="JJ48" s="1">
        <f t="shared" si="30"/>
        <v>1</v>
      </c>
      <c r="JK48" s="1">
        <f t="shared" si="30"/>
        <v>1</v>
      </c>
      <c r="JL48" s="1">
        <f t="shared" si="30"/>
        <v>1</v>
      </c>
      <c r="JM48" s="1">
        <f t="shared" si="30"/>
        <v>1</v>
      </c>
      <c r="JN48" s="1">
        <f t="shared" si="30"/>
        <v>2</v>
      </c>
      <c r="JO48" s="1">
        <f t="shared" si="30"/>
        <v>1</v>
      </c>
      <c r="JP48" s="1">
        <f t="shared" si="30"/>
        <v>1</v>
      </c>
      <c r="JQ48" s="1">
        <f t="shared" si="30"/>
        <v>1</v>
      </c>
      <c r="JR48" s="1">
        <f t="shared" si="30"/>
        <v>1</v>
      </c>
      <c r="JS48" s="1">
        <f t="shared" si="30"/>
        <v>1</v>
      </c>
      <c r="JT48" s="1">
        <f t="shared" si="30"/>
        <v>0</v>
      </c>
      <c r="JU48" s="1">
        <f t="shared" si="30"/>
        <v>1</v>
      </c>
      <c r="JV48" s="1">
        <f t="shared" si="30"/>
        <v>1</v>
      </c>
      <c r="JW48" s="1">
        <f t="shared" si="30"/>
        <v>1</v>
      </c>
      <c r="JX48" s="1">
        <f t="shared" si="30"/>
        <v>1</v>
      </c>
      <c r="JY48" s="1">
        <f t="shared" si="30"/>
        <v>1</v>
      </c>
      <c r="JZ48" s="1">
        <f t="shared" si="30"/>
        <v>1</v>
      </c>
      <c r="KA48" s="1">
        <f t="shared" si="30"/>
        <v>1</v>
      </c>
      <c r="KB48" s="1">
        <f t="shared" si="30"/>
        <v>2</v>
      </c>
      <c r="KC48" s="1">
        <f t="shared" si="30"/>
        <v>2</v>
      </c>
      <c r="KD48" s="1">
        <f t="shared" si="30"/>
        <v>1</v>
      </c>
      <c r="KE48" s="1">
        <f t="shared" si="30"/>
        <v>2</v>
      </c>
      <c r="KF48" s="1">
        <f t="shared" si="30"/>
        <v>1</v>
      </c>
      <c r="KG48" s="1">
        <f t="shared" si="30"/>
        <v>1</v>
      </c>
      <c r="KH48" s="1">
        <f t="shared" si="30"/>
        <v>2</v>
      </c>
      <c r="KI48" s="1">
        <f t="shared" si="30"/>
        <v>2</v>
      </c>
      <c r="KJ48" s="1">
        <f t="shared" si="30"/>
        <v>1</v>
      </c>
      <c r="KK48" s="1">
        <f t="shared" si="30"/>
        <v>2</v>
      </c>
      <c r="KL48" s="1">
        <f t="shared" si="30"/>
        <v>2</v>
      </c>
      <c r="KM48" s="1">
        <f t="shared" si="30"/>
        <v>1</v>
      </c>
      <c r="KN48" s="1">
        <f t="shared" si="30"/>
        <v>2</v>
      </c>
      <c r="KO48" s="1">
        <f t="shared" si="30"/>
        <v>1</v>
      </c>
      <c r="KP48" s="1">
        <f t="shared" si="30"/>
        <v>1</v>
      </c>
      <c r="KQ48" s="1">
        <f t="shared" si="30"/>
        <v>2</v>
      </c>
      <c r="KR48" s="1">
        <f t="shared" si="30"/>
        <v>2</v>
      </c>
      <c r="KS48" s="1">
        <f t="shared" si="30"/>
        <v>1</v>
      </c>
      <c r="KT48" s="1">
        <f t="shared" si="30"/>
        <v>2</v>
      </c>
      <c r="KU48" s="1">
        <f t="shared" si="30"/>
        <v>2</v>
      </c>
      <c r="KV48" s="1">
        <f t="shared" si="30"/>
        <v>1</v>
      </c>
      <c r="KW48" s="1">
        <f t="shared" si="30"/>
        <v>2</v>
      </c>
      <c r="KX48" s="1">
        <f t="shared" si="30"/>
        <v>1</v>
      </c>
      <c r="KY48" s="1">
        <f t="shared" si="30"/>
        <v>1</v>
      </c>
      <c r="KZ48" s="1">
        <f t="shared" si="30"/>
        <v>1</v>
      </c>
      <c r="LA48" s="1">
        <f t="shared" si="30"/>
        <v>1</v>
      </c>
      <c r="LB48" s="1">
        <f t="shared" si="30"/>
        <v>1</v>
      </c>
      <c r="LC48" s="1">
        <f t="shared" si="30"/>
        <v>1</v>
      </c>
      <c r="LD48" s="1">
        <f t="shared" si="30"/>
        <v>1</v>
      </c>
      <c r="LE48" s="1">
        <f t="shared" si="30"/>
        <v>1</v>
      </c>
      <c r="LF48" s="1">
        <f t="shared" si="30"/>
        <v>1</v>
      </c>
      <c r="LG48" s="1">
        <f t="shared" si="30"/>
        <v>1</v>
      </c>
      <c r="LH48" s="1">
        <f t="shared" si="30"/>
        <v>2</v>
      </c>
      <c r="LI48" s="1">
        <f t="shared" si="30"/>
        <v>2</v>
      </c>
      <c r="LJ48" s="1">
        <f t="shared" si="30"/>
        <v>1</v>
      </c>
      <c r="LK48" s="1">
        <f t="shared" si="30"/>
        <v>2</v>
      </c>
      <c r="LL48" s="1">
        <f t="shared" ref="LL48:NP48" si="31">COUNTIF(LL$8:LL$39,"n")</f>
        <v>2</v>
      </c>
      <c r="LM48" s="1">
        <f t="shared" si="31"/>
        <v>1</v>
      </c>
      <c r="LN48" s="1">
        <f t="shared" si="31"/>
        <v>2</v>
      </c>
      <c r="LO48" s="1">
        <f t="shared" si="31"/>
        <v>1</v>
      </c>
      <c r="LP48" s="1">
        <f t="shared" si="31"/>
        <v>1</v>
      </c>
      <c r="LQ48" s="1">
        <f t="shared" si="31"/>
        <v>2</v>
      </c>
      <c r="LR48" s="1">
        <f t="shared" si="31"/>
        <v>2</v>
      </c>
      <c r="LS48" s="1">
        <f t="shared" si="31"/>
        <v>2</v>
      </c>
      <c r="LT48" s="1">
        <f t="shared" si="31"/>
        <v>2</v>
      </c>
      <c r="LU48" s="1">
        <f t="shared" si="31"/>
        <v>2</v>
      </c>
      <c r="LV48" s="1">
        <f t="shared" si="31"/>
        <v>1</v>
      </c>
      <c r="LW48" s="1">
        <f t="shared" si="31"/>
        <v>2</v>
      </c>
      <c r="LX48" s="1">
        <f t="shared" si="31"/>
        <v>1</v>
      </c>
      <c r="LY48" s="1">
        <f t="shared" si="31"/>
        <v>1</v>
      </c>
      <c r="LZ48" s="1">
        <f t="shared" si="31"/>
        <v>2</v>
      </c>
      <c r="MA48" s="1">
        <f t="shared" si="31"/>
        <v>2</v>
      </c>
      <c r="MB48" s="1">
        <f t="shared" si="31"/>
        <v>1</v>
      </c>
      <c r="MC48" s="1">
        <f t="shared" si="31"/>
        <v>2</v>
      </c>
      <c r="MD48" s="1">
        <f t="shared" si="31"/>
        <v>2</v>
      </c>
      <c r="ME48" s="1">
        <f t="shared" si="31"/>
        <v>1</v>
      </c>
      <c r="MF48" s="1">
        <f t="shared" si="31"/>
        <v>2</v>
      </c>
      <c r="MG48" s="1">
        <f t="shared" si="31"/>
        <v>1</v>
      </c>
      <c r="MH48" s="1">
        <f t="shared" si="31"/>
        <v>1</v>
      </c>
      <c r="MI48" s="1">
        <f t="shared" si="31"/>
        <v>1</v>
      </c>
      <c r="MJ48" s="1">
        <f t="shared" si="31"/>
        <v>1</v>
      </c>
      <c r="MK48" s="1">
        <f t="shared" si="31"/>
        <v>1</v>
      </c>
      <c r="ML48" s="1">
        <f t="shared" si="31"/>
        <v>1</v>
      </c>
      <c r="MM48" s="1">
        <f t="shared" si="31"/>
        <v>1</v>
      </c>
      <c r="MN48" s="1">
        <f t="shared" si="31"/>
        <v>1</v>
      </c>
      <c r="MO48" s="1">
        <f t="shared" si="31"/>
        <v>1</v>
      </c>
      <c r="MP48" s="1">
        <f t="shared" si="31"/>
        <v>1</v>
      </c>
      <c r="MQ48" s="1">
        <f t="shared" si="31"/>
        <v>2</v>
      </c>
      <c r="MR48" s="1">
        <f t="shared" si="31"/>
        <v>2</v>
      </c>
      <c r="MS48" s="1">
        <f t="shared" si="31"/>
        <v>2</v>
      </c>
      <c r="MT48" s="1">
        <f t="shared" si="31"/>
        <v>2</v>
      </c>
      <c r="MU48" s="1">
        <f t="shared" si="31"/>
        <v>2</v>
      </c>
      <c r="MV48" s="1">
        <f t="shared" si="31"/>
        <v>1</v>
      </c>
      <c r="MW48" s="1">
        <f t="shared" si="31"/>
        <v>2</v>
      </c>
      <c r="MX48" s="1">
        <f t="shared" si="31"/>
        <v>1</v>
      </c>
      <c r="MY48" s="1">
        <f t="shared" si="31"/>
        <v>1</v>
      </c>
      <c r="MZ48" s="1">
        <f t="shared" si="31"/>
        <v>2</v>
      </c>
      <c r="NA48" s="1">
        <f t="shared" si="31"/>
        <v>2</v>
      </c>
      <c r="NB48" s="1">
        <f t="shared" si="31"/>
        <v>2</v>
      </c>
      <c r="NC48" s="1">
        <f t="shared" si="31"/>
        <v>2</v>
      </c>
      <c r="ND48" s="1">
        <f t="shared" si="31"/>
        <v>2</v>
      </c>
      <c r="NE48" s="1">
        <f t="shared" si="31"/>
        <v>1</v>
      </c>
      <c r="NF48" s="1">
        <f t="shared" si="31"/>
        <v>2</v>
      </c>
      <c r="NG48" s="1">
        <f t="shared" si="31"/>
        <v>1</v>
      </c>
      <c r="NH48" s="1">
        <f t="shared" si="31"/>
        <v>1</v>
      </c>
      <c r="NI48" s="1">
        <f t="shared" si="31"/>
        <v>1</v>
      </c>
      <c r="NJ48" s="1">
        <f t="shared" si="31"/>
        <v>1</v>
      </c>
      <c r="NK48" s="1">
        <f t="shared" si="31"/>
        <v>1</v>
      </c>
      <c r="NL48" s="1">
        <f t="shared" si="31"/>
        <v>2</v>
      </c>
      <c r="NM48" s="1">
        <f t="shared" si="31"/>
        <v>1</v>
      </c>
      <c r="NN48" s="1">
        <f t="shared" si="31"/>
        <v>1</v>
      </c>
      <c r="NO48" s="1">
        <f t="shared" si="31"/>
        <v>1</v>
      </c>
      <c r="NP48" s="1">
        <f t="shared" si="31"/>
        <v>1</v>
      </c>
      <c r="OA48" s="146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 s="147"/>
    </row>
    <row r="49" spans="1:449" s="1" customFormat="1" ht="12.75" customHeight="1">
      <c r="A49" s="103" t="s">
        <v>6</v>
      </c>
      <c r="B49" s="99" t="s">
        <v>325</v>
      </c>
      <c r="C49" s="1">
        <f t="shared" ref="C49:BN49" si="32">COUNTIF(C$8:C$39,"x")</f>
        <v>4</v>
      </c>
      <c r="D49" s="1">
        <f t="shared" si="32"/>
        <v>4</v>
      </c>
      <c r="E49" s="1">
        <f t="shared" si="32"/>
        <v>3</v>
      </c>
      <c r="F49" s="1">
        <f t="shared" si="32"/>
        <v>0</v>
      </c>
      <c r="G49" s="1">
        <f t="shared" si="32"/>
        <v>0</v>
      </c>
      <c r="H49" s="1">
        <f t="shared" si="32"/>
        <v>0</v>
      </c>
      <c r="I49" s="1">
        <f t="shared" si="32"/>
        <v>0</v>
      </c>
      <c r="J49" s="1">
        <f t="shared" si="32"/>
        <v>3</v>
      </c>
      <c r="K49" s="1">
        <f t="shared" si="32"/>
        <v>3</v>
      </c>
      <c r="L49" s="1">
        <f t="shared" si="32"/>
        <v>3</v>
      </c>
      <c r="M49" s="1">
        <f t="shared" si="32"/>
        <v>0</v>
      </c>
      <c r="N49" s="1">
        <f t="shared" si="32"/>
        <v>3</v>
      </c>
      <c r="O49" s="1">
        <f t="shared" si="32"/>
        <v>0</v>
      </c>
      <c r="P49" s="1">
        <f t="shared" si="32"/>
        <v>0</v>
      </c>
      <c r="Q49" s="1">
        <f t="shared" si="32"/>
        <v>5</v>
      </c>
      <c r="R49" s="1">
        <f t="shared" si="32"/>
        <v>4</v>
      </c>
      <c r="S49" s="1">
        <f t="shared" si="32"/>
        <v>4</v>
      </c>
      <c r="T49" s="1">
        <f t="shared" si="32"/>
        <v>4</v>
      </c>
      <c r="U49" s="1">
        <f t="shared" si="32"/>
        <v>4</v>
      </c>
      <c r="V49" s="1">
        <f t="shared" si="32"/>
        <v>0</v>
      </c>
      <c r="W49" s="1">
        <f t="shared" si="32"/>
        <v>0</v>
      </c>
      <c r="X49" s="1">
        <f t="shared" si="32"/>
        <v>5</v>
      </c>
      <c r="Y49" s="1">
        <f t="shared" si="32"/>
        <v>2</v>
      </c>
      <c r="Z49" s="1">
        <f t="shared" si="32"/>
        <v>4</v>
      </c>
      <c r="AA49" s="1">
        <f t="shared" si="32"/>
        <v>5</v>
      </c>
      <c r="AB49" s="1">
        <f t="shared" si="32"/>
        <v>5</v>
      </c>
      <c r="AC49" s="1">
        <f t="shared" si="32"/>
        <v>0</v>
      </c>
      <c r="AD49" s="1">
        <f t="shared" si="32"/>
        <v>0</v>
      </c>
      <c r="AE49" s="1">
        <f t="shared" si="32"/>
        <v>6</v>
      </c>
      <c r="AF49" s="1">
        <f t="shared" si="32"/>
        <v>4</v>
      </c>
      <c r="AG49" s="1">
        <f t="shared" si="32"/>
        <v>5</v>
      </c>
      <c r="AH49" s="1">
        <f t="shared" si="32"/>
        <v>5</v>
      </c>
      <c r="AI49" s="1">
        <f t="shared" si="32"/>
        <v>4</v>
      </c>
      <c r="AJ49" s="1">
        <f t="shared" si="32"/>
        <v>0</v>
      </c>
      <c r="AK49" s="1">
        <f t="shared" si="32"/>
        <v>0</v>
      </c>
      <c r="AL49" s="1">
        <f t="shared" si="32"/>
        <v>5</v>
      </c>
      <c r="AM49" s="1">
        <f t="shared" si="32"/>
        <v>4</v>
      </c>
      <c r="AN49" s="1">
        <f t="shared" si="32"/>
        <v>3</v>
      </c>
      <c r="AO49" s="1">
        <f t="shared" si="32"/>
        <v>4</v>
      </c>
      <c r="AP49" s="1">
        <f t="shared" si="32"/>
        <v>4</v>
      </c>
      <c r="AQ49" s="1">
        <f t="shared" si="32"/>
        <v>0</v>
      </c>
      <c r="AR49" s="1">
        <f t="shared" si="32"/>
        <v>0</v>
      </c>
      <c r="AS49" s="1">
        <f t="shared" si="32"/>
        <v>5</v>
      </c>
      <c r="AT49" s="1">
        <f t="shared" si="32"/>
        <v>4</v>
      </c>
      <c r="AU49" s="1">
        <f t="shared" si="32"/>
        <v>4</v>
      </c>
      <c r="AV49" s="1">
        <f t="shared" si="32"/>
        <v>3</v>
      </c>
      <c r="AW49" s="1">
        <f t="shared" si="32"/>
        <v>4</v>
      </c>
      <c r="AX49" s="1">
        <f t="shared" si="32"/>
        <v>0</v>
      </c>
      <c r="AY49" s="1">
        <f t="shared" si="32"/>
        <v>0</v>
      </c>
      <c r="AZ49" s="1">
        <f t="shared" si="32"/>
        <v>5</v>
      </c>
      <c r="BA49" s="1">
        <f t="shared" si="32"/>
        <v>5</v>
      </c>
      <c r="BB49" s="1">
        <f t="shared" si="32"/>
        <v>3</v>
      </c>
      <c r="BC49" s="1">
        <f t="shared" si="32"/>
        <v>3</v>
      </c>
      <c r="BD49" s="1">
        <f t="shared" si="32"/>
        <v>3</v>
      </c>
      <c r="BE49" s="1">
        <f t="shared" si="32"/>
        <v>0</v>
      </c>
      <c r="BF49" s="1">
        <f t="shared" si="32"/>
        <v>0</v>
      </c>
      <c r="BG49" s="1">
        <f t="shared" si="32"/>
        <v>5</v>
      </c>
      <c r="BH49" s="1">
        <f>COUNTIF(BH$9:BH$39,"x")</f>
        <v>5</v>
      </c>
      <c r="BI49" s="1">
        <f>COUNTIF(BI$9:BI$39,"x")</f>
        <v>4</v>
      </c>
      <c r="BJ49" s="1">
        <f t="shared" si="32"/>
        <v>4</v>
      </c>
      <c r="BK49" s="1">
        <f t="shared" si="32"/>
        <v>3</v>
      </c>
      <c r="BL49" s="1">
        <f t="shared" si="32"/>
        <v>0</v>
      </c>
      <c r="BM49" s="1">
        <f t="shared" si="32"/>
        <v>0</v>
      </c>
      <c r="BN49" s="1">
        <f t="shared" si="32"/>
        <v>5</v>
      </c>
      <c r="BO49" s="1">
        <f t="shared" ref="BO49:DZ49" si="33">COUNTIF(BO$8:BO$39,"x")</f>
        <v>4</v>
      </c>
      <c r="BP49" s="1">
        <f t="shared" si="33"/>
        <v>4</v>
      </c>
      <c r="BQ49" s="1">
        <f t="shared" si="33"/>
        <v>4</v>
      </c>
      <c r="BR49" s="1">
        <f t="shared" si="33"/>
        <v>4</v>
      </c>
      <c r="BS49" s="1">
        <f t="shared" si="33"/>
        <v>0</v>
      </c>
      <c r="BT49" s="1">
        <f t="shared" si="33"/>
        <v>0</v>
      </c>
      <c r="BU49" s="1">
        <f t="shared" si="33"/>
        <v>5</v>
      </c>
      <c r="BV49" s="1">
        <f t="shared" si="33"/>
        <v>4</v>
      </c>
      <c r="BW49" s="1">
        <f t="shared" si="33"/>
        <v>3</v>
      </c>
      <c r="BX49" s="1">
        <f t="shared" si="33"/>
        <v>3</v>
      </c>
      <c r="BY49" s="1">
        <f t="shared" si="33"/>
        <v>3</v>
      </c>
      <c r="BZ49" s="1">
        <f t="shared" si="33"/>
        <v>0</v>
      </c>
      <c r="CA49" s="1">
        <f t="shared" si="33"/>
        <v>0</v>
      </c>
      <c r="CB49" s="1">
        <f t="shared" si="33"/>
        <v>4</v>
      </c>
      <c r="CC49" s="1">
        <f t="shared" si="33"/>
        <v>4</v>
      </c>
      <c r="CD49" s="1">
        <f t="shared" si="33"/>
        <v>4</v>
      </c>
      <c r="CE49" s="1">
        <f t="shared" si="33"/>
        <v>3</v>
      </c>
      <c r="CF49" s="1">
        <f t="shared" si="33"/>
        <v>4</v>
      </c>
      <c r="CG49" s="1">
        <f t="shared" si="33"/>
        <v>0</v>
      </c>
      <c r="CH49" s="1">
        <f t="shared" si="33"/>
        <v>0</v>
      </c>
      <c r="CI49" s="1">
        <f t="shared" si="33"/>
        <v>5</v>
      </c>
      <c r="CJ49" s="1">
        <f t="shared" si="33"/>
        <v>3</v>
      </c>
      <c r="CK49" s="1">
        <f t="shared" si="33"/>
        <v>4</v>
      </c>
      <c r="CL49" s="1">
        <f t="shared" si="33"/>
        <v>3</v>
      </c>
      <c r="CM49" s="1">
        <f t="shared" si="33"/>
        <v>3</v>
      </c>
      <c r="CN49" s="1">
        <f t="shared" si="33"/>
        <v>0</v>
      </c>
      <c r="CO49" s="1">
        <f t="shared" si="33"/>
        <v>0</v>
      </c>
      <c r="CP49" s="1">
        <f t="shared" si="33"/>
        <v>3</v>
      </c>
      <c r="CQ49" s="1">
        <f t="shared" si="33"/>
        <v>5</v>
      </c>
      <c r="CR49" s="1">
        <f t="shared" si="33"/>
        <v>5</v>
      </c>
      <c r="CS49" s="1">
        <f t="shared" si="33"/>
        <v>4</v>
      </c>
      <c r="CT49" s="1">
        <f>COUNTIF(CT$8:CT$39,"x")</f>
        <v>3</v>
      </c>
      <c r="CU49" s="1">
        <f t="shared" si="33"/>
        <v>0</v>
      </c>
      <c r="CV49" s="1">
        <f t="shared" si="33"/>
        <v>0</v>
      </c>
      <c r="CW49" s="1">
        <f t="shared" si="33"/>
        <v>5</v>
      </c>
      <c r="CX49" s="1">
        <f t="shared" si="33"/>
        <v>5</v>
      </c>
      <c r="CY49" s="1">
        <f t="shared" si="33"/>
        <v>5</v>
      </c>
      <c r="CZ49" s="1">
        <f t="shared" si="33"/>
        <v>4</v>
      </c>
      <c r="DA49" s="1">
        <f t="shared" si="33"/>
        <v>4</v>
      </c>
      <c r="DB49" s="1">
        <f t="shared" si="33"/>
        <v>0</v>
      </c>
      <c r="DC49" s="1">
        <f t="shared" si="33"/>
        <v>0</v>
      </c>
      <c r="DD49" s="1">
        <f t="shared" si="33"/>
        <v>0</v>
      </c>
      <c r="DE49" s="1">
        <f t="shared" si="33"/>
        <v>4</v>
      </c>
      <c r="DF49" s="1">
        <f t="shared" si="33"/>
        <v>3</v>
      </c>
      <c r="DG49" s="1">
        <f t="shared" si="33"/>
        <v>3</v>
      </c>
      <c r="DH49" s="1">
        <f t="shared" si="33"/>
        <v>4</v>
      </c>
      <c r="DI49" s="1">
        <f t="shared" si="33"/>
        <v>0</v>
      </c>
      <c r="DJ49" s="1">
        <f t="shared" si="33"/>
        <v>0</v>
      </c>
      <c r="DK49" s="1">
        <f t="shared" si="33"/>
        <v>5</v>
      </c>
      <c r="DL49" s="1">
        <f t="shared" si="33"/>
        <v>5</v>
      </c>
      <c r="DM49" s="1">
        <f t="shared" si="33"/>
        <v>3</v>
      </c>
      <c r="DN49" s="1">
        <f t="shared" si="33"/>
        <v>4</v>
      </c>
      <c r="DO49" s="1">
        <f t="shared" si="33"/>
        <v>4</v>
      </c>
      <c r="DP49" s="1">
        <f t="shared" si="33"/>
        <v>0</v>
      </c>
      <c r="DQ49" s="1">
        <f t="shared" si="33"/>
        <v>0</v>
      </c>
      <c r="DR49" s="1">
        <f t="shared" si="33"/>
        <v>5</v>
      </c>
      <c r="DS49" s="1">
        <f t="shared" si="33"/>
        <v>5</v>
      </c>
      <c r="DT49" s="1">
        <f t="shared" si="33"/>
        <v>4</v>
      </c>
      <c r="DU49" s="1">
        <f t="shared" si="33"/>
        <v>3</v>
      </c>
      <c r="DV49" s="1">
        <f t="shared" si="33"/>
        <v>4</v>
      </c>
      <c r="DW49" s="1">
        <f t="shared" si="33"/>
        <v>0</v>
      </c>
      <c r="DX49" s="1">
        <f t="shared" si="33"/>
        <v>0</v>
      </c>
      <c r="DY49" s="1">
        <f t="shared" si="33"/>
        <v>0</v>
      </c>
      <c r="DZ49" s="1">
        <f t="shared" si="33"/>
        <v>5</v>
      </c>
      <c r="EA49" s="1">
        <f t="shared" ref="EA49:GL49" si="34">COUNTIF(EA$8:EA$39,"x")</f>
        <v>5</v>
      </c>
      <c r="EB49" s="1">
        <f t="shared" si="34"/>
        <v>4</v>
      </c>
      <c r="EC49" s="1">
        <f t="shared" si="34"/>
        <v>4</v>
      </c>
      <c r="ED49" s="1">
        <f t="shared" si="34"/>
        <v>0</v>
      </c>
      <c r="EE49" s="1">
        <f t="shared" si="34"/>
        <v>0</v>
      </c>
      <c r="EF49" s="1">
        <f t="shared" si="34"/>
        <v>6</v>
      </c>
      <c r="EG49" s="1">
        <f t="shared" si="34"/>
        <v>5</v>
      </c>
      <c r="EH49" s="1">
        <f>COUNTIF(EH$9:EH$39,"x")</f>
        <v>5</v>
      </c>
      <c r="EI49" s="1">
        <f t="shared" si="34"/>
        <v>4</v>
      </c>
      <c r="EJ49" s="1">
        <f>COUNTIF(EJ$7:EJ$39,"x")</f>
        <v>3</v>
      </c>
      <c r="EK49" s="1">
        <f t="shared" si="34"/>
        <v>0</v>
      </c>
      <c r="EL49" s="1">
        <f t="shared" si="34"/>
        <v>0</v>
      </c>
      <c r="EM49" s="1">
        <f t="shared" si="34"/>
        <v>6</v>
      </c>
      <c r="EN49" s="1">
        <f t="shared" si="34"/>
        <v>6</v>
      </c>
      <c r="EO49" s="1">
        <f t="shared" si="34"/>
        <v>6</v>
      </c>
      <c r="EP49" s="1">
        <f t="shared" si="34"/>
        <v>0</v>
      </c>
      <c r="EQ49" s="1">
        <f t="shared" si="34"/>
        <v>5</v>
      </c>
      <c r="ER49" s="1">
        <f t="shared" si="34"/>
        <v>0</v>
      </c>
      <c r="ES49" s="1">
        <f t="shared" si="34"/>
        <v>0</v>
      </c>
      <c r="ET49" s="1">
        <f t="shared" si="34"/>
        <v>6</v>
      </c>
      <c r="EU49" s="1">
        <f t="shared" si="34"/>
        <v>4</v>
      </c>
      <c r="EV49" s="1">
        <f t="shared" si="34"/>
        <v>4</v>
      </c>
      <c r="EW49" s="1">
        <f t="shared" si="34"/>
        <v>5</v>
      </c>
      <c r="EX49" s="1">
        <f t="shared" si="34"/>
        <v>4</v>
      </c>
      <c r="EY49" s="1">
        <f t="shared" si="34"/>
        <v>0</v>
      </c>
      <c r="EZ49" s="1">
        <f t="shared" si="34"/>
        <v>0</v>
      </c>
      <c r="FA49" s="1">
        <f t="shared" si="34"/>
        <v>0</v>
      </c>
      <c r="FB49" s="1">
        <f t="shared" si="34"/>
        <v>6</v>
      </c>
      <c r="FC49" s="1">
        <f t="shared" si="34"/>
        <v>5</v>
      </c>
      <c r="FD49" s="1">
        <f t="shared" si="34"/>
        <v>5</v>
      </c>
      <c r="FE49" s="1">
        <f t="shared" si="34"/>
        <v>4</v>
      </c>
      <c r="FF49" s="1">
        <f t="shared" si="34"/>
        <v>0</v>
      </c>
      <c r="FG49" s="1">
        <f t="shared" si="34"/>
        <v>0</v>
      </c>
      <c r="FH49" s="1">
        <f t="shared" si="34"/>
        <v>5</v>
      </c>
      <c r="FI49" s="1">
        <f t="shared" si="34"/>
        <v>5</v>
      </c>
      <c r="FJ49" s="1">
        <f t="shared" si="34"/>
        <v>4</v>
      </c>
      <c r="FK49" s="1">
        <f t="shared" si="34"/>
        <v>5</v>
      </c>
      <c r="FL49" s="1">
        <f t="shared" si="34"/>
        <v>4</v>
      </c>
      <c r="FM49" s="1">
        <f t="shared" si="34"/>
        <v>0</v>
      </c>
      <c r="FN49" s="1">
        <f t="shared" si="34"/>
        <v>0</v>
      </c>
      <c r="FO49" s="1">
        <f t="shared" si="34"/>
        <v>6</v>
      </c>
      <c r="FP49" s="1">
        <f t="shared" si="34"/>
        <v>5</v>
      </c>
      <c r="FQ49" s="1">
        <f t="shared" si="34"/>
        <v>6</v>
      </c>
      <c r="FR49" s="1">
        <f t="shared" si="34"/>
        <v>5</v>
      </c>
      <c r="FS49" s="1">
        <f t="shared" si="34"/>
        <v>5</v>
      </c>
      <c r="FT49" s="1">
        <f t="shared" si="34"/>
        <v>0</v>
      </c>
      <c r="FU49" s="1">
        <f t="shared" si="34"/>
        <v>0</v>
      </c>
      <c r="FV49" s="1">
        <f t="shared" si="34"/>
        <v>5</v>
      </c>
      <c r="FW49" s="1">
        <f t="shared" si="34"/>
        <v>4</v>
      </c>
      <c r="FX49" s="1">
        <f t="shared" si="34"/>
        <v>4</v>
      </c>
      <c r="FY49" s="1">
        <f t="shared" si="34"/>
        <v>3</v>
      </c>
      <c r="FZ49" s="1">
        <f t="shared" si="34"/>
        <v>3</v>
      </c>
      <c r="GA49" s="1">
        <f t="shared" si="34"/>
        <v>0</v>
      </c>
      <c r="GB49" s="1">
        <f t="shared" si="34"/>
        <v>0</v>
      </c>
      <c r="GC49" s="1">
        <f t="shared" si="34"/>
        <v>5</v>
      </c>
      <c r="GD49" s="1">
        <f t="shared" si="34"/>
        <v>4</v>
      </c>
      <c r="GE49" s="1">
        <f t="shared" si="34"/>
        <v>5</v>
      </c>
      <c r="GF49" s="1">
        <f t="shared" si="34"/>
        <v>4</v>
      </c>
      <c r="GG49" s="1">
        <f t="shared" si="34"/>
        <v>4</v>
      </c>
      <c r="GH49" s="1">
        <f t="shared" si="34"/>
        <v>0</v>
      </c>
      <c r="GI49" s="1">
        <f t="shared" si="34"/>
        <v>0</v>
      </c>
      <c r="GJ49" s="1">
        <f t="shared" si="34"/>
        <v>5</v>
      </c>
      <c r="GK49" s="1">
        <f t="shared" si="34"/>
        <v>4</v>
      </c>
      <c r="GL49" s="1">
        <f t="shared" si="34"/>
        <v>5</v>
      </c>
      <c r="GM49" s="1">
        <f t="shared" ref="GM49:IX49" si="35">COUNTIF(GM$8:GM$39,"x")</f>
        <v>4</v>
      </c>
      <c r="GN49" s="1">
        <f t="shared" si="35"/>
        <v>4</v>
      </c>
      <c r="GO49" s="1">
        <f t="shared" si="35"/>
        <v>0</v>
      </c>
      <c r="GP49" s="1">
        <f t="shared" si="35"/>
        <v>0</v>
      </c>
      <c r="GQ49" s="1">
        <f t="shared" si="35"/>
        <v>6</v>
      </c>
      <c r="GR49" s="1">
        <f t="shared" si="35"/>
        <v>5</v>
      </c>
      <c r="GS49" s="1">
        <f t="shared" si="35"/>
        <v>6</v>
      </c>
      <c r="GT49" s="1">
        <f t="shared" si="35"/>
        <v>5</v>
      </c>
      <c r="GU49" s="1">
        <f t="shared" si="35"/>
        <v>5</v>
      </c>
      <c r="GV49" s="1">
        <f t="shared" si="35"/>
        <v>0</v>
      </c>
      <c r="GW49" s="1">
        <f t="shared" si="35"/>
        <v>0</v>
      </c>
      <c r="GX49" s="1">
        <f t="shared" si="35"/>
        <v>6</v>
      </c>
      <c r="GY49" s="1">
        <f t="shared" si="35"/>
        <v>5</v>
      </c>
      <c r="GZ49" s="1">
        <f t="shared" si="35"/>
        <v>6</v>
      </c>
      <c r="HA49" s="1">
        <f t="shared" si="35"/>
        <v>5</v>
      </c>
      <c r="HB49" s="1">
        <f t="shared" si="35"/>
        <v>5</v>
      </c>
      <c r="HC49" s="1">
        <f t="shared" si="35"/>
        <v>0</v>
      </c>
      <c r="HD49" s="1">
        <f t="shared" si="35"/>
        <v>0</v>
      </c>
      <c r="HE49" s="1">
        <f t="shared" si="35"/>
        <v>6</v>
      </c>
      <c r="HF49" s="1">
        <f t="shared" si="35"/>
        <v>5</v>
      </c>
      <c r="HG49" s="1">
        <f t="shared" si="35"/>
        <v>6</v>
      </c>
      <c r="HH49" s="1">
        <f t="shared" si="35"/>
        <v>5</v>
      </c>
      <c r="HI49" s="1">
        <f t="shared" si="35"/>
        <v>5</v>
      </c>
      <c r="HJ49" s="1">
        <f t="shared" si="35"/>
        <v>0</v>
      </c>
      <c r="HK49" s="1">
        <f t="shared" si="35"/>
        <v>0</v>
      </c>
      <c r="HL49" s="1">
        <f t="shared" si="35"/>
        <v>4</v>
      </c>
      <c r="HM49" s="1">
        <f t="shared" si="35"/>
        <v>4</v>
      </c>
      <c r="HN49" s="1">
        <f t="shared" si="35"/>
        <v>5</v>
      </c>
      <c r="HO49" s="1">
        <f t="shared" si="35"/>
        <v>4</v>
      </c>
      <c r="HP49" s="1">
        <f t="shared" si="35"/>
        <v>5</v>
      </c>
      <c r="HQ49" s="1">
        <f t="shared" si="35"/>
        <v>0</v>
      </c>
      <c r="HR49" s="1">
        <f t="shared" si="35"/>
        <v>0</v>
      </c>
      <c r="HS49" s="1">
        <f t="shared" si="35"/>
        <v>5</v>
      </c>
      <c r="HT49" s="1">
        <f t="shared" si="35"/>
        <v>4</v>
      </c>
      <c r="HU49" s="1">
        <f t="shared" si="35"/>
        <v>5</v>
      </c>
      <c r="HV49" s="1">
        <f t="shared" si="35"/>
        <v>4</v>
      </c>
      <c r="HW49" s="1">
        <f t="shared" si="35"/>
        <v>4</v>
      </c>
      <c r="HX49" s="1">
        <f t="shared" si="35"/>
        <v>0</v>
      </c>
      <c r="HY49" s="1">
        <f t="shared" si="35"/>
        <v>0</v>
      </c>
      <c r="HZ49" s="1">
        <f t="shared" si="35"/>
        <v>5</v>
      </c>
      <c r="IA49" s="1">
        <f t="shared" si="35"/>
        <v>4</v>
      </c>
      <c r="IB49" s="1">
        <f t="shared" si="35"/>
        <v>5</v>
      </c>
      <c r="IC49" s="1">
        <f t="shared" si="35"/>
        <v>4</v>
      </c>
      <c r="ID49" s="1">
        <f t="shared" si="35"/>
        <v>3</v>
      </c>
      <c r="IE49" s="1">
        <f t="shared" si="35"/>
        <v>0</v>
      </c>
      <c r="IF49" s="1">
        <f t="shared" si="35"/>
        <v>0</v>
      </c>
      <c r="IG49" s="1">
        <f t="shared" si="35"/>
        <v>5</v>
      </c>
      <c r="IH49" s="1">
        <f t="shared" si="35"/>
        <v>5</v>
      </c>
      <c r="II49" s="1">
        <f t="shared" si="35"/>
        <v>6</v>
      </c>
      <c r="IJ49" s="1">
        <f t="shared" si="35"/>
        <v>5</v>
      </c>
      <c r="IK49" s="1">
        <f t="shared" si="35"/>
        <v>5</v>
      </c>
      <c r="IL49" s="1">
        <f t="shared" si="35"/>
        <v>0</v>
      </c>
      <c r="IM49" s="1">
        <f t="shared" si="35"/>
        <v>0</v>
      </c>
      <c r="IN49" s="1">
        <f t="shared" si="35"/>
        <v>5</v>
      </c>
      <c r="IO49" s="1">
        <f t="shared" si="35"/>
        <v>5</v>
      </c>
      <c r="IP49" s="1">
        <f t="shared" si="35"/>
        <v>5</v>
      </c>
      <c r="IQ49" s="1">
        <f t="shared" si="35"/>
        <v>4</v>
      </c>
      <c r="IR49" s="1">
        <f t="shared" si="35"/>
        <v>4</v>
      </c>
      <c r="IS49" s="1">
        <f t="shared" si="35"/>
        <v>0</v>
      </c>
      <c r="IT49" s="1">
        <f t="shared" si="35"/>
        <v>0</v>
      </c>
      <c r="IU49" s="1">
        <f t="shared" si="35"/>
        <v>4</v>
      </c>
      <c r="IV49" s="1">
        <f t="shared" si="35"/>
        <v>4</v>
      </c>
      <c r="IW49" s="1">
        <f t="shared" si="35"/>
        <v>4</v>
      </c>
      <c r="IX49" s="1">
        <f t="shared" si="35"/>
        <v>3</v>
      </c>
      <c r="IY49" s="1">
        <f t="shared" ref="IY49:LJ49" si="36">COUNTIF(IY$8:IY$39,"x")</f>
        <v>3</v>
      </c>
      <c r="IZ49" s="1">
        <f t="shared" si="36"/>
        <v>0</v>
      </c>
      <c r="JA49" s="1">
        <f t="shared" si="36"/>
        <v>0</v>
      </c>
      <c r="JB49" s="1">
        <f t="shared" si="36"/>
        <v>4</v>
      </c>
      <c r="JC49" s="1">
        <f t="shared" si="36"/>
        <v>4</v>
      </c>
      <c r="JD49" s="1">
        <f t="shared" si="36"/>
        <v>4</v>
      </c>
      <c r="JE49" s="1">
        <f t="shared" si="36"/>
        <v>3</v>
      </c>
      <c r="JF49" s="1">
        <f t="shared" si="36"/>
        <v>3</v>
      </c>
      <c r="JG49" s="1">
        <f t="shared" si="36"/>
        <v>0</v>
      </c>
      <c r="JH49" s="1">
        <f t="shared" si="36"/>
        <v>0</v>
      </c>
      <c r="JI49" s="1">
        <f t="shared" si="36"/>
        <v>4</v>
      </c>
      <c r="JJ49" s="1">
        <f t="shared" si="36"/>
        <v>4</v>
      </c>
      <c r="JK49" s="1">
        <f t="shared" si="36"/>
        <v>4</v>
      </c>
      <c r="JL49" s="1">
        <f t="shared" si="36"/>
        <v>3</v>
      </c>
      <c r="JM49" s="1">
        <f t="shared" si="36"/>
        <v>3</v>
      </c>
      <c r="JN49" s="1">
        <f t="shared" si="36"/>
        <v>0</v>
      </c>
      <c r="JO49" s="1">
        <f t="shared" si="36"/>
        <v>0</v>
      </c>
      <c r="JP49" s="1">
        <f t="shared" si="36"/>
        <v>4</v>
      </c>
      <c r="JQ49" s="1">
        <f t="shared" si="36"/>
        <v>4</v>
      </c>
      <c r="JR49" s="1">
        <f t="shared" si="36"/>
        <v>4</v>
      </c>
      <c r="JS49" s="1">
        <f t="shared" si="36"/>
        <v>3</v>
      </c>
      <c r="JT49" s="1">
        <f t="shared" si="36"/>
        <v>3</v>
      </c>
      <c r="JU49" s="1">
        <f t="shared" si="36"/>
        <v>0</v>
      </c>
      <c r="JV49" s="1">
        <f t="shared" si="36"/>
        <v>0</v>
      </c>
      <c r="JW49" s="1">
        <f t="shared" si="36"/>
        <v>5</v>
      </c>
      <c r="JX49" s="1">
        <f t="shared" si="36"/>
        <v>5</v>
      </c>
      <c r="JY49" s="1">
        <f t="shared" si="36"/>
        <v>5</v>
      </c>
      <c r="JZ49" s="1">
        <f t="shared" si="36"/>
        <v>4</v>
      </c>
      <c r="KA49" s="1">
        <f t="shared" si="36"/>
        <v>4</v>
      </c>
      <c r="KB49" s="1">
        <f t="shared" si="36"/>
        <v>0</v>
      </c>
      <c r="KC49" s="1">
        <f t="shared" si="36"/>
        <v>0</v>
      </c>
      <c r="KD49" s="1">
        <f t="shared" si="36"/>
        <v>5</v>
      </c>
      <c r="KE49" s="1">
        <f t="shared" si="36"/>
        <v>5</v>
      </c>
      <c r="KF49" s="1">
        <f t="shared" si="36"/>
        <v>5</v>
      </c>
      <c r="KG49" s="1">
        <f t="shared" si="36"/>
        <v>4</v>
      </c>
      <c r="KH49" s="1">
        <f t="shared" si="36"/>
        <v>4</v>
      </c>
      <c r="KI49" s="1">
        <f t="shared" si="36"/>
        <v>0</v>
      </c>
      <c r="KJ49" s="1">
        <f t="shared" si="36"/>
        <v>0</v>
      </c>
      <c r="KK49" s="1">
        <f t="shared" si="36"/>
        <v>5</v>
      </c>
      <c r="KL49" s="1">
        <f t="shared" si="36"/>
        <v>5</v>
      </c>
      <c r="KM49" s="1">
        <f t="shared" si="36"/>
        <v>5</v>
      </c>
      <c r="KN49" s="1">
        <f t="shared" si="36"/>
        <v>4</v>
      </c>
      <c r="KO49" s="1">
        <f t="shared" si="36"/>
        <v>4</v>
      </c>
      <c r="KP49" s="1">
        <f t="shared" si="36"/>
        <v>0</v>
      </c>
      <c r="KQ49" s="1">
        <f t="shared" si="36"/>
        <v>0</v>
      </c>
      <c r="KR49" s="1">
        <f t="shared" si="36"/>
        <v>5</v>
      </c>
      <c r="KS49" s="1">
        <f t="shared" si="36"/>
        <v>5</v>
      </c>
      <c r="KT49" s="1">
        <f t="shared" si="36"/>
        <v>5</v>
      </c>
      <c r="KU49" s="1">
        <f t="shared" si="36"/>
        <v>4</v>
      </c>
      <c r="KV49" s="1">
        <f t="shared" si="36"/>
        <v>4</v>
      </c>
      <c r="KW49" s="1">
        <f t="shared" si="36"/>
        <v>0</v>
      </c>
      <c r="KX49" s="1">
        <f t="shared" si="36"/>
        <v>0</v>
      </c>
      <c r="KY49" s="1">
        <f t="shared" si="36"/>
        <v>5</v>
      </c>
      <c r="KZ49" s="1">
        <f t="shared" si="36"/>
        <v>5</v>
      </c>
      <c r="LA49" s="1">
        <f t="shared" si="36"/>
        <v>5</v>
      </c>
      <c r="LB49" s="1">
        <f t="shared" si="36"/>
        <v>4</v>
      </c>
      <c r="LC49" s="1">
        <f t="shared" si="36"/>
        <v>4</v>
      </c>
      <c r="LD49" s="1">
        <f t="shared" si="36"/>
        <v>0</v>
      </c>
      <c r="LE49" s="1">
        <f t="shared" si="36"/>
        <v>0</v>
      </c>
      <c r="LF49" s="1">
        <f t="shared" si="36"/>
        <v>5</v>
      </c>
      <c r="LG49" s="1">
        <f t="shared" si="36"/>
        <v>5</v>
      </c>
      <c r="LH49" s="1">
        <f t="shared" si="36"/>
        <v>5</v>
      </c>
      <c r="LI49" s="1">
        <f t="shared" si="36"/>
        <v>4</v>
      </c>
      <c r="LJ49" s="1">
        <f t="shared" si="36"/>
        <v>4</v>
      </c>
      <c r="LK49" s="1">
        <f t="shared" ref="LK49:NP49" si="37">COUNTIF(LK$8:LK$39,"x")</f>
        <v>0</v>
      </c>
      <c r="LL49" s="1">
        <f t="shared" si="37"/>
        <v>0</v>
      </c>
      <c r="LM49" s="1">
        <f t="shared" si="37"/>
        <v>5</v>
      </c>
      <c r="LN49" s="1">
        <f t="shared" si="37"/>
        <v>5</v>
      </c>
      <c r="LO49" s="1">
        <f t="shared" si="37"/>
        <v>5</v>
      </c>
      <c r="LP49" s="1">
        <f t="shared" si="37"/>
        <v>4</v>
      </c>
      <c r="LQ49" s="1">
        <f t="shared" si="37"/>
        <v>4</v>
      </c>
      <c r="LR49" s="1">
        <f t="shared" si="37"/>
        <v>0</v>
      </c>
      <c r="LS49" s="1">
        <f t="shared" si="37"/>
        <v>0</v>
      </c>
      <c r="LT49" s="1">
        <f t="shared" si="37"/>
        <v>5</v>
      </c>
      <c r="LU49" s="1">
        <f t="shared" si="37"/>
        <v>5</v>
      </c>
      <c r="LV49" s="1">
        <f t="shared" si="37"/>
        <v>5</v>
      </c>
      <c r="LW49" s="1">
        <f t="shared" si="37"/>
        <v>4</v>
      </c>
      <c r="LX49" s="1">
        <f t="shared" si="37"/>
        <v>4</v>
      </c>
      <c r="LY49" s="1">
        <f t="shared" si="37"/>
        <v>0</v>
      </c>
      <c r="LZ49" s="1">
        <f t="shared" si="37"/>
        <v>0</v>
      </c>
      <c r="MA49" s="1">
        <f t="shared" si="37"/>
        <v>5</v>
      </c>
      <c r="MB49" s="1">
        <f t="shared" si="37"/>
        <v>5</v>
      </c>
      <c r="MC49" s="1">
        <f t="shared" si="37"/>
        <v>5</v>
      </c>
      <c r="MD49" s="1">
        <f t="shared" si="37"/>
        <v>4</v>
      </c>
      <c r="ME49" s="1">
        <f t="shared" si="37"/>
        <v>4</v>
      </c>
      <c r="MF49" s="1">
        <f t="shared" si="37"/>
        <v>0</v>
      </c>
      <c r="MG49" s="1">
        <f t="shared" si="37"/>
        <v>0</v>
      </c>
      <c r="MH49" s="1">
        <f t="shared" si="37"/>
        <v>5</v>
      </c>
      <c r="MI49" s="1">
        <f t="shared" si="37"/>
        <v>5</v>
      </c>
      <c r="MJ49" s="1">
        <f t="shared" si="37"/>
        <v>5</v>
      </c>
      <c r="MK49" s="1">
        <f t="shared" si="37"/>
        <v>4</v>
      </c>
      <c r="ML49" s="1">
        <f t="shared" si="37"/>
        <v>4</v>
      </c>
      <c r="MM49" s="1">
        <f t="shared" si="37"/>
        <v>0</v>
      </c>
      <c r="MN49" s="1">
        <f t="shared" si="37"/>
        <v>0</v>
      </c>
      <c r="MO49" s="1">
        <f t="shared" si="37"/>
        <v>5</v>
      </c>
      <c r="MP49" s="1">
        <f t="shared" si="37"/>
        <v>5</v>
      </c>
      <c r="MQ49" s="1">
        <f t="shared" si="37"/>
        <v>5</v>
      </c>
      <c r="MR49" s="1">
        <f t="shared" si="37"/>
        <v>4</v>
      </c>
      <c r="MS49" s="1">
        <f t="shared" si="37"/>
        <v>4</v>
      </c>
      <c r="MT49" s="1">
        <f t="shared" si="37"/>
        <v>0</v>
      </c>
      <c r="MU49" s="1">
        <f t="shared" si="37"/>
        <v>0</v>
      </c>
      <c r="MV49" s="1">
        <f t="shared" si="37"/>
        <v>5</v>
      </c>
      <c r="MW49" s="1">
        <f t="shared" si="37"/>
        <v>5</v>
      </c>
      <c r="MX49" s="1">
        <f t="shared" si="37"/>
        <v>5</v>
      </c>
      <c r="MY49" s="1">
        <f t="shared" si="37"/>
        <v>4</v>
      </c>
      <c r="MZ49" s="1">
        <f t="shared" si="37"/>
        <v>4</v>
      </c>
      <c r="NA49" s="1">
        <f t="shared" si="37"/>
        <v>0</v>
      </c>
      <c r="NB49" s="1">
        <f t="shared" si="37"/>
        <v>0</v>
      </c>
      <c r="NC49" s="1">
        <f t="shared" si="37"/>
        <v>6</v>
      </c>
      <c r="ND49" s="1">
        <f t="shared" si="37"/>
        <v>5</v>
      </c>
      <c r="NE49" s="1">
        <f t="shared" si="37"/>
        <v>6</v>
      </c>
      <c r="NF49" s="1">
        <f t="shared" si="37"/>
        <v>5</v>
      </c>
      <c r="NG49" s="1">
        <f t="shared" si="37"/>
        <v>1</v>
      </c>
      <c r="NH49" s="1">
        <f t="shared" si="37"/>
        <v>0</v>
      </c>
      <c r="NI49" s="1">
        <f t="shared" si="37"/>
        <v>0</v>
      </c>
      <c r="NJ49" s="1">
        <f t="shared" si="37"/>
        <v>6</v>
      </c>
      <c r="NK49" s="1">
        <f t="shared" si="37"/>
        <v>5</v>
      </c>
      <c r="NL49" s="1">
        <f t="shared" si="37"/>
        <v>6</v>
      </c>
      <c r="NM49" s="1">
        <f t="shared" si="37"/>
        <v>5</v>
      </c>
      <c r="NN49" s="1">
        <f t="shared" si="37"/>
        <v>1</v>
      </c>
      <c r="NO49" s="1">
        <f t="shared" si="37"/>
        <v>0</v>
      </c>
      <c r="NP49" s="1">
        <f t="shared" si="37"/>
        <v>0</v>
      </c>
      <c r="OA49" s="146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 s="147"/>
    </row>
    <row r="50" spans="1:449" ht="12.75" customHeight="1">
      <c r="A50" s="104" t="s">
        <v>140</v>
      </c>
      <c r="B50" s="99" t="s">
        <v>141</v>
      </c>
    </row>
    <row r="51" spans="1:449" ht="12.75" customHeight="1">
      <c r="A51" s="105" t="s">
        <v>8</v>
      </c>
      <c r="B51" s="99" t="s">
        <v>250</v>
      </c>
    </row>
    <row r="52" spans="1:449" ht="12.75" customHeight="1">
      <c r="A52" s="106" t="s">
        <v>283</v>
      </c>
      <c r="B52" s="99" t="s">
        <v>251</v>
      </c>
    </row>
    <row r="53" spans="1:449" ht="12.75" customHeight="1">
      <c r="A53" s="106" t="s">
        <v>284</v>
      </c>
      <c r="B53" s="99"/>
    </row>
    <row r="54" spans="1:449" ht="12.75" customHeight="1">
      <c r="A54" s="107" t="s">
        <v>236</v>
      </c>
      <c r="B54" s="99" t="s">
        <v>143</v>
      </c>
    </row>
    <row r="55" spans="1:449" ht="12.75" customHeight="1">
      <c r="A55" s="117" t="s">
        <v>10</v>
      </c>
      <c r="B55" s="118" t="s">
        <v>11</v>
      </c>
    </row>
    <row r="56" spans="1:449" ht="12.75" customHeight="1">
      <c r="A56" s="119" t="s">
        <v>282</v>
      </c>
      <c r="B56" s="116" t="s">
        <v>326</v>
      </c>
    </row>
    <row r="58" spans="1:449" ht="12.75" customHeight="1">
      <c r="A58" t="s">
        <v>90</v>
      </c>
      <c r="B58" t="s">
        <v>306</v>
      </c>
      <c r="DD58" s="104" t="s">
        <v>140</v>
      </c>
      <c r="DF58" s="103" t="s">
        <v>6</v>
      </c>
      <c r="DG58" s="103" t="s">
        <v>6</v>
      </c>
      <c r="DH58" s="103" t="s">
        <v>6</v>
      </c>
      <c r="DK58" s="103" t="s">
        <v>6</v>
      </c>
      <c r="DL58" s="33"/>
      <c r="DM58" s="103" t="s">
        <v>6</v>
      </c>
      <c r="DN58" s="103" t="s">
        <v>6</v>
      </c>
      <c r="DO58" s="103" t="s">
        <v>6</v>
      </c>
      <c r="DP58" s="109"/>
      <c r="DQ58" s="109"/>
      <c r="DR58" s="103" t="s">
        <v>6</v>
      </c>
      <c r="DS58" s="33"/>
      <c r="DT58" s="103" t="s">
        <v>6</v>
      </c>
      <c r="DU58" s="103" t="s">
        <v>6</v>
      </c>
      <c r="DV58" s="103" t="s">
        <v>6</v>
      </c>
      <c r="FX58" s="115" t="s">
        <v>307</v>
      </c>
      <c r="FY58" s="115" t="s">
        <v>307</v>
      </c>
      <c r="FZ58" s="115" t="s">
        <v>307</v>
      </c>
    </row>
  </sheetData>
  <mergeCells count="18">
    <mergeCell ref="GV6:IM6"/>
    <mergeCell ref="DC4:DD4"/>
    <mergeCell ref="KP6:KX6"/>
    <mergeCell ref="DW4:EE4"/>
    <mergeCell ref="BL5:BT5"/>
    <mergeCell ref="BE4:BM4"/>
    <mergeCell ref="CU4:CV4"/>
    <mergeCell ref="EZ4:FA4"/>
    <mergeCell ref="FI4:FJ4"/>
    <mergeCell ref="F4:G4"/>
    <mergeCell ref="C5:P5"/>
    <mergeCell ref="NG4:NH4"/>
    <mergeCell ref="KW4:KX4"/>
    <mergeCell ref="GO4:IF4"/>
    <mergeCell ref="HC5:IT5"/>
    <mergeCell ref="KI5:KQ5"/>
    <mergeCell ref="NA5:NP5"/>
    <mergeCell ref="EP5:ES5"/>
  </mergeCells>
  <phoneticPr fontId="17" type="noConversion"/>
  <conditionalFormatting sqref="A42:A48 A21:I21 A43:I43 BS21 BS43 CB21 CB43">
    <cfRule type="cellIs" dxfId="173" priority="216" operator="equal">
      <formula>"Opl."</formula>
    </cfRule>
    <cfRule type="cellIs" dxfId="172" priority="217" operator="equal">
      <formula>"Optie"</formula>
    </cfRule>
  </conditionalFormatting>
  <conditionalFormatting sqref="A47:A48">
    <cfRule type="cellIs" dxfId="171" priority="218" operator="equal">
      <formula>"x"</formula>
    </cfRule>
    <cfRule type="cellIs" dxfId="170" priority="219" operator="equal">
      <formula>"f"</formula>
    </cfRule>
    <cfRule type="cellIs" dxfId="169" priority="220" operator="equal">
      <formula>"v"</formula>
    </cfRule>
    <cfRule type="cellIs" dxfId="168" priority="221" operator="equal">
      <formula>"n"</formula>
    </cfRule>
    <cfRule type="cellIs" dxfId="167" priority="222" operator="equal">
      <formula>"m"</formula>
    </cfRule>
    <cfRule type="cellIs" dxfId="166" priority="223" operator="equal">
      <formula>"o"</formula>
    </cfRule>
  </conditionalFormatting>
  <conditionalFormatting sqref="A8:B8 E8:G8 A12:B12">
    <cfRule type="cellIs" dxfId="165" priority="234" operator="equal">
      <formula>"v"</formula>
    </cfRule>
    <cfRule type="cellIs" dxfId="164" priority="235" operator="equal">
      <formula>"n"</formula>
    </cfRule>
    <cfRule type="cellIs" dxfId="163" priority="236" operator="equal">
      <formula>"m"</formula>
    </cfRule>
    <cfRule type="cellIs" dxfId="162" priority="237" operator="equal">
      <formula>"o"</formula>
    </cfRule>
  </conditionalFormatting>
  <conditionalFormatting sqref="B48 NS48 NW48:XFD48">
    <cfRule type="cellIs" dxfId="161" priority="224" operator="equal">
      <formula>2</formula>
    </cfRule>
  </conditionalFormatting>
  <conditionalFormatting sqref="B45:HY45 B47:NP47 A8:B8 E8:G8 A9:I9 H10:I10 A10:B12 G11:I11 A13:I13 A14:B14 H14:I14 A15:I15 A16:D16 A17:F17 H17:I17 A18:D19 A20:F20 A22:B22 F22:G22 I22 A23:G23 A24:E24 G24:I24 AK24 BL24:BM24 CN24:CO24 DP24:DQ24 ER24:ES24 FT24:FU24 GV24:GW24 HX24:HY24 IZ24:JA24 KB24:KC24 LD24:LE24 MF24:MG24 NH24:NI24 A25:I25 BL26:BM31 A26:B44 H26:I44 AJ26:AK44 CN26:CO44 ER26:ES44 FT26:FU44 GV26:GW44 HX26:HY44 IZ26:JA44 KB26:KC44 LD26:LE44 MF26:MG44 NH26:NI44 DP27:DQ44 BL33:BM44 DP58:DQ58">
    <cfRule type="cellIs" dxfId="160" priority="232" operator="equal">
      <formula>"Opl."</formula>
    </cfRule>
    <cfRule type="cellIs" dxfId="159" priority="233" operator="equal">
      <formula>"Optie"</formula>
    </cfRule>
  </conditionalFormatting>
  <conditionalFormatting sqref="C49:E49 J49:L49 N49">
    <cfRule type="cellIs" dxfId="158" priority="153" operator="lessThan">
      <formula>2</formula>
    </cfRule>
  </conditionalFormatting>
  <conditionalFormatting sqref="C45:HY45 IE45:NP45 C47:NP48">
    <cfRule type="cellIs" dxfId="157" priority="209" operator="equal">
      <formula>"x"</formula>
    </cfRule>
    <cfRule type="cellIs" dxfId="156" priority="210" operator="equal">
      <formula>"f"</formula>
    </cfRule>
    <cfRule type="cellIs" dxfId="155" priority="211" operator="equal">
      <formula>"v"</formula>
    </cfRule>
    <cfRule type="cellIs" dxfId="154" priority="212" operator="equal">
      <formula>"n"</formula>
    </cfRule>
    <cfRule type="cellIs" dxfId="153" priority="213" operator="equal">
      <formula>"m"</formula>
    </cfRule>
    <cfRule type="cellIs" dxfId="152" priority="214" operator="equal">
      <formula>"o"</formula>
    </cfRule>
    <cfRule type="cellIs" dxfId="151" priority="215" operator="equal">
      <formula>0</formula>
    </cfRule>
    <cfRule type="cellIs" dxfId="150" priority="227" operator="equal">
      <formula>"x"</formula>
    </cfRule>
    <cfRule type="cellIs" dxfId="149" priority="228" operator="equal">
      <formula>"f"</formula>
    </cfRule>
    <cfRule type="cellIs" dxfId="148" priority="229" operator="equal">
      <formula>"n"</formula>
    </cfRule>
    <cfRule type="cellIs" dxfId="147" priority="230" operator="equal">
      <formula>"m"</formula>
    </cfRule>
    <cfRule type="cellIs" dxfId="146" priority="231" operator="equal">
      <formula>"o"</formula>
    </cfRule>
  </conditionalFormatting>
  <conditionalFormatting sqref="C45:HY45 IE45:NV45 J47:NV48 C48:NP48 NQ46:NV46">
    <cfRule type="cellIs" dxfId="145" priority="207" operator="equal">
      <formula>"Opl."</formula>
    </cfRule>
    <cfRule type="cellIs" dxfId="144" priority="208" operator="equal">
      <formula>"Optie"</formula>
    </cfRule>
  </conditionalFormatting>
  <conditionalFormatting sqref="C47:NP48 C45:HY45 IE45:NP45">
    <cfRule type="cellIs" dxfId="143" priority="206" operator="equal">
      <formula>0</formula>
    </cfRule>
  </conditionalFormatting>
  <conditionalFormatting sqref="I18:I19">
    <cfRule type="cellIs" dxfId="142" priority="69" operator="equal">
      <formula>"Opl."</formula>
    </cfRule>
    <cfRule type="cellIs" dxfId="141" priority="70" operator="equal">
      <formula>"Optie"</formula>
    </cfRule>
  </conditionalFormatting>
  <conditionalFormatting sqref="J8:K8">
    <cfRule type="cellIs" dxfId="140" priority="95" operator="equal">
      <formula>"Opl."</formula>
    </cfRule>
    <cfRule type="cellIs" dxfId="139" priority="96" operator="equal">
      <formula>"Optie"</formula>
    </cfRule>
  </conditionalFormatting>
  <conditionalFormatting sqref="K47:NP47">
    <cfRule type="cellIs" dxfId="138" priority="197" operator="equal">
      <formula>0</formula>
    </cfRule>
    <cfRule type="cellIs" dxfId="137" priority="200" operator="equal">
      <formula>"x"</formula>
    </cfRule>
    <cfRule type="cellIs" dxfId="136" priority="201" operator="equal">
      <formula>"f"</formula>
    </cfRule>
    <cfRule type="cellIs" dxfId="135" priority="202" operator="equal">
      <formula>"v"</formula>
    </cfRule>
    <cfRule type="cellIs" dxfId="134" priority="203" operator="equal">
      <formula>"n"</formula>
    </cfRule>
    <cfRule type="cellIs" dxfId="133" priority="204" operator="equal">
      <formula>"m"</formula>
    </cfRule>
    <cfRule type="cellIs" dxfId="132" priority="205" operator="equal">
      <formula>"o"</formula>
    </cfRule>
  </conditionalFormatting>
  <conditionalFormatting sqref="M12">
    <cfRule type="cellIs" dxfId="131" priority="65" operator="equal">
      <formula>"Opl."</formula>
    </cfRule>
    <cfRule type="cellIs" dxfId="130" priority="66" operator="equal">
      <formula>"Optie"</formula>
    </cfRule>
  </conditionalFormatting>
  <conditionalFormatting sqref="Q36:S38">
    <cfRule type="cellIs" dxfId="129" priority="87" operator="equal">
      <formula>"Opl."</formula>
    </cfRule>
    <cfRule type="cellIs" dxfId="128" priority="88" operator="equal">
      <formula>"Optie"</formula>
    </cfRule>
    <cfRule type="cellIs" dxfId="127" priority="89" operator="equal">
      <formula>"x"</formula>
    </cfRule>
    <cfRule type="cellIs" dxfId="126" priority="90" operator="equal">
      <formula>"f"</formula>
    </cfRule>
    <cfRule type="cellIs" dxfId="125" priority="91" operator="equal">
      <formula>"v"</formula>
    </cfRule>
    <cfRule type="cellIs" dxfId="124" priority="92" operator="equal">
      <formula>"n"</formula>
    </cfRule>
    <cfRule type="cellIs" dxfId="123" priority="93" operator="equal">
      <formula>"m"</formula>
    </cfRule>
    <cfRule type="cellIs" dxfId="122" priority="94" operator="equal">
      <formula>"o"</formula>
    </cfRule>
  </conditionalFormatting>
  <conditionalFormatting sqref="Q49:U49">
    <cfRule type="cellIs" dxfId="121" priority="152" operator="lessThan">
      <formula>2</formula>
    </cfRule>
  </conditionalFormatting>
  <conditionalFormatting sqref="R18:R19">
    <cfRule type="cellIs" dxfId="120" priority="63" operator="equal">
      <formula>"Opl."</formula>
    </cfRule>
    <cfRule type="cellIs" dxfId="119" priority="64" operator="equal">
      <formula>"Optie"</formula>
    </cfRule>
  </conditionalFormatting>
  <conditionalFormatting sqref="S20">
    <cfRule type="cellIs" dxfId="118" priority="61" operator="equal">
      <formula>"Opl."</formula>
    </cfRule>
    <cfRule type="cellIs" dxfId="117" priority="62" operator="equal">
      <formula>"Optie"</formula>
    </cfRule>
  </conditionalFormatting>
  <conditionalFormatting sqref="X49:AB49">
    <cfRule type="cellIs" dxfId="116" priority="151" operator="lessThan">
      <formula>2</formula>
    </cfRule>
  </conditionalFormatting>
  <conditionalFormatting sqref="Z36:Z38">
    <cfRule type="cellIs" dxfId="115" priority="79" operator="equal">
      <formula>"Opl."</formula>
    </cfRule>
    <cfRule type="cellIs" dxfId="114" priority="80" operator="equal">
      <formula>"Optie"</formula>
    </cfRule>
    <cfRule type="cellIs" dxfId="113" priority="81" operator="equal">
      <formula>"x"</formula>
    </cfRule>
    <cfRule type="cellIs" dxfId="112" priority="82" operator="equal">
      <formula>"f"</formula>
    </cfRule>
    <cfRule type="cellIs" dxfId="111" priority="83" operator="equal">
      <formula>"v"</formula>
    </cfRule>
    <cfRule type="cellIs" dxfId="110" priority="84" operator="equal">
      <formula>"n"</formula>
    </cfRule>
    <cfRule type="cellIs" dxfId="109" priority="85" operator="equal">
      <formula>"m"</formula>
    </cfRule>
    <cfRule type="cellIs" dxfId="108" priority="86" operator="equal">
      <formula>"o"</formula>
    </cfRule>
  </conditionalFormatting>
  <conditionalFormatting sqref="AE36:AG38">
    <cfRule type="cellIs" dxfId="107" priority="71" operator="equal">
      <formula>"Opl."</formula>
    </cfRule>
    <cfRule type="cellIs" dxfId="106" priority="72" operator="equal">
      <formula>"Optie"</formula>
    </cfRule>
    <cfRule type="cellIs" dxfId="105" priority="73" operator="equal">
      <formula>"x"</formula>
    </cfRule>
    <cfRule type="cellIs" dxfId="104" priority="74" operator="equal">
      <formula>"f"</formula>
    </cfRule>
    <cfRule type="cellIs" dxfId="103" priority="75" operator="equal">
      <formula>"v"</formula>
    </cfRule>
    <cfRule type="cellIs" dxfId="102" priority="76" operator="equal">
      <formula>"n"</formula>
    </cfRule>
    <cfRule type="cellIs" dxfId="101" priority="77" operator="equal">
      <formula>"m"</formula>
    </cfRule>
    <cfRule type="cellIs" dxfId="100" priority="78" operator="equal">
      <formula>"o"</formula>
    </cfRule>
  </conditionalFormatting>
  <conditionalFormatting sqref="AE49:AI49">
    <cfRule type="cellIs" dxfId="99" priority="150" operator="lessThan">
      <formula>2</formula>
    </cfRule>
  </conditionalFormatting>
  <conditionalFormatting sqref="AI20:AJ20">
    <cfRule type="cellIs" dxfId="98" priority="59" operator="equal">
      <formula>"Opl."</formula>
    </cfRule>
    <cfRule type="cellIs" dxfId="97" priority="60" operator="equal">
      <formula>"Optie"</formula>
    </cfRule>
  </conditionalFormatting>
  <conditionalFormatting sqref="AK7">
    <cfRule type="cellIs" dxfId="96" priority="238" operator="equal">
      <formula>"Opl."</formula>
    </cfRule>
    <cfRule type="cellIs" dxfId="95" priority="239" operator="equal">
      <formula>"Optie"</formula>
    </cfRule>
  </conditionalFormatting>
  <conditionalFormatting sqref="AL49:AP49">
    <cfRule type="cellIs" dxfId="94" priority="149" operator="lessThan">
      <formula>2</formula>
    </cfRule>
  </conditionalFormatting>
  <conditionalFormatting sqref="AN24:AP24">
    <cfRule type="cellIs" dxfId="93" priority="43" operator="equal">
      <formula>"Opl."</formula>
    </cfRule>
    <cfRule type="cellIs" dxfId="92" priority="44" operator="equal">
      <formula>"Optie"</formula>
    </cfRule>
  </conditionalFormatting>
  <conditionalFormatting sqref="AP24">
    <cfRule type="cellIs" dxfId="91" priority="45" operator="equal">
      <formula>"x"</formula>
    </cfRule>
    <cfRule type="cellIs" dxfId="90" priority="46" operator="equal">
      <formula>"f"</formula>
    </cfRule>
    <cfRule type="cellIs" dxfId="89" priority="47" operator="equal">
      <formula>"v"</formula>
    </cfRule>
    <cfRule type="cellIs" dxfId="88" priority="48" operator="equal">
      <formula>"n"</formula>
    </cfRule>
    <cfRule type="cellIs" dxfId="87" priority="49" operator="equal">
      <formula>"m"</formula>
    </cfRule>
    <cfRule type="cellIs" dxfId="86" priority="50" operator="equal">
      <formula>"o"</formula>
    </cfRule>
  </conditionalFormatting>
  <conditionalFormatting sqref="AQ22">
    <cfRule type="cellIs" dxfId="85" priority="55" operator="equal">
      <formula>"Opl."</formula>
    </cfRule>
    <cfRule type="cellIs" dxfId="84" priority="56" operator="equal">
      <formula>"Optie"</formula>
    </cfRule>
  </conditionalFormatting>
  <conditionalFormatting sqref="AS49:AW49">
    <cfRule type="cellIs" dxfId="83" priority="148" operator="lessThan">
      <formula>2</formula>
    </cfRule>
  </conditionalFormatting>
  <conditionalFormatting sqref="AT22">
    <cfRule type="cellIs" dxfId="82" priority="57" operator="equal">
      <formula>"Opl."</formula>
    </cfRule>
    <cfRule type="cellIs" dxfId="81" priority="58" operator="equal">
      <formula>"Optie"</formula>
    </cfRule>
  </conditionalFormatting>
  <conditionalFormatting sqref="AZ20:BA20">
    <cfRule type="cellIs" dxfId="80" priority="35" operator="equal">
      <formula>"Opl."</formula>
    </cfRule>
    <cfRule type="cellIs" dxfId="79" priority="36" operator="equal">
      <formula>"Optie"</formula>
    </cfRule>
  </conditionalFormatting>
  <conditionalFormatting sqref="AZ49:BD49">
    <cfRule type="cellIs" dxfId="78" priority="147" operator="lessThan">
      <formula>2</formula>
    </cfRule>
  </conditionalFormatting>
  <conditionalFormatting sqref="BC22">
    <cfRule type="cellIs" dxfId="77" priority="41" operator="equal">
      <formula>"Opl."</formula>
    </cfRule>
    <cfRule type="cellIs" dxfId="76" priority="42" operator="equal">
      <formula>"Optie"</formula>
    </cfRule>
  </conditionalFormatting>
  <conditionalFormatting sqref="BG49:BK49">
    <cfRule type="cellIs" dxfId="75" priority="146" operator="lessThan">
      <formula>2</formula>
    </cfRule>
  </conditionalFormatting>
  <conditionalFormatting sqref="BH18">
    <cfRule type="cellIs" dxfId="74" priority="33" operator="equal">
      <formula>"Opl."</formula>
    </cfRule>
    <cfRule type="cellIs" dxfId="73" priority="34" operator="equal">
      <formula>"Optie"</formula>
    </cfRule>
  </conditionalFormatting>
  <conditionalFormatting sqref="BJ19">
    <cfRule type="cellIs" dxfId="72" priority="29" operator="equal">
      <formula>"Opl."</formula>
    </cfRule>
    <cfRule type="cellIs" dxfId="71" priority="30" operator="equal">
      <formula>"Optie"</formula>
    </cfRule>
  </conditionalFormatting>
  <conditionalFormatting sqref="BN49:BR49">
    <cfRule type="cellIs" dxfId="70" priority="145" operator="lessThan">
      <formula>2</formula>
    </cfRule>
  </conditionalFormatting>
  <conditionalFormatting sqref="BU49:BY49">
    <cfRule type="cellIs" dxfId="69" priority="144" operator="lessThan">
      <formula>2</formula>
    </cfRule>
  </conditionalFormatting>
  <conditionalFormatting sqref="BZ23">
    <cfRule type="cellIs" dxfId="68" priority="25" operator="equal">
      <formula>"Opl."</formula>
    </cfRule>
    <cfRule type="cellIs" dxfId="67" priority="26" operator="equal">
      <formula>"Optie"</formula>
    </cfRule>
  </conditionalFormatting>
  <conditionalFormatting sqref="CB49:CF49">
    <cfRule type="cellIs" dxfId="66" priority="143" operator="lessThan">
      <formula>2</formula>
    </cfRule>
  </conditionalFormatting>
  <conditionalFormatting sqref="CC23">
    <cfRule type="cellIs" dxfId="65" priority="21" operator="equal">
      <formula>"Opl."</formula>
    </cfRule>
    <cfRule type="cellIs" dxfId="64" priority="22" operator="equal">
      <formula>"Optie"</formula>
    </cfRule>
  </conditionalFormatting>
  <conditionalFormatting sqref="CI49:CM49">
    <cfRule type="cellIs" dxfId="63" priority="142" operator="lessThan">
      <formula>2</formula>
    </cfRule>
  </conditionalFormatting>
  <conditionalFormatting sqref="CJ18">
    <cfRule type="cellIs" dxfId="62" priority="15" operator="equal">
      <formula>"Opl."</formula>
    </cfRule>
    <cfRule type="cellIs" dxfId="61" priority="16" operator="equal">
      <formula>"Optie"</formula>
    </cfRule>
  </conditionalFormatting>
  <conditionalFormatting sqref="CJ8:CK8">
    <cfRule type="cellIs" dxfId="60" priority="19" operator="equal">
      <formula>"Opl."</formula>
    </cfRule>
    <cfRule type="cellIs" dxfId="59" priority="20" operator="equal">
      <formula>"Optie"</formula>
    </cfRule>
  </conditionalFormatting>
  <conditionalFormatting sqref="CP49:CT49">
    <cfRule type="cellIs" dxfId="58" priority="141" operator="lessThan">
      <formula>2</formula>
    </cfRule>
  </conditionalFormatting>
  <conditionalFormatting sqref="CW49:DA49">
    <cfRule type="cellIs" dxfId="57" priority="140" operator="lessThan">
      <formula>2</formula>
    </cfRule>
  </conditionalFormatting>
  <conditionalFormatting sqref="DE49:DH49">
    <cfRule type="cellIs" dxfId="56" priority="139" operator="lessThan">
      <formula>2</formula>
    </cfRule>
  </conditionalFormatting>
  <conditionalFormatting sqref="DK49:DO49">
    <cfRule type="cellIs" dxfId="55" priority="138" operator="lessThan">
      <formula>2</formula>
    </cfRule>
  </conditionalFormatting>
  <conditionalFormatting sqref="DR49:DV49">
    <cfRule type="cellIs" dxfId="54" priority="137" operator="lessThan">
      <formula>2</formula>
    </cfRule>
  </conditionalFormatting>
  <conditionalFormatting sqref="DZ49:EC49">
    <cfRule type="cellIs" dxfId="53" priority="136" operator="lessThan">
      <formula>2</formula>
    </cfRule>
  </conditionalFormatting>
  <conditionalFormatting sqref="EF49:EJ49">
    <cfRule type="cellIs" dxfId="52" priority="135" operator="lessThan">
      <formula>2</formula>
    </cfRule>
  </conditionalFormatting>
  <conditionalFormatting sqref="EM49:EO49 EQ49">
    <cfRule type="cellIs" dxfId="51" priority="134" operator="lessThan">
      <formula>2</formula>
    </cfRule>
  </conditionalFormatting>
  <conditionalFormatting sqref="ET49:EX49">
    <cfRule type="cellIs" dxfId="50" priority="133" operator="lessThan">
      <formula>2</formula>
    </cfRule>
  </conditionalFormatting>
  <conditionalFormatting sqref="FB49:FE49">
    <cfRule type="cellIs" dxfId="49" priority="132" operator="lessThan">
      <formula>2</formula>
    </cfRule>
  </conditionalFormatting>
  <conditionalFormatting sqref="FH49:FL49">
    <cfRule type="cellIs" dxfId="48" priority="131" operator="lessThan">
      <formula>2</formula>
    </cfRule>
  </conditionalFormatting>
  <conditionalFormatting sqref="FO49:FS49">
    <cfRule type="cellIs" dxfId="47" priority="130" operator="lessThan">
      <formula>2</formula>
    </cfRule>
  </conditionalFormatting>
  <conditionalFormatting sqref="FV49:FZ49">
    <cfRule type="cellIs" dxfId="46" priority="129" operator="lessThan">
      <formula>2</formula>
    </cfRule>
  </conditionalFormatting>
  <conditionalFormatting sqref="GC49:GG49">
    <cfRule type="cellIs" dxfId="45" priority="128" operator="lessThan">
      <formula>2</formula>
    </cfRule>
  </conditionalFormatting>
  <conditionalFormatting sqref="GJ49:GN49">
    <cfRule type="cellIs" dxfId="44" priority="127" operator="lessThan">
      <formula>2</formula>
    </cfRule>
  </conditionalFormatting>
  <conditionalFormatting sqref="GQ49:GU49">
    <cfRule type="cellIs" dxfId="43" priority="126" operator="lessThan">
      <formula>2</formula>
    </cfRule>
  </conditionalFormatting>
  <conditionalFormatting sqref="GX49:HB49">
    <cfRule type="cellIs" dxfId="42" priority="125" operator="lessThan">
      <formula>2</formula>
    </cfRule>
  </conditionalFormatting>
  <conditionalFormatting sqref="HE49:HI49">
    <cfRule type="cellIs" dxfId="41" priority="124" operator="lessThan">
      <formula>2</formula>
    </cfRule>
  </conditionalFormatting>
  <conditionalFormatting sqref="HL49:HP49">
    <cfRule type="cellIs" dxfId="40" priority="123" operator="lessThan">
      <formula>2</formula>
    </cfRule>
  </conditionalFormatting>
  <conditionalFormatting sqref="HS49:HW49">
    <cfRule type="cellIs" dxfId="39" priority="122" operator="lessThan">
      <formula>2</formula>
    </cfRule>
  </conditionalFormatting>
  <conditionalFormatting sqref="HZ49:ID49">
    <cfRule type="cellIs" dxfId="38" priority="121" operator="lessThan">
      <formula>2</formula>
    </cfRule>
  </conditionalFormatting>
  <conditionalFormatting sqref="IE45:NP45 C47:NP48">
    <cfRule type="cellIs" dxfId="37" priority="225" operator="equal">
      <formula>"Opl."</formula>
    </cfRule>
    <cfRule type="cellIs" dxfId="36" priority="226" operator="equal">
      <formula>"Optie"</formula>
    </cfRule>
  </conditionalFormatting>
  <conditionalFormatting sqref="IG49:IK49">
    <cfRule type="cellIs" dxfId="35" priority="120" operator="lessThan">
      <formula>2</formula>
    </cfRule>
  </conditionalFormatting>
  <conditionalFormatting sqref="IN49:IR49">
    <cfRule type="cellIs" dxfId="34" priority="119" operator="lessThan">
      <formula>2</formula>
    </cfRule>
  </conditionalFormatting>
  <conditionalFormatting sqref="IU49:IY49">
    <cfRule type="cellIs" dxfId="33" priority="118" operator="lessThan">
      <formula>2</formula>
    </cfRule>
  </conditionalFormatting>
  <conditionalFormatting sqref="JB49:JF49">
    <cfRule type="cellIs" dxfId="32" priority="117" operator="lessThan">
      <formula>2</formula>
    </cfRule>
  </conditionalFormatting>
  <conditionalFormatting sqref="JI49:JM49">
    <cfRule type="cellIs" dxfId="31" priority="116" operator="lessThan">
      <formula>2</formula>
    </cfRule>
  </conditionalFormatting>
  <conditionalFormatting sqref="JP49:JT49">
    <cfRule type="cellIs" dxfId="30" priority="115" operator="lessThan">
      <formula>2</formula>
    </cfRule>
  </conditionalFormatting>
  <conditionalFormatting sqref="JW49:KA49">
    <cfRule type="cellIs" dxfId="29" priority="114" operator="lessThan">
      <formula>2</formula>
    </cfRule>
  </conditionalFormatting>
  <conditionalFormatting sqref="KD49:KH49">
    <cfRule type="cellIs" dxfId="28" priority="113" operator="lessThan">
      <formula>2</formula>
    </cfRule>
  </conditionalFormatting>
  <conditionalFormatting sqref="KK49:KO49">
    <cfRule type="cellIs" dxfId="27" priority="112" operator="lessThan">
      <formula>2</formula>
    </cfRule>
  </conditionalFormatting>
  <conditionalFormatting sqref="KR49:KV49">
    <cfRule type="cellIs" dxfId="26" priority="111" operator="lessThan">
      <formula>2</formula>
    </cfRule>
  </conditionalFormatting>
  <conditionalFormatting sqref="KY49:LC49">
    <cfRule type="cellIs" dxfId="25" priority="110" operator="lessThan">
      <formula>2</formula>
    </cfRule>
  </conditionalFormatting>
  <conditionalFormatting sqref="LF49:LJ49">
    <cfRule type="cellIs" dxfId="24" priority="109" operator="lessThan">
      <formula>2</formula>
    </cfRule>
  </conditionalFormatting>
  <conditionalFormatting sqref="LM49:LQ49">
    <cfRule type="cellIs" dxfId="23" priority="108" operator="lessThan">
      <formula>2</formula>
    </cfRule>
  </conditionalFormatting>
  <conditionalFormatting sqref="LT49:LX49">
    <cfRule type="cellIs" dxfId="22" priority="107" operator="lessThan">
      <formula>2</formula>
    </cfRule>
  </conditionalFormatting>
  <conditionalFormatting sqref="MA49:ME49">
    <cfRule type="cellIs" dxfId="21" priority="106" operator="lessThan">
      <formula>2</formula>
    </cfRule>
  </conditionalFormatting>
  <conditionalFormatting sqref="MH49:ML49">
    <cfRule type="cellIs" dxfId="20" priority="105" operator="lessThan">
      <formula>2</formula>
    </cfRule>
  </conditionalFormatting>
  <conditionalFormatting sqref="MO49:MS49">
    <cfRule type="cellIs" dxfId="19" priority="104" operator="lessThan">
      <formula>2</formula>
    </cfRule>
  </conditionalFormatting>
  <conditionalFormatting sqref="MV49:MZ49">
    <cfRule type="cellIs" dxfId="18" priority="103" operator="lessThan">
      <formula>2</formula>
    </cfRule>
  </conditionalFormatting>
  <conditionalFormatting sqref="NC49:NF49">
    <cfRule type="cellIs" dxfId="17" priority="102" operator="lessThan">
      <formula>2</formula>
    </cfRule>
  </conditionalFormatting>
  <conditionalFormatting sqref="NJ49:NM49">
    <cfRule type="cellIs" dxfId="16" priority="101" operator="lessThan">
      <formula>2</formula>
    </cfRule>
  </conditionalFormatting>
  <conditionalFormatting sqref="OA7 NZ45:XFD45 NW47:XFD47">
    <cfRule type="cellIs" dxfId="15" priority="240" operator="equal">
      <formula>"Opl."</formula>
    </cfRule>
    <cfRule type="cellIs" dxfId="14" priority="241" operator="equal">
      <formula>"Optie"</formula>
    </cfRule>
  </conditionalFormatting>
  <conditionalFormatting sqref="CT9">
    <cfRule type="cellIs" dxfId="13" priority="13" operator="equal">
      <formula>"Opl."</formula>
    </cfRule>
    <cfRule type="cellIs" dxfId="12" priority="14" operator="equal">
      <formula>"Optie"</formula>
    </cfRule>
  </conditionalFormatting>
  <conditionalFormatting sqref="CS19">
    <cfRule type="cellIs" dxfId="11" priority="11" operator="equal">
      <formula>"Opl."</formula>
    </cfRule>
    <cfRule type="cellIs" dxfId="10" priority="12" operator="equal">
      <formula>"Optie"</formula>
    </cfRule>
  </conditionalFormatting>
  <conditionalFormatting sqref="DE13">
    <cfRule type="cellIs" dxfId="9" priority="9" operator="equal">
      <formula>"Opl."</formula>
    </cfRule>
    <cfRule type="cellIs" dxfId="8" priority="10" operator="equal">
      <formula>"Optie"</formula>
    </cfRule>
  </conditionalFormatting>
  <conditionalFormatting sqref="CV9">
    <cfRule type="cellIs" dxfId="7" priority="7" operator="equal">
      <formula>"Opl."</formula>
    </cfRule>
    <cfRule type="cellIs" dxfId="6" priority="8" operator="equal">
      <formula>"Optie"</formula>
    </cfRule>
  </conditionalFormatting>
  <conditionalFormatting sqref="A7">
    <cfRule type="cellIs" dxfId="5" priority="3" operator="equal">
      <formula>"v"</formula>
    </cfRule>
    <cfRule type="cellIs" dxfId="4" priority="4" operator="equal">
      <formula>"n"</formula>
    </cfRule>
    <cfRule type="cellIs" dxfId="3" priority="5" operator="equal">
      <formula>"m"</formula>
    </cfRule>
    <cfRule type="cellIs" dxfId="2" priority="6" operator="equal">
      <formula>"o"</formula>
    </cfRule>
  </conditionalFormatting>
  <conditionalFormatting sqref="A7">
    <cfRule type="cellIs" dxfId="1" priority="1" operator="equal">
      <formula>"Opl."</formula>
    </cfRule>
    <cfRule type="cellIs" dxfId="0" priority="2" operator="equal">
      <formula>"Optie"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222A8-7616-403B-909F-654A9CD93BB5}">
  <dimension ref="A1:B14"/>
  <sheetViews>
    <sheetView workbookViewId="0">
      <selection activeCell="B11" sqref="B11"/>
    </sheetView>
  </sheetViews>
  <sheetFormatPr defaultRowHeight="12.75"/>
  <cols>
    <col min="2" max="2" width="149" customWidth="1"/>
  </cols>
  <sheetData>
    <row r="1" spans="1:2">
      <c r="A1" s="130" t="s">
        <v>327</v>
      </c>
    </row>
    <row r="2" spans="1:2">
      <c r="B2" t="s">
        <v>328</v>
      </c>
    </row>
    <row r="3" spans="1:2">
      <c r="B3" t="s">
        <v>329</v>
      </c>
    </row>
    <row r="4" spans="1:2">
      <c r="B4" t="s">
        <v>330</v>
      </c>
    </row>
    <row r="5" spans="1:2">
      <c r="B5" t="s">
        <v>331</v>
      </c>
    </row>
    <row r="6" spans="1:2">
      <c r="B6" t="s">
        <v>332</v>
      </c>
    </row>
    <row r="7" spans="1:2">
      <c r="B7" t="s">
        <v>333</v>
      </c>
    </row>
    <row r="8" spans="1:2">
      <c r="B8" t="s">
        <v>334</v>
      </c>
    </row>
    <row r="9" spans="1:2">
      <c r="B9" t="s">
        <v>335</v>
      </c>
    </row>
    <row r="11" spans="1:2">
      <c r="A11" t="s">
        <v>336</v>
      </c>
    </row>
    <row r="12" spans="1:2">
      <c r="A12" t="s">
        <v>337</v>
      </c>
    </row>
    <row r="13" spans="1:2">
      <c r="B13" t="s">
        <v>338</v>
      </c>
    </row>
    <row r="14" spans="1:2">
      <c r="B14" t="s">
        <v>339</v>
      </c>
    </row>
  </sheetData>
  <sheetProtection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b90d102-e236-45f0-876b-dfc702745e89" xsi:nil="true"/>
    <SharedWithUsers xmlns="5b90d102-e236-45f0-876b-dfc702745e89">
      <UserInfo>
        <DisplayName>Kurt Lemmer</DisplayName>
        <AccountId>126</AccountId>
        <AccountType/>
      </UserInfo>
      <UserInfo>
        <DisplayName>Wouter Koehorst</DisplayName>
        <AccountId>3967</AccountId>
        <AccountType/>
      </UserInfo>
      <UserInfo>
        <DisplayName>Soedesh Birdja</DisplayName>
        <AccountId>682</AccountId>
        <AccountType/>
      </UserInfo>
    </SharedWithUsers>
    <lcf76f155ced4ddcb4097134ff3c332f xmlns="b2359714-50e4-4284-aca7-46c905fa8819">
      <Terms xmlns="http://schemas.microsoft.com/office/infopath/2007/PartnerControls"/>
    </lcf76f155ced4ddcb4097134ff3c332f>
    <opmerkingMargreet_x002f_Rachel xmlns="b2359714-50e4-4284-aca7-46c905fa8819">Rooster
</opmerkingMargreet_x002f_Rache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82A88DE3C530438A458C320ACA18FF" ma:contentTypeVersion="17" ma:contentTypeDescription="Een nieuw document maken." ma:contentTypeScope="" ma:versionID="a4014268fee5ce92d5930fa3a2a46116">
  <xsd:schema xmlns:xsd="http://www.w3.org/2001/XMLSchema" xmlns:xs="http://www.w3.org/2001/XMLSchema" xmlns:p="http://schemas.microsoft.com/office/2006/metadata/properties" xmlns:ns2="b2359714-50e4-4284-aca7-46c905fa8819" xmlns:ns3="5b90d102-e236-45f0-876b-dfc702745e89" targetNamespace="http://schemas.microsoft.com/office/2006/metadata/properties" ma:root="true" ma:fieldsID="229196e265f4d2ca9a031bc8bae3771b" ns2:_="" ns3:_="">
    <xsd:import namespace="b2359714-50e4-4284-aca7-46c905fa8819"/>
    <xsd:import namespace="5b90d102-e236-45f0-876b-dfc702745e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opmerkingMargreet_x002f_Rachel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359714-50e4-4284-aca7-46c905fa8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83b13f-ac90-45e1-a67d-035fc9a5cd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opmerkingMargreet_x002f_Rachel" ma:index="24" ma:displayName="opmerking Margreet/ Rachel " ma:format="Dropdown" ma:internalName="opmerkingMargreet_x002f_Rachel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90d102-e236-45f0-876b-dfc702745e8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d065b88-ef53-4750-8927-255b3553ab63}" ma:internalName="TaxCatchAll" ma:showField="CatchAllData" ma:web="5b90d102-e236-45f0-876b-dfc702745e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093085-5937-4998-8B0B-5414B381555A}"/>
</file>

<file path=customXml/itemProps2.xml><?xml version="1.0" encoding="utf-8"?>
<ds:datastoreItem xmlns:ds="http://schemas.openxmlformats.org/officeDocument/2006/customXml" ds:itemID="{7A361CE0-2158-4B30-B6C8-FA75D0580C4B}"/>
</file>

<file path=customXml/itemProps3.xml><?xml version="1.0" encoding="utf-8"?>
<ds:datastoreItem xmlns:ds="http://schemas.openxmlformats.org/officeDocument/2006/customXml" ds:itemID="{AFE529EA-3D5C-4EED-A044-6A3725B61E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"Jeurissen, Romy"</dc:creator>
  <cp:keywords/>
  <dc:description/>
  <cp:lastModifiedBy>Colette Verbueken</cp:lastModifiedBy>
  <cp:revision/>
  <dcterms:created xsi:type="dcterms:W3CDTF">2019-07-29T05:11:24Z</dcterms:created>
  <dcterms:modified xsi:type="dcterms:W3CDTF">2026-05-09T13:27:29Z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0x0101000782A88DE3C530438A458C320ACA18FF</vt:lpwstr>
  </property>
  <property fmtid="{D5CDD505-2E9C-101B-9397-08002B2CF9AE}" pid="3" name="MediaServiceImageTags">
    <vt:lpwstr/>
  </property>
</Properties>
</file>